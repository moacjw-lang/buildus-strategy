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park\모해디자인\프로젝트\2025\2025.11_행당동 대림아파트 리모델링 공사\01. 본사\05. 견적서\"/>
    </mc:Choice>
  </mc:AlternateContent>
  <xr:revisionPtr revIDLastSave="0" documentId="13_ncr:1_{47003EB2-05B1-4706-B666-66C850F2066A}" xr6:coauthVersionLast="47" xr6:coauthVersionMax="47" xr10:uidLastSave="{00000000-0000-0000-0000-000000000000}"/>
  <bookViews>
    <workbookView xWindow="28680" yWindow="-120" windowWidth="29040" windowHeight="15840" tabRatio="680" activeTab="2" xr2:uid="{00000000-000D-0000-FFFF-FFFF00000000}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갑지-1'!$A$6:$M$32</definedName>
    <definedName name="_xlnm._FilterDatabase" localSheetId="0" hidden="1">[9]인사자료총집계!#REF!</definedName>
    <definedName name="_xlnm._FilterDatabase" localSheetId="2" hidden="1">상세!$A$4:$M$375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갑지-1'!$A$1:$M$32</definedName>
    <definedName name="_xlnm.Print_Area" localSheetId="0">갑지!$A$1:$H$23</definedName>
    <definedName name="_xlnm.Print_Area" localSheetId="2">상세!$A$1:$M$373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0" i="23313" l="1"/>
  <c r="L340" i="23313" s="1"/>
  <c r="J340" i="23313"/>
  <c r="H340" i="23313"/>
  <c r="K132" i="23313"/>
  <c r="L132" i="23313" s="1"/>
  <c r="J132" i="23313"/>
  <c r="H132" i="23313"/>
  <c r="K131" i="23313"/>
  <c r="L131" i="23313" s="1"/>
  <c r="J131" i="23313"/>
  <c r="H131" i="23313"/>
  <c r="K130" i="23313"/>
  <c r="L130" i="23313" s="1"/>
  <c r="J130" i="23313"/>
  <c r="H130" i="23313"/>
  <c r="K129" i="23313"/>
  <c r="L129" i="23313" s="1"/>
  <c r="J129" i="23313"/>
  <c r="H129" i="23313"/>
  <c r="K128" i="23313"/>
  <c r="L128" i="23313" s="1"/>
  <c r="J128" i="23313"/>
  <c r="H128" i="23313"/>
  <c r="K73" i="23313" l="1"/>
  <c r="L73" i="23313" s="1"/>
  <c r="J73" i="23313"/>
  <c r="H73" i="23313"/>
  <c r="K339" i="23313"/>
  <c r="L339" i="23313" s="1"/>
  <c r="J339" i="23313"/>
  <c r="H339" i="23313"/>
  <c r="K338" i="23313"/>
  <c r="L338" i="23313" s="1"/>
  <c r="J338" i="23313"/>
  <c r="H338" i="23313"/>
  <c r="K219" i="23313"/>
  <c r="L219" i="23313" s="1"/>
  <c r="J219" i="23313"/>
  <c r="H219" i="23313"/>
  <c r="K213" i="23313"/>
  <c r="L213" i="23313" s="1"/>
  <c r="J213" i="23313"/>
  <c r="H213" i="23313"/>
  <c r="K208" i="23313"/>
  <c r="L208" i="23313" s="1"/>
  <c r="J208" i="23313"/>
  <c r="H208" i="23313"/>
  <c r="K198" i="23313"/>
  <c r="L198" i="23313" s="1"/>
  <c r="J198" i="23313"/>
  <c r="H198" i="23313"/>
  <c r="K154" i="23313" l="1"/>
  <c r="L154" i="23313" s="1"/>
  <c r="J154" i="23313"/>
  <c r="H154" i="23313"/>
  <c r="K155" i="23313"/>
  <c r="L155" i="23313" s="1"/>
  <c r="J155" i="23313"/>
  <c r="H155" i="23313"/>
  <c r="K153" i="23313"/>
  <c r="L153" i="23313" s="1"/>
  <c r="J153" i="23313"/>
  <c r="H153" i="23313"/>
  <c r="K133" i="23313"/>
  <c r="L133" i="23313" s="1"/>
  <c r="J133" i="23313"/>
  <c r="H133" i="23313"/>
  <c r="K218" i="23313" l="1"/>
  <c r="L218" i="23313" s="1"/>
  <c r="J218" i="23313"/>
  <c r="H218" i="23313"/>
  <c r="K200" i="23313" l="1"/>
  <c r="L200" i="23313" s="1"/>
  <c r="J200" i="23313"/>
  <c r="H200" i="23313"/>
  <c r="P185" i="23313"/>
  <c r="K185" i="23313"/>
  <c r="L185" i="23313" s="1"/>
  <c r="J185" i="23313"/>
  <c r="H185" i="23313"/>
  <c r="M109" i="23313"/>
  <c r="K342" i="23313"/>
  <c r="L342" i="23313" s="1"/>
  <c r="J342" i="23313"/>
  <c r="H342" i="23313"/>
  <c r="K285" i="23313"/>
  <c r="K57" i="23313"/>
  <c r="L57" i="23313" s="1"/>
  <c r="J57" i="23313"/>
  <c r="H57" i="23313"/>
  <c r="K53" i="23313"/>
  <c r="L53" i="23313" s="1"/>
  <c r="J53" i="23313"/>
  <c r="H53" i="23313"/>
  <c r="K343" i="23313"/>
  <c r="L343" i="23313" s="1"/>
  <c r="J343" i="23313"/>
  <c r="H343" i="23313"/>
  <c r="J262" i="23313"/>
  <c r="K341" i="23313"/>
  <c r="L341" i="23313" s="1"/>
  <c r="J341" i="23313"/>
  <c r="H341" i="23313"/>
  <c r="K78" i="23313"/>
  <c r="L78" i="23313" s="1"/>
  <c r="J78" i="23313"/>
  <c r="H78" i="23313"/>
  <c r="J92" i="23313"/>
  <c r="H150" i="23313"/>
  <c r="J150" i="23313"/>
  <c r="K150" i="23313"/>
  <c r="L150" i="23313" s="1"/>
  <c r="K207" i="23313"/>
  <c r="L207" i="23313" s="1"/>
  <c r="J207" i="23313"/>
  <c r="H207" i="23313"/>
  <c r="K195" i="23313" l="1"/>
  <c r="L195" i="23313" s="1"/>
  <c r="J195" i="23313"/>
  <c r="H195" i="23313"/>
  <c r="P235" i="23313"/>
  <c r="O235" i="23313"/>
  <c r="K235" i="23313"/>
  <c r="L235" i="23313" s="1"/>
  <c r="J235" i="23313"/>
  <c r="H235" i="23313"/>
  <c r="K212" i="23313"/>
  <c r="L212" i="23313" s="1"/>
  <c r="J212" i="23313"/>
  <c r="H212" i="23313"/>
  <c r="K321" i="23313"/>
  <c r="L321" i="23313" s="1"/>
  <c r="J321" i="23313"/>
  <c r="H321" i="23313"/>
  <c r="R324" i="23313"/>
  <c r="Q324" i="23313"/>
  <c r="R231" i="23313"/>
  <c r="F231" i="23313"/>
  <c r="S177" i="23313"/>
  <c r="J184" i="23313"/>
  <c r="K183" i="23313"/>
  <c r="L183" i="23313" s="1"/>
  <c r="J183" i="23313"/>
  <c r="H183" i="23313"/>
  <c r="K72" i="23313"/>
  <c r="L72" i="23313" s="1"/>
  <c r="J72" i="23313"/>
  <c r="H72" i="23313"/>
  <c r="P184" i="23313"/>
  <c r="K184" i="23313"/>
  <c r="L184" i="23313" s="1"/>
  <c r="H184" i="23313"/>
  <c r="R91" i="23313" l="1"/>
  <c r="Q77" i="23313"/>
  <c r="K77" i="23313"/>
  <c r="L77" i="23313" s="1"/>
  <c r="J77" i="23313"/>
  <c r="H77" i="23313"/>
  <c r="H56" i="23313"/>
  <c r="Q16" i="23313"/>
  <c r="Q75" i="23313"/>
  <c r="F3" i="23312"/>
  <c r="F265" i="23313"/>
  <c r="J265" i="23313" s="1"/>
  <c r="P266" i="23313"/>
  <c r="O266" i="23313"/>
  <c r="K266" i="23313"/>
  <c r="L266" i="23313" s="1"/>
  <c r="J266" i="23313"/>
  <c r="H266" i="23313"/>
  <c r="P265" i="23313"/>
  <c r="O265" i="23313"/>
  <c r="K265" i="23313"/>
  <c r="P264" i="23313"/>
  <c r="K264" i="23313"/>
  <c r="F264" i="23313"/>
  <c r="K336" i="23313"/>
  <c r="L336" i="23313" s="1"/>
  <c r="J336" i="23313"/>
  <c r="H336" i="23313"/>
  <c r="K23" i="23313"/>
  <c r="L23" i="23313" s="1"/>
  <c r="J23" i="23313"/>
  <c r="H23" i="23313"/>
  <c r="J119" i="23313"/>
  <c r="K119" i="23313"/>
  <c r="L119" i="23313" s="1"/>
  <c r="H119" i="23313"/>
  <c r="K115" i="23313"/>
  <c r="L115" i="23313" s="1"/>
  <c r="J115" i="23313"/>
  <c r="H115" i="23313"/>
  <c r="H158" i="23313"/>
  <c r="J158" i="23313"/>
  <c r="K158" i="23313"/>
  <c r="L158" i="23313" s="1"/>
  <c r="K19" i="23313"/>
  <c r="L19" i="23313" s="1"/>
  <c r="J19" i="23313"/>
  <c r="H19" i="23313"/>
  <c r="K159" i="23313"/>
  <c r="L159" i="23313" s="1"/>
  <c r="J159" i="23313"/>
  <c r="H159" i="23313"/>
  <c r="H187" i="23313"/>
  <c r="J187" i="23313"/>
  <c r="K187" i="23313"/>
  <c r="L187" i="23313" s="1"/>
  <c r="K290" i="23313"/>
  <c r="L290" i="23313" s="1"/>
  <c r="J290" i="23313"/>
  <c r="H290" i="23313"/>
  <c r="K147" i="23313"/>
  <c r="L147" i="23313" s="1"/>
  <c r="J147" i="23313"/>
  <c r="H147" i="23313"/>
  <c r="L265" i="23313" l="1"/>
  <c r="H265" i="23313"/>
  <c r="L264" i="23313"/>
  <c r="H264" i="23313"/>
  <c r="J264" i="23313"/>
  <c r="K55" i="23313"/>
  <c r="L55" i="23313" s="1"/>
  <c r="J55" i="23313"/>
  <c r="H55" i="23313"/>
  <c r="K61" i="23313" l="1"/>
  <c r="L61" i="23313" s="1"/>
  <c r="J61" i="23313"/>
  <c r="H61" i="23313"/>
  <c r="K292" i="23313"/>
  <c r="L292" i="23313" s="1"/>
  <c r="J292" i="23313"/>
  <c r="H292" i="23313"/>
  <c r="K146" i="23313"/>
  <c r="L146" i="23313" s="1"/>
  <c r="J146" i="23313"/>
  <c r="H146" i="23313"/>
  <c r="K106" i="23313"/>
  <c r="L106" i="23313" s="1"/>
  <c r="J106" i="23313"/>
  <c r="H106" i="23313"/>
  <c r="K363" i="23313" l="1"/>
  <c r="L363" i="23313" s="1"/>
  <c r="J363" i="23313"/>
  <c r="H363" i="23313"/>
  <c r="J82" i="23313" l="1"/>
  <c r="K82" i="23313"/>
  <c r="L82" i="23313" s="1"/>
  <c r="J81" i="23313"/>
  <c r="K81" i="23313"/>
  <c r="L81" i="23313" s="1"/>
  <c r="H82" i="23313"/>
  <c r="H81" i="23313"/>
  <c r="K270" i="23313" l="1"/>
  <c r="L270" i="23313" s="1"/>
  <c r="J270" i="23313"/>
  <c r="H270" i="23313"/>
  <c r="K269" i="23313"/>
  <c r="L269" i="23313" s="1"/>
  <c r="J269" i="23313"/>
  <c r="H269" i="23313"/>
  <c r="J337" i="23313" l="1"/>
  <c r="K337" i="23313"/>
  <c r="L337" i="23313" s="1"/>
  <c r="H337" i="23313"/>
  <c r="H29" i="23313" l="1"/>
  <c r="J29" i="23313"/>
  <c r="K29" i="23313"/>
  <c r="L29" i="23313" s="1"/>
  <c r="H30" i="23313"/>
  <c r="J30" i="23313"/>
  <c r="K30" i="23313"/>
  <c r="L30" i="23313" s="1"/>
  <c r="J80" i="23313" l="1"/>
  <c r="K80" i="23313"/>
  <c r="L80" i="23313" s="1"/>
  <c r="H80" i="23313"/>
  <c r="L318" i="23313"/>
  <c r="J318" i="23313"/>
  <c r="J319" i="23313"/>
  <c r="J320" i="23313"/>
  <c r="J317" i="23313"/>
  <c r="H318" i="23313"/>
  <c r="H319" i="23313"/>
  <c r="H320" i="23313"/>
  <c r="H317" i="23313"/>
  <c r="K317" i="23313"/>
  <c r="L317" i="23313" s="1"/>
  <c r="J157" i="23313" l="1"/>
  <c r="J103" i="23313"/>
  <c r="J104" i="23313"/>
  <c r="J105" i="23313"/>
  <c r="H157" i="23313"/>
  <c r="H103" i="23313"/>
  <c r="H104" i="23313"/>
  <c r="H105" i="23313"/>
  <c r="K157" i="23313"/>
  <c r="L157" i="23313" s="1"/>
  <c r="K103" i="23313"/>
  <c r="K104" i="23313"/>
  <c r="K105" i="23313"/>
  <c r="L105" i="23313" s="1"/>
  <c r="O140" i="23313"/>
  <c r="K140" i="23313"/>
  <c r="L140" i="23313" s="1"/>
  <c r="J140" i="23313"/>
  <c r="H140" i="23313"/>
  <c r="H139" i="23313"/>
  <c r="J139" i="23313"/>
  <c r="K139" i="23313"/>
  <c r="L139" i="23313" s="1"/>
  <c r="O139" i="23313"/>
  <c r="J96" i="23313"/>
  <c r="K96" i="23313"/>
  <c r="L96" i="23313" s="1"/>
  <c r="J95" i="23313"/>
  <c r="K95" i="23313"/>
  <c r="L95" i="23313" s="1"/>
  <c r="H96" i="23313"/>
  <c r="H95" i="23313"/>
  <c r="H62" i="23313"/>
  <c r="H351" i="23313"/>
  <c r="J351" i="23313"/>
  <c r="K351" i="23313"/>
  <c r="L351" i="23313" s="1"/>
  <c r="H352" i="23313"/>
  <c r="J352" i="23313"/>
  <c r="K352" i="23313"/>
  <c r="L352" i="23313" s="1"/>
  <c r="H353" i="23313"/>
  <c r="J353" i="23313"/>
  <c r="K353" i="23313"/>
  <c r="L353" i="23313" s="1"/>
  <c r="H354" i="23313"/>
  <c r="J354" i="23313"/>
  <c r="K354" i="23313"/>
  <c r="L354" i="23313" s="1"/>
  <c r="H345" i="23313"/>
  <c r="J345" i="23313"/>
  <c r="K345" i="23313"/>
  <c r="L345" i="23313" s="1"/>
  <c r="H346" i="23313"/>
  <c r="J346" i="23313"/>
  <c r="K346" i="23313"/>
  <c r="L346" i="23313" s="1"/>
  <c r="H347" i="23313"/>
  <c r="J347" i="23313"/>
  <c r="K347" i="23313"/>
  <c r="L347" i="23313" s="1"/>
  <c r="H348" i="23313"/>
  <c r="J348" i="23313"/>
  <c r="K348" i="23313"/>
  <c r="L348" i="23313" s="1"/>
  <c r="H349" i="23313"/>
  <c r="J349" i="23313"/>
  <c r="K349" i="23313"/>
  <c r="L349" i="23313" s="1"/>
  <c r="H350" i="23313"/>
  <c r="J350" i="23313"/>
  <c r="K350" i="23313"/>
  <c r="L350" i="23313" s="1"/>
  <c r="H215" i="23313"/>
  <c r="K215" i="23313"/>
  <c r="L215" i="23313" s="1"/>
  <c r="J215" i="23313"/>
  <c r="J223" i="23313"/>
  <c r="K223" i="23313"/>
  <c r="L223" i="23313" s="1"/>
  <c r="H223" i="23313"/>
  <c r="K357" i="23313" l="1"/>
  <c r="L357" i="23313" s="1"/>
  <c r="J357" i="23313"/>
  <c r="H357" i="23313"/>
  <c r="O182" i="23313"/>
  <c r="L103" i="23313"/>
  <c r="L104" i="23313"/>
  <c r="O102" i="23313" l="1"/>
  <c r="K262" i="23313"/>
  <c r="L262" i="23313" s="1"/>
  <c r="H262" i="23313"/>
  <c r="O261" i="23313"/>
  <c r="O251" i="23313"/>
  <c r="O231" i="23313"/>
  <c r="P230" i="23313"/>
  <c r="J327" i="23313" l="1"/>
  <c r="J329" i="23313"/>
  <c r="J330" i="23313"/>
  <c r="J331" i="23313"/>
  <c r="J332" i="23313"/>
  <c r="J255" i="23313" l="1"/>
  <c r="K255" i="23313"/>
  <c r="J256" i="23313"/>
  <c r="K256" i="23313"/>
  <c r="H259" i="23313"/>
  <c r="J259" i="23313"/>
  <c r="K259" i="23313"/>
  <c r="H260" i="23313"/>
  <c r="J260" i="23313"/>
  <c r="K260" i="23313"/>
  <c r="L260" i="23313" s="1"/>
  <c r="H261" i="23313"/>
  <c r="K261" i="23313"/>
  <c r="L261" i="23313" s="1"/>
  <c r="L256" i="23313" l="1"/>
  <c r="L255" i="23313"/>
  <c r="H255" i="23313"/>
  <c r="L259" i="23313"/>
  <c r="H256" i="23313"/>
  <c r="J261" i="23313"/>
  <c r="K327" i="23313"/>
  <c r="L327" i="23313" s="1"/>
  <c r="K329" i="23313"/>
  <c r="L329" i="23313" s="1"/>
  <c r="K330" i="23313"/>
  <c r="L330" i="23313" s="1"/>
  <c r="K331" i="23313"/>
  <c r="L331" i="23313" s="1"/>
  <c r="K332" i="23313"/>
  <c r="L332" i="23313" s="1"/>
  <c r="H327" i="23313"/>
  <c r="H329" i="23313"/>
  <c r="H330" i="23313"/>
  <c r="H331" i="23313"/>
  <c r="H332" i="23313"/>
  <c r="H325" i="23313"/>
  <c r="H326" i="23313"/>
  <c r="H177" i="23313"/>
  <c r="J177" i="23313"/>
  <c r="K177" i="23313"/>
  <c r="L177" i="23313" s="1"/>
  <c r="J182" i="23313"/>
  <c r="K182" i="23313"/>
  <c r="L182" i="23313" s="1"/>
  <c r="H182" i="23313"/>
  <c r="O176" i="23313"/>
  <c r="J181" i="23313"/>
  <c r="K181" i="23313"/>
  <c r="L181" i="23313" s="1"/>
  <c r="H181" i="23313"/>
  <c r="P231" i="23313"/>
  <c r="O127" i="23313"/>
  <c r="K127" i="23313"/>
  <c r="L127" i="23313" s="1"/>
  <c r="J127" i="23313"/>
  <c r="H127" i="23313"/>
  <c r="H144" i="23313"/>
  <c r="J144" i="23313"/>
  <c r="H143" i="23313"/>
  <c r="J143" i="23313"/>
  <c r="H142" i="23313"/>
  <c r="J142" i="23313"/>
  <c r="K144" i="23313"/>
  <c r="L144" i="23313" s="1"/>
  <c r="K143" i="23313"/>
  <c r="L143" i="23313" s="1"/>
  <c r="K142" i="23313"/>
  <c r="L142" i="23313" s="1"/>
  <c r="K124" i="23313" l="1"/>
  <c r="L124" i="23313" s="1"/>
  <c r="J124" i="23313"/>
  <c r="H124" i="23313"/>
  <c r="J303" i="23313"/>
  <c r="K303" i="23313"/>
  <c r="L303" i="23313" s="1"/>
  <c r="J302" i="23313"/>
  <c r="K302" i="23313"/>
  <c r="L302" i="23313" s="1"/>
  <c r="H303" i="23313"/>
  <c r="H302" i="23313"/>
  <c r="H122" i="23313"/>
  <c r="J122" i="23313"/>
  <c r="H121" i="23313"/>
  <c r="J121" i="23313"/>
  <c r="O94" i="23313"/>
  <c r="J94" i="23313"/>
  <c r="K94" i="23313"/>
  <c r="L94" i="23313" s="1"/>
  <c r="H94" i="23313"/>
  <c r="O92" i="23313"/>
  <c r="H287" i="23313" l="1"/>
  <c r="J287" i="23313"/>
  <c r="K287" i="23313"/>
  <c r="L287" i="23313" s="1"/>
  <c r="K301" i="23313"/>
  <c r="L301" i="23313" s="1"/>
  <c r="K122" i="23313" l="1"/>
  <c r="L122" i="23313" s="1"/>
  <c r="K121" i="23313"/>
  <c r="L121" i="23313" s="1"/>
  <c r="K244" i="23313" l="1"/>
  <c r="L244" i="23313" s="1"/>
  <c r="J244" i="23313"/>
  <c r="H244" i="23313"/>
  <c r="H238" i="23313"/>
  <c r="J238" i="23313"/>
  <c r="K238" i="23313"/>
  <c r="L238" i="23313" s="1"/>
  <c r="H239" i="23313"/>
  <c r="J239" i="23313"/>
  <c r="K239" i="23313"/>
  <c r="L239" i="23313" s="1"/>
  <c r="H243" i="23313"/>
  <c r="J243" i="23313"/>
  <c r="K243" i="23313"/>
  <c r="L243" i="23313" s="1"/>
  <c r="J179" i="23313"/>
  <c r="H74" i="23313"/>
  <c r="H75" i="23313"/>
  <c r="H76" i="23313"/>
  <c r="J76" i="23313"/>
  <c r="K76" i="23313"/>
  <c r="L76" i="23313" s="1"/>
  <c r="J65" i="23313"/>
  <c r="K65" i="23313"/>
  <c r="L65" i="23313" s="1"/>
  <c r="J66" i="23313"/>
  <c r="K66" i="23313"/>
  <c r="L66" i="23313" s="1"/>
  <c r="J67" i="23313"/>
  <c r="G67" i="23313"/>
  <c r="K67" i="23313" s="1"/>
  <c r="L67" i="23313" s="1"/>
  <c r="H66" i="23313"/>
  <c r="G64" i="23313"/>
  <c r="H65" i="23313"/>
  <c r="J74" i="23313"/>
  <c r="K74" i="23313"/>
  <c r="L74" i="23313" s="1"/>
  <c r="H67" i="23313" l="1"/>
  <c r="G173" i="23313"/>
  <c r="K173" i="23313" s="1"/>
  <c r="L173" i="23313" s="1"/>
  <c r="J173" i="23313"/>
  <c r="K314" i="23313"/>
  <c r="L314" i="23313" s="1"/>
  <c r="J314" i="23313"/>
  <c r="H314" i="23313"/>
  <c r="J316" i="23313"/>
  <c r="K316" i="23313"/>
  <c r="L316" i="23313" s="1"/>
  <c r="H316" i="23313"/>
  <c r="H173" i="23313" l="1"/>
  <c r="J180" i="23313"/>
  <c r="K180" i="23313"/>
  <c r="L180" i="23313" s="1"/>
  <c r="H180" i="23313"/>
  <c r="P174" i="23313"/>
  <c r="K175" i="23313"/>
  <c r="L175" i="23313" s="1"/>
  <c r="J175" i="23313"/>
  <c r="H175" i="23313"/>
  <c r="K297" i="23313"/>
  <c r="L297" i="23313" s="1"/>
  <c r="J297" i="23313"/>
  <c r="H297" i="23313"/>
  <c r="K299" i="23313"/>
  <c r="L299" i="23313" s="1"/>
  <c r="J299" i="23313"/>
  <c r="J300" i="23313"/>
  <c r="J301" i="23313"/>
  <c r="H299" i="23313"/>
  <c r="H300" i="23313"/>
  <c r="H301" i="23313"/>
  <c r="O91" i="23313"/>
  <c r="O277" i="23313"/>
  <c r="O247" i="23313"/>
  <c r="P251" i="23313"/>
  <c r="A3" i="23309"/>
  <c r="J325" i="23313" l="1"/>
  <c r="K325" i="23313"/>
  <c r="L325" i="23313" s="1"/>
  <c r="O298" i="23313"/>
  <c r="K110" i="23313"/>
  <c r="L110" i="23313" s="1"/>
  <c r="J110" i="23313"/>
  <c r="H110" i="23313"/>
  <c r="K221" i="23313"/>
  <c r="L221" i="23313" s="1"/>
  <c r="J221" i="23313"/>
  <c r="K126" i="23313"/>
  <c r="L126" i="23313" s="1"/>
  <c r="J126" i="23313"/>
  <c r="H126" i="23313"/>
  <c r="K125" i="23313"/>
  <c r="L125" i="23313" s="1"/>
  <c r="J125" i="23313"/>
  <c r="H125" i="23313"/>
  <c r="K123" i="23313"/>
  <c r="L123" i="23313" s="1"/>
  <c r="J123" i="23313"/>
  <c r="H123" i="23313"/>
  <c r="K114" i="23313"/>
  <c r="L114" i="23313" s="1"/>
  <c r="J114" i="23313"/>
  <c r="H114" i="23313"/>
  <c r="O174" i="23313" l="1"/>
  <c r="O324" i="23313"/>
  <c r="J326" i="23313"/>
  <c r="K326" i="23313"/>
  <c r="L326" i="23313" s="1"/>
  <c r="O315" i="23313"/>
  <c r="J120" i="23313" l="1"/>
  <c r="K120" i="23313"/>
  <c r="L120" i="23313" s="1"/>
  <c r="H120" i="23313"/>
  <c r="H117" i="23313"/>
  <c r="J117" i="23313"/>
  <c r="K117" i="23313"/>
  <c r="L117" i="23313" s="1"/>
  <c r="J116" i="23313"/>
  <c r="K116" i="23313"/>
  <c r="L116" i="23313" s="1"/>
  <c r="H116" i="23313"/>
  <c r="O90" i="23313" l="1"/>
  <c r="K312" i="23313"/>
  <c r="L312" i="23313" s="1"/>
  <c r="J312" i="23313"/>
  <c r="H312" i="23313"/>
  <c r="K209" i="23313" l="1"/>
  <c r="L209" i="23313" s="1"/>
  <c r="J209" i="23313"/>
  <c r="H209" i="23313"/>
  <c r="K214" i="23313"/>
  <c r="L214" i="23313" s="1"/>
  <c r="J214" i="23313"/>
  <c r="H214" i="23313"/>
  <c r="K60" i="23313"/>
  <c r="L60" i="23313" s="1"/>
  <c r="J60" i="23313"/>
  <c r="H60" i="23313"/>
  <c r="K141" i="23313" l="1"/>
  <c r="L141" i="23313" s="1"/>
  <c r="J141" i="23313"/>
  <c r="H141" i="23313"/>
  <c r="J231" i="23313" l="1"/>
  <c r="J232" i="23313"/>
  <c r="J251" i="23313"/>
  <c r="J248" i="23313"/>
  <c r="J247" i="23313"/>
  <c r="J230" i="23313"/>
  <c r="H231" i="23313"/>
  <c r="H232" i="23313"/>
  <c r="H251" i="23313"/>
  <c r="H248" i="23313"/>
  <c r="H247" i="23313"/>
  <c r="H230" i="23313"/>
  <c r="J199" i="23313"/>
  <c r="J203" i="23313"/>
  <c r="J204" i="23313"/>
  <c r="J210" i="23313"/>
  <c r="J211" i="23313"/>
  <c r="J220" i="23313"/>
  <c r="J222" i="23313"/>
  <c r="J193" i="23313"/>
  <c r="H199" i="23313"/>
  <c r="H203" i="23313"/>
  <c r="H204" i="23313"/>
  <c r="H210" i="23313"/>
  <c r="H220" i="23313"/>
  <c r="H222" i="23313"/>
  <c r="H193" i="23313"/>
  <c r="K24" i="23313"/>
  <c r="L24" i="23313" s="1"/>
  <c r="J24" i="23313"/>
  <c r="H24" i="23313"/>
  <c r="O29" i="23313"/>
  <c r="K28" i="23313"/>
  <c r="L28" i="23313" s="1"/>
  <c r="J28" i="23313"/>
  <c r="H28" i="23313"/>
  <c r="K136" i="23313"/>
  <c r="L136" i="23313" s="1"/>
  <c r="J136" i="23313"/>
  <c r="H136" i="23313"/>
  <c r="K58" i="23313"/>
  <c r="L58" i="23313" s="1"/>
  <c r="J58" i="23313"/>
  <c r="H58" i="23313"/>
  <c r="J272" i="23313" l="1"/>
  <c r="J226" i="23313"/>
  <c r="H272" i="23313"/>
  <c r="H226" i="23313"/>
  <c r="K300" i="23313"/>
  <c r="L300" i="23313" s="1"/>
  <c r="K319" i="23313"/>
  <c r="L319" i="23313" s="1"/>
  <c r="K320" i="23313"/>
  <c r="L320" i="23313" s="1"/>
  <c r="H313" i="23313"/>
  <c r="J313" i="23313"/>
  <c r="K313" i="23313"/>
  <c r="L313" i="23313" s="1"/>
  <c r="H324" i="23313"/>
  <c r="J324" i="23313"/>
  <c r="K324" i="23313"/>
  <c r="L324" i="23313" s="1"/>
  <c r="J315" i="23313" l="1"/>
  <c r="K315" i="23313"/>
  <c r="L315" i="23313" s="1"/>
  <c r="H315" i="23313"/>
  <c r="K230" i="23313" l="1"/>
  <c r="L230" i="23313" s="1"/>
  <c r="K231" i="23313"/>
  <c r="L231" i="23313" s="1"/>
  <c r="K278" i="23313"/>
  <c r="L278" i="23313" s="1"/>
  <c r="J278" i="23313"/>
  <c r="H278" i="23313"/>
  <c r="K298" i="23313"/>
  <c r="L298" i="23313" s="1"/>
  <c r="L306" i="23313" s="1"/>
  <c r="J298" i="23313"/>
  <c r="J306" i="23313" s="1"/>
  <c r="H298" i="23313"/>
  <c r="H306" i="23313" s="1"/>
  <c r="H178" i="23313"/>
  <c r="J178" i="23313"/>
  <c r="K178" i="23313"/>
  <c r="L178" i="23313" s="1"/>
  <c r="K91" i="23313"/>
  <c r="L91" i="23313" s="1"/>
  <c r="K93" i="23313"/>
  <c r="L93" i="23313" s="1"/>
  <c r="J91" i="23313"/>
  <c r="J93" i="23313"/>
  <c r="H91" i="23313"/>
  <c r="H93" i="23313"/>
  <c r="K286" i="23313"/>
  <c r="L286" i="23313" s="1"/>
  <c r="J286" i="23313"/>
  <c r="H286" i="23313"/>
  <c r="K277" i="23313"/>
  <c r="L277" i="23313" s="1"/>
  <c r="J277" i="23313"/>
  <c r="H277" i="23313"/>
  <c r="K248" i="23313"/>
  <c r="L248" i="23313" s="1"/>
  <c r="K90" i="23313"/>
  <c r="L90" i="23313" s="1"/>
  <c r="J90" i="23313"/>
  <c r="H90" i="23313"/>
  <c r="K54" i="23313"/>
  <c r="L54" i="23313" s="1"/>
  <c r="J54" i="23313"/>
  <c r="H54" i="23313"/>
  <c r="K222" i="23313" l="1"/>
  <c r="L222" i="23313" s="1"/>
  <c r="H335" i="23313"/>
  <c r="K335" i="23313"/>
  <c r="L335" i="23313" s="1"/>
  <c r="J335" i="23313"/>
  <c r="K309" i="23313"/>
  <c r="L309" i="23313" s="1"/>
  <c r="J309" i="23313"/>
  <c r="J365" i="23313" s="1"/>
  <c r="H309" i="23313"/>
  <c r="K247" i="23313"/>
  <c r="L247" i="23313" s="1"/>
  <c r="K211" i="23313"/>
  <c r="L211" i="23313" s="1"/>
  <c r="K210" i="23313"/>
  <c r="L210" i="23313" s="1"/>
  <c r="K199" i="23313"/>
  <c r="L199" i="23313" s="1"/>
  <c r="K220" i="23313"/>
  <c r="L220" i="23313" s="1"/>
  <c r="K179" i="23313"/>
  <c r="L179" i="23313" s="1"/>
  <c r="H179" i="23313"/>
  <c r="K102" i="23313"/>
  <c r="L102" i="23313" s="1"/>
  <c r="J102" i="23313"/>
  <c r="H102" i="23313"/>
  <c r="J112" i="23313"/>
  <c r="K118" i="23313"/>
  <c r="L118" i="23313" s="1"/>
  <c r="J118" i="23313"/>
  <c r="H118" i="23313"/>
  <c r="K112" i="23313"/>
  <c r="L112" i="23313" s="1"/>
  <c r="H112" i="23313"/>
  <c r="H79" i="23313"/>
  <c r="J79" i="23313"/>
  <c r="K79" i="23313"/>
  <c r="L79" i="23313" s="1"/>
  <c r="K20" i="23313"/>
  <c r="L20" i="23313" s="1"/>
  <c r="J20" i="23313"/>
  <c r="H20" i="23313"/>
  <c r="K27" i="23313"/>
  <c r="L27" i="23313" s="1"/>
  <c r="J27" i="23313"/>
  <c r="H27" i="23313"/>
  <c r="K18" i="23313"/>
  <c r="L18" i="23313" s="1"/>
  <c r="J18" i="23313"/>
  <c r="H18" i="23313"/>
  <c r="K31" i="23313"/>
  <c r="L365" i="23313" l="1"/>
  <c r="H365" i="23313"/>
  <c r="H85" i="23313"/>
  <c r="H37" i="23313" s="1"/>
  <c r="H174" i="23313"/>
  <c r="H176" i="23313"/>
  <c r="H189" i="23313" l="1"/>
  <c r="H89" i="23313"/>
  <c r="J89" i="23313"/>
  <c r="J98" i="23313" s="1"/>
  <c r="L46" i="23313"/>
  <c r="J46" i="23313"/>
  <c r="H46" i="23313"/>
  <c r="B46" i="23313"/>
  <c r="K176" i="23313"/>
  <c r="L176" i="23313" s="1"/>
  <c r="J176" i="23313"/>
  <c r="K174" i="23313"/>
  <c r="L174" i="23313" s="1"/>
  <c r="J174" i="23313"/>
  <c r="B45" i="23313"/>
  <c r="B44" i="23313"/>
  <c r="B43" i="23313"/>
  <c r="B42" i="23313"/>
  <c r="B41" i="23313"/>
  <c r="B40" i="23313"/>
  <c r="B39" i="23313"/>
  <c r="B38" i="23313"/>
  <c r="L285" i="23313"/>
  <c r="J285" i="23313"/>
  <c r="H285" i="23313"/>
  <c r="K284" i="23313"/>
  <c r="L284" i="23313" s="1"/>
  <c r="J284" i="23313"/>
  <c r="H284" i="23313"/>
  <c r="K276" i="23313"/>
  <c r="L276" i="23313" s="1"/>
  <c r="L281" i="23313" s="1"/>
  <c r="J276" i="23313"/>
  <c r="J281" i="23313" s="1"/>
  <c r="H276" i="23313"/>
  <c r="H281" i="23313" s="1"/>
  <c r="K232" i="23313"/>
  <c r="L232" i="23313" s="1"/>
  <c r="K251" i="23313"/>
  <c r="L251" i="23313" s="1"/>
  <c r="K204" i="23313"/>
  <c r="L204" i="23313" s="1"/>
  <c r="K203" i="23313"/>
  <c r="L203" i="23313" s="1"/>
  <c r="K193" i="23313"/>
  <c r="L193" i="23313" s="1"/>
  <c r="K111" i="23313"/>
  <c r="L111" i="23313" s="1"/>
  <c r="J111" i="23313"/>
  <c r="H111" i="23313"/>
  <c r="K113" i="23313"/>
  <c r="L113" i="23313" s="1"/>
  <c r="J113" i="23313"/>
  <c r="H113" i="23313"/>
  <c r="K64" i="23313"/>
  <c r="L64" i="23313" s="1"/>
  <c r="J64" i="23313"/>
  <c r="H64" i="23313"/>
  <c r="K75" i="23313"/>
  <c r="L75" i="23313" s="1"/>
  <c r="J75" i="23313"/>
  <c r="K63" i="23313"/>
  <c r="L63" i="23313" s="1"/>
  <c r="J63" i="23313"/>
  <c r="H63" i="23313"/>
  <c r="K59" i="23313"/>
  <c r="L59" i="23313" s="1"/>
  <c r="J59" i="23313"/>
  <c r="H59" i="23313"/>
  <c r="K92" i="23313"/>
  <c r="L92" i="23313" s="1"/>
  <c r="H92" i="23313"/>
  <c r="K89" i="23313"/>
  <c r="L89" i="23313" s="1"/>
  <c r="H52" i="23313"/>
  <c r="J52" i="23313"/>
  <c r="K52" i="23313"/>
  <c r="L52" i="23313" s="1"/>
  <c r="J56" i="23313"/>
  <c r="K56" i="23313"/>
  <c r="L56" i="23313" s="1"/>
  <c r="J189" i="23313" l="1"/>
  <c r="L189" i="23313"/>
  <c r="L98" i="23313"/>
  <c r="L170" i="23313"/>
  <c r="L39" i="23313" s="1"/>
  <c r="J170" i="23313"/>
  <c r="J39" i="23313" s="1"/>
  <c r="L226" i="23313"/>
  <c r="L41" i="23313" s="1"/>
  <c r="H170" i="23313"/>
  <c r="H39" i="23313" s="1"/>
  <c r="L69" i="23313"/>
  <c r="L36" i="23313" s="1"/>
  <c r="J40" i="23313"/>
  <c r="H294" i="23313"/>
  <c r="J85" i="23313"/>
  <c r="J37" i="23313" s="1"/>
  <c r="L85" i="23313"/>
  <c r="L37" i="23313" s="1"/>
  <c r="L272" i="23313"/>
  <c r="L42" i="23313" s="1"/>
  <c r="J294" i="23313"/>
  <c r="L294" i="23313"/>
  <c r="J69" i="23313"/>
  <c r="J36" i="23313" s="1"/>
  <c r="H69" i="23313"/>
  <c r="H36" i="23313" s="1"/>
  <c r="L40" i="23313"/>
  <c r="O46" i="23313"/>
  <c r="H42" i="23313"/>
  <c r="H41" i="23313"/>
  <c r="J41" i="23313"/>
  <c r="J42" i="23313"/>
  <c r="H40" i="23313"/>
  <c r="H98" i="23313"/>
  <c r="H373" i="23313" l="1"/>
  <c r="J373" i="23313"/>
  <c r="L373" i="23313"/>
  <c r="L44" i="23313"/>
  <c r="O40" i="23313"/>
  <c r="O39" i="23313"/>
  <c r="O42" i="23313"/>
  <c r="O41" i="23313"/>
  <c r="L45" i="23313"/>
  <c r="H45" i="23313"/>
  <c r="J45" i="23313"/>
  <c r="O45" i="23313" l="1"/>
  <c r="L31" i="23313"/>
  <c r="J31" i="23313"/>
  <c r="H31" i="23313"/>
  <c r="K26" i="23313"/>
  <c r="L26" i="23313" s="1"/>
  <c r="J26" i="23313"/>
  <c r="H26" i="23313"/>
  <c r="K22" i="23313"/>
  <c r="L22" i="23313" s="1"/>
  <c r="J22" i="23313"/>
  <c r="H22" i="23313"/>
  <c r="K21" i="23313"/>
  <c r="L21" i="23313" s="1"/>
  <c r="J21" i="23313"/>
  <c r="H21" i="23313"/>
  <c r="K17" i="23313"/>
  <c r="L17" i="23313" s="1"/>
  <c r="J17" i="23313"/>
  <c r="H17" i="23313"/>
  <c r="K16" i="23313"/>
  <c r="L16" i="23313" s="1"/>
  <c r="J16" i="23313"/>
  <c r="H16" i="23313"/>
  <c r="B8" i="23313"/>
  <c r="B7" i="23313"/>
  <c r="J38" i="23313" l="1"/>
  <c r="H38" i="23313"/>
  <c r="J33" i="23313"/>
  <c r="H33" i="23313"/>
  <c r="L33" i="23313"/>
  <c r="L38" i="23313"/>
  <c r="O38" i="23313" l="1"/>
  <c r="L7" i="23313"/>
  <c r="L8" i="23309"/>
  <c r="H7" i="23313"/>
  <c r="H8" i="23309"/>
  <c r="J7" i="23313"/>
  <c r="J8" i="23309"/>
  <c r="J43" i="23313"/>
  <c r="H43" i="23313"/>
  <c r="L43" i="23313"/>
  <c r="O43" i="23313" l="1"/>
  <c r="J44" i="23313" l="1"/>
  <c r="H44" i="23313"/>
  <c r="O44" i="23313" l="1"/>
  <c r="L48" i="23313"/>
  <c r="L7" i="23309" l="1"/>
  <c r="L8" i="23313"/>
  <c r="L10" i="23313" s="1"/>
  <c r="L10" i="23309" s="1"/>
  <c r="L12" i="23309" s="1"/>
  <c r="L14" i="23309" l="1"/>
  <c r="L15" i="23309"/>
  <c r="L13" i="23309"/>
  <c r="L16" i="23309"/>
  <c r="L19" i="23309" l="1"/>
  <c r="L22" i="23309" s="1"/>
  <c r="L23" i="23309" s="1"/>
  <c r="J48" i="23313"/>
  <c r="D8" i="23312" l="1"/>
  <c r="D7" i="23312" s="1"/>
  <c r="J7" i="23309"/>
  <c r="J8" i="23313"/>
  <c r="J10" i="23313" s="1"/>
  <c r="J10" i="23309" s="1"/>
  <c r="O36" i="23313" l="1"/>
  <c r="H48" i="23313"/>
  <c r="H7" i="23309" l="1"/>
  <c r="H8" i="23313"/>
  <c r="H10" i="23313" s="1"/>
  <c r="H10" i="23309" s="1"/>
</calcChain>
</file>

<file path=xl/sharedStrings.xml><?xml version="1.0" encoding="utf-8"?>
<sst xmlns="http://schemas.openxmlformats.org/spreadsheetml/2006/main" count="1080" uniqueCount="637">
  <si>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</si>
  <si>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</si>
  <si>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</si>
  <si>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</si>
  <si>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</si>
  <si>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</si>
  <si>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</si>
  <si>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</si>
  <si>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</si>
  <si>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</si>
  <si>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</si>
  <si>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</si>
  <si>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</si>
  <si>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</si>
  <si>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</si>
  <si>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</si>
  <si>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</si>
  <si>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</si>
  <si>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</si>
  <si>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</si>
  <si>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</si>
  <si>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</si>
  <si>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</si>
  <si>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</si>
  <si>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대운반</t>
    <phoneticPr fontId="22" type="noConversion"/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</si>
  <si>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</si>
  <si>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</si>
  <si>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</si>
  <si>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</si>
  <si>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</si>
  <si>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</si>
  <si>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5.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</si>
  <si>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</si>
  <si>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</si>
  <si>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</si>
  <si>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</si>
  <si>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</si>
  <si>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</si>
  <si>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</si>
  <si>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</si>
  <si>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</si>
  <si>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</si>
  <si>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</si>
  <si>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</si>
  <si>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</si>
  <si>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</si>
  <si>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</si>
  <si>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7" type="noConversion"/>
  </si>
  <si>
    <t xml:space="preserve">    ◈ 비  고 (REMARK)</t>
    <phoneticPr fontId="2" type="noConversion"/>
  </si>
  <si>
    <t>貴社의 사양에 衣하여 下記內容과 같이 見積합니다.</t>
  </si>
  <si>
    <t>)</t>
    <phoneticPr fontId="107" type="noConversion"/>
  </si>
  <si>
    <t>(</t>
    <phoneticPr fontId="107" type="noConversion"/>
  </si>
  <si>
    <t>一일금</t>
    <phoneticPr fontId="2" type="noConversion"/>
  </si>
  <si>
    <t xml:space="preserve">金    額(AMOUNT) : </t>
    <phoneticPr fontId="112" type="noConversion"/>
  </si>
  <si>
    <t xml:space="preserve">工事名(PROJECT) : </t>
    <phoneticPr fontId="112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</si>
  <si>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</si>
  <si>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</si>
  <si>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</si>
  <si>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</si>
  <si>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</si>
  <si>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</si>
  <si>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</si>
  <si>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</si>
  <si>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</si>
  <si>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</si>
  <si>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</si>
  <si>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</si>
  <si>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</si>
  <si>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</si>
  <si>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사다리차</t>
    <phoneticPr fontId="2" type="noConversion"/>
  </si>
  <si>
    <t>5TON</t>
    <phoneticPr fontId="22" type="noConversion"/>
  </si>
  <si>
    <t>대</t>
    <phoneticPr fontId="22" type="noConversion"/>
  </si>
  <si>
    <t>가설공사</t>
    <phoneticPr fontId="2" type="noConversion"/>
  </si>
  <si>
    <t>엘리베이터 보양</t>
    <phoneticPr fontId="2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</si>
  <si>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</si>
  <si>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</si>
  <si>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</si>
  <si>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엘리베이터 사용료</t>
    <phoneticPr fontId="22" type="noConversion"/>
  </si>
  <si>
    <t>인터폰</t>
    <phoneticPr fontId="22" type="noConversion"/>
  </si>
  <si>
    <t>디지털 도어락</t>
    <phoneticPr fontId="22" type="noConversion"/>
  </si>
  <si>
    <t>입주청소</t>
    <phoneticPr fontId="2" type="noConversion"/>
  </si>
  <si>
    <t>입주청소</t>
    <phoneticPr fontId="22" type="noConversion"/>
  </si>
  <si>
    <t>도어락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</si>
  <si>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</si>
  <si>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</si>
  <si>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</si>
  <si>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</si>
  <si>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</si>
  <si>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</si>
  <si>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</si>
  <si>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</si>
  <si>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배관 이설 공사</t>
    <phoneticPr fontId="2" type="noConversion"/>
  </si>
  <si>
    <t>설비</t>
    <phoneticPr fontId="2" type="noConversion"/>
  </si>
  <si>
    <t>설비</t>
    <phoneticPr fontId="22" type="noConversion"/>
  </si>
  <si>
    <t>필름 공사</t>
    <phoneticPr fontId="2" type="noConversion"/>
  </si>
  <si>
    <t>현관문</t>
    <phoneticPr fontId="2" type="noConversion"/>
  </si>
  <si>
    <t>필름 공사</t>
    <phoneticPr fontId="2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</si>
  <si>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</si>
  <si>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</si>
  <si>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</si>
  <si>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</si>
  <si>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2" type="noConversion"/>
  </si>
  <si>
    <t>안방 가구</t>
    <phoneticPr fontId="2" type="noConversion"/>
  </si>
  <si>
    <t>현관 가구</t>
    <phoneticPr fontId="2" type="noConversion"/>
  </si>
  <si>
    <t>행잉 신발장</t>
    <phoneticPr fontId="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</si>
  <si>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</si>
  <si>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</si>
  <si>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</si>
  <si>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거실, 방 조명</t>
    <phoneticPr fontId="2" type="noConversion"/>
  </si>
  <si>
    <t>발코니 조명</t>
    <phoneticPr fontId="2" type="noConversion"/>
  </si>
  <si>
    <t>매립 센서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</si>
  <si>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</si>
  <si>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</si>
  <si>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</si>
  <si>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</si>
  <si>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</si>
  <si>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욕조</t>
    <phoneticPr fontId="2" type="noConversion"/>
  </si>
  <si>
    <t>화장실 공사</t>
    <phoneticPr fontId="2" type="noConversion"/>
  </si>
  <si>
    <t>안방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</si>
  <si>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</si>
  <si>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</si>
  <si>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</si>
  <si>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</si>
  <si>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</si>
  <si>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ST-8071NB</t>
    <phoneticPr fontId="2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</si>
  <si>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</si>
  <si>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</si>
  <si>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</si>
  <si>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벽 타일</t>
    <phoneticPr fontId="2" type="noConversion"/>
  </si>
  <si>
    <t>바닥 타일</t>
    <phoneticPr fontId="2" type="noConversion"/>
  </si>
  <si>
    <t>부자재</t>
    <phoneticPr fontId="2" type="noConversion"/>
  </si>
  <si>
    <t>X18, 레미탈</t>
    <phoneticPr fontId="22" type="noConversion"/>
  </si>
  <si>
    <t>현관 바닥</t>
    <phoneticPr fontId="2" type="noConversion"/>
  </si>
  <si>
    <t>거실</t>
    <phoneticPr fontId="2" type="noConversion"/>
  </si>
  <si>
    <t>거실 벽체</t>
    <phoneticPr fontId="2" type="noConversion"/>
  </si>
  <si>
    <t>600*1200</t>
    <phoneticPr fontId="22" type="noConversion"/>
  </si>
  <si>
    <t>발코니</t>
    <phoneticPr fontId="2" type="noConversion"/>
  </si>
  <si>
    <t>발코니 바닥</t>
    <phoneticPr fontId="2" type="noConversion"/>
  </si>
  <si>
    <t>300*300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</si>
  <si>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</si>
  <si>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</si>
  <si>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</si>
  <si>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</si>
  <si>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</si>
  <si>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</si>
  <si>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</si>
  <si>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</si>
  <si>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</si>
  <si>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</si>
  <si>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기타 목 공사</t>
    <phoneticPr fontId="2" type="noConversion"/>
  </si>
  <si>
    <t>감리</t>
    <phoneticPr fontId="2" type="noConversion"/>
  </si>
  <si>
    <t>인테리어 공사</t>
    <phoneticPr fontId="2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</si>
  <si>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</si>
  <si>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</si>
  <si>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</si>
  <si>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실행 금액</t>
    <phoneticPr fontId="22" type="noConversion"/>
  </si>
  <si>
    <t>디자인 컨설팅</t>
    <phoneticPr fontId="2" type="noConversion"/>
  </si>
  <si>
    <t>인</t>
    <phoneticPr fontId="22" type="noConversion"/>
  </si>
  <si>
    <t>별도</t>
    <phoneticPr fontId="22" type="noConversion"/>
  </si>
  <si>
    <t>인쇼 마루</t>
    <phoneticPr fontId="22" type="noConversion"/>
  </si>
  <si>
    <t>36T ABS 도어 손잡이</t>
    <phoneticPr fontId="22" type="noConversion"/>
  </si>
  <si>
    <t>인쇼 플랫 그레이</t>
    <phoneticPr fontId="22" type="noConversion"/>
  </si>
  <si>
    <t>강마루</t>
    <phoneticPr fontId="22" type="noConversion"/>
  </si>
  <si>
    <t>중문</t>
    <phoneticPr fontId="22" type="noConversion"/>
  </si>
  <si>
    <t>유가</t>
    <phoneticPr fontId="22" type="noConversion"/>
  </si>
  <si>
    <t>절사</t>
    <phoneticPr fontId="22" type="noConversion"/>
  </si>
  <si>
    <t>ST-9022NB</t>
    <phoneticPr fontId="22" type="noConversion"/>
  </si>
  <si>
    <t>싱크볼</t>
    <phoneticPr fontId="2" type="noConversion"/>
  </si>
  <si>
    <t>타일 철거</t>
    <phoneticPr fontId="22" type="noConversion"/>
  </si>
  <si>
    <t>거실 벽</t>
    <phoneticPr fontId="22" type="noConversion"/>
  </si>
  <si>
    <t>벽체</t>
    <phoneticPr fontId="22" type="noConversion"/>
  </si>
  <si>
    <t>천장</t>
    <phoneticPr fontId="22" type="noConversion"/>
  </si>
  <si>
    <t>관리사무소 고객 직접 납부</t>
    <phoneticPr fontId="22" type="noConversion"/>
  </si>
  <si>
    <t>가설 공사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</si>
  <si>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</si>
  <si>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</si>
  <si>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</si>
  <si>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</si>
  <si>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</si>
  <si>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붙박이장 도어</t>
    <phoneticPr fontId="22" type="noConversion"/>
  </si>
  <si>
    <t>M2</t>
    <phoneticPr fontId="22" type="noConversion"/>
  </si>
  <si>
    <t>물량 산출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</si>
  <si>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</si>
  <si>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</si>
  <si>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</si>
  <si>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벽체</t>
    <phoneticPr fontId="22" type="noConversion"/>
  </si>
  <si>
    <t>거실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</si>
  <si>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</si>
  <si>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</si>
  <si>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</si>
  <si>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벽체공사(골조)</t>
    <phoneticPr fontId="22" type="noConversion"/>
  </si>
  <si>
    <t>벽체공사(석고)</t>
    <phoneticPr fontId="22" type="noConversion"/>
  </si>
  <si>
    <t>벽체공사(고밀도MDF)</t>
    <phoneticPr fontId="22" type="noConversion"/>
  </si>
  <si>
    <t>1X1 각재, 리브합판</t>
    <phoneticPr fontId="22" type="noConversion"/>
  </si>
  <si>
    <t>9.5T 석고보드 2PLY</t>
    <phoneticPr fontId="22" type="noConversion"/>
  </si>
  <si>
    <t>고밀도MDF 2PLY</t>
    <phoneticPr fontId="22" type="noConversion"/>
  </si>
  <si>
    <t>천장공사(골조)</t>
    <phoneticPr fontId="22" type="noConversion"/>
  </si>
  <si>
    <t>천장공사(석고)</t>
    <phoneticPr fontId="22" type="noConversion"/>
  </si>
  <si>
    <t>45T ABS 도어</t>
    <phoneticPr fontId="22" type="noConversion"/>
  </si>
  <si>
    <t>손잡이있는 히든도어</t>
    <phoneticPr fontId="22" type="noConversion"/>
  </si>
  <si>
    <t>손잡이없는 히든도어</t>
    <phoneticPr fontId="22" type="noConversion"/>
  </si>
  <si>
    <t>EA</t>
    <phoneticPr fontId="22" type="noConversion"/>
  </si>
  <si>
    <t>바닥타일</t>
    <phoneticPr fontId="22" type="noConversion"/>
  </si>
  <si>
    <t>벽 타일</t>
    <phoneticPr fontId="22" type="noConversion"/>
  </si>
  <si>
    <t>M</t>
    <phoneticPr fontId="22" type="noConversion"/>
  </si>
  <si>
    <t>걸레받이</t>
    <phoneticPr fontId="22" type="noConversion"/>
  </si>
  <si>
    <t>천장 몰딩</t>
    <phoneticPr fontId="22" type="noConversion"/>
  </si>
  <si>
    <t>-</t>
    <phoneticPr fontId="22" type="noConversion"/>
  </si>
  <si>
    <t>TV 브라켓 벽체 신설 및 매립</t>
    <phoneticPr fontId="22" type="noConversion"/>
  </si>
  <si>
    <t>1X1 각재, 9T 합판</t>
    <phoneticPr fontId="22" type="noConversion"/>
  </si>
  <si>
    <t>식</t>
    <phoneticPr fontId="22" type="noConversion"/>
  </si>
  <si>
    <t>-</t>
    <phoneticPr fontId="22" type="noConversion"/>
  </si>
  <si>
    <t>바닥타일</t>
    <phoneticPr fontId="22" type="noConversion"/>
  </si>
  <si>
    <t>600*600</t>
    <phoneticPr fontId="22" type="noConversion"/>
  </si>
  <si>
    <t>거실 바닥</t>
    <phoneticPr fontId="22" type="noConversion"/>
  </si>
  <si>
    <t>부자재</t>
    <phoneticPr fontId="22" type="noConversion"/>
  </si>
  <si>
    <t>VAT 별도</t>
    <phoneticPr fontId="22" type="noConversion"/>
  </si>
  <si>
    <t>부가세 별도</t>
    <phoneticPr fontId="22" type="noConversion"/>
  </si>
  <si>
    <t>천장 철거</t>
    <phoneticPr fontId="2" type="noConversion"/>
  </si>
  <si>
    <t>붙박이 장</t>
    <phoneticPr fontId="2" type="noConversion"/>
  </si>
  <si>
    <t>에어컨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</si>
  <si>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</si>
  <si>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</si>
  <si>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</si>
  <si>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터닝도어</t>
    <phoneticPr fontId="22" type="noConversion"/>
  </si>
  <si>
    <t>이건창호</t>
    <phoneticPr fontId="22" type="noConversion"/>
  </si>
  <si>
    <t>싱크대 인조대리석</t>
    <phoneticPr fontId="2" type="noConversion"/>
  </si>
  <si>
    <t>싱크 수전</t>
    <phoneticPr fontId="2" type="noConversion"/>
  </si>
  <si>
    <t>인조대리석</t>
    <phoneticPr fontId="22" type="noConversion"/>
  </si>
  <si>
    <t>식</t>
    <phoneticPr fontId="22" type="noConversion"/>
  </si>
  <si>
    <t>가스관 철거</t>
    <phoneticPr fontId="2" type="noConversion"/>
  </si>
  <si>
    <t>도어씰</t>
    <phoneticPr fontId="22" type="noConversion"/>
  </si>
  <si>
    <t xml:space="preserve">ST-8072NB </t>
    <phoneticPr fontId="22" type="noConversion"/>
  </si>
  <si>
    <t>거울 장</t>
    <phoneticPr fontId="2" type="noConversion"/>
  </si>
  <si>
    <t>제작</t>
    <phoneticPr fontId="22" type="noConversion"/>
  </si>
  <si>
    <t>면적 * 1.5 / 1.5단위로 끊기</t>
    <phoneticPr fontId="22" type="noConversion"/>
  </si>
  <si>
    <t>전열교환기</t>
    <phoneticPr fontId="22" type="noConversion"/>
  </si>
  <si>
    <t>환기</t>
    <phoneticPr fontId="22" type="noConversion"/>
  </si>
  <si>
    <t>벽체 석고보드 2PLY 시공</t>
    <phoneticPr fontId="2" type="noConversion"/>
  </si>
  <si>
    <t>-</t>
    <phoneticPr fontId="22" type="noConversion"/>
  </si>
  <si>
    <t>아일랜드 인조대리석</t>
    <phoneticPr fontId="22" type="noConversion"/>
  </si>
  <si>
    <t>M</t>
    <phoneticPr fontId="22" type="noConversion"/>
  </si>
  <si>
    <t>아일랜드 후드</t>
    <phoneticPr fontId="22" type="noConversion"/>
  </si>
  <si>
    <t>하츠 스퀘어 SIH-30S 750</t>
    <phoneticPr fontId="22" type="noConversion"/>
  </si>
  <si>
    <t>자동댐퍼 포함</t>
    <phoneticPr fontId="22" type="noConversion"/>
  </si>
  <si>
    <t>SET</t>
    <phoneticPr fontId="22" type="noConversion"/>
  </si>
  <si>
    <t>붙박이 장 EP</t>
    <phoneticPr fontId="2" type="noConversion"/>
  </si>
  <si>
    <t>좌우측면</t>
    <phoneticPr fontId="22" type="noConversion"/>
  </si>
  <si>
    <t>-</t>
    <phoneticPr fontId="22" type="noConversion"/>
  </si>
  <si>
    <t>M2</t>
    <phoneticPr fontId="22" type="noConversion"/>
  </si>
  <si>
    <t>벽체 고밀도 MDF 시공</t>
    <phoneticPr fontId="22" type="noConversion"/>
  </si>
  <si>
    <t>36T ABS 도어 및 문틀</t>
    <phoneticPr fontId="22" type="noConversion"/>
  </si>
  <si>
    <t>전체 철거</t>
    <phoneticPr fontId="22" type="noConversion"/>
  </si>
  <si>
    <t>ST-101NB</t>
    <phoneticPr fontId="22" type="noConversion"/>
  </si>
  <si>
    <t>ST-106NB</t>
    <phoneticPr fontId="22" type="noConversion"/>
  </si>
  <si>
    <t>고객 결제 별도</t>
    <phoneticPr fontId="22" type="noConversion"/>
  </si>
  <si>
    <t>10T 광폭</t>
    <phoneticPr fontId="22" type="noConversion"/>
  </si>
  <si>
    <t>강마루</t>
    <phoneticPr fontId="22" type="noConversion"/>
  </si>
  <si>
    <t>각 방</t>
    <phoneticPr fontId="22" type="noConversion"/>
  </si>
  <si>
    <t>세라믹 코트</t>
    <phoneticPr fontId="22" type="noConversion"/>
  </si>
  <si>
    <t>걸레받이/ 천장몰딩</t>
    <phoneticPr fontId="2" type="noConversion"/>
  </si>
  <si>
    <t>인쇼마루</t>
    <phoneticPr fontId="22" type="noConversion"/>
  </si>
  <si>
    <t>에디톤 플로어</t>
    <phoneticPr fontId="22" type="noConversion"/>
  </si>
  <si>
    <t>PY</t>
    <phoneticPr fontId="22" type="noConversion"/>
  </si>
  <si>
    <t>라인 조명</t>
    <phoneticPr fontId="22" type="noConversion"/>
  </si>
  <si>
    <t>M</t>
    <phoneticPr fontId="22" type="noConversion"/>
  </si>
  <si>
    <t>M</t>
    <phoneticPr fontId="22" type="noConversion"/>
  </si>
  <si>
    <t>인쇼 CCT 라인조명</t>
    <phoneticPr fontId="22" type="noConversion"/>
  </si>
  <si>
    <t>인쇼 CCT 2인치 다운라이트</t>
    <phoneticPr fontId="22" type="noConversion"/>
  </si>
  <si>
    <t>인쇼 LED BAR, SMPS 포함</t>
    <phoneticPr fontId="22" type="noConversion"/>
  </si>
  <si>
    <t>600*1200</t>
    <phoneticPr fontId="22" type="noConversion"/>
  </si>
  <si>
    <t>-</t>
    <phoneticPr fontId="22" type="noConversion"/>
  </si>
  <si>
    <t>코너 콘센트</t>
    <phoneticPr fontId="22" type="noConversion"/>
  </si>
  <si>
    <t>화장실 거울장 내부</t>
    <phoneticPr fontId="22" type="noConversion"/>
  </si>
  <si>
    <t>EA</t>
    <phoneticPr fontId="22" type="noConversion"/>
  </si>
  <si>
    <t>-</t>
    <phoneticPr fontId="22" type="noConversion"/>
  </si>
  <si>
    <t>락소 히든몰딩</t>
    <phoneticPr fontId="22" type="noConversion"/>
  </si>
  <si>
    <t>천장 석고보드 덧붙임 시공</t>
    <phoneticPr fontId="22" type="noConversion"/>
  </si>
  <si>
    <t>9.5T 석고보드 1PLY</t>
    <phoneticPr fontId="22" type="noConversion"/>
  </si>
  <si>
    <t>천장 골조 공사 OR 보강 공사</t>
    <phoneticPr fontId="2" type="noConversion"/>
  </si>
  <si>
    <t>M2</t>
    <phoneticPr fontId="22" type="noConversion"/>
  </si>
  <si>
    <t>제어기 함</t>
    <phoneticPr fontId="22" type="noConversion"/>
  </si>
  <si>
    <t>인쇼 제어기함 세트 960W</t>
    <phoneticPr fontId="22" type="noConversion"/>
  </si>
  <si>
    <t>EA</t>
    <phoneticPr fontId="22" type="noConversion"/>
  </si>
  <si>
    <t>분배기 교체 공사</t>
    <phoneticPr fontId="22" type="noConversion"/>
  </si>
  <si>
    <t>분배기 이설 공사</t>
    <phoneticPr fontId="22" type="noConversion"/>
  </si>
  <si>
    <t>식</t>
    <phoneticPr fontId="22" type="noConversion"/>
  </si>
  <si>
    <t>설비</t>
    <phoneticPr fontId="22" type="noConversion"/>
  </si>
  <si>
    <t>설비</t>
    <phoneticPr fontId="22" type="noConversion"/>
  </si>
  <si>
    <t>구동기 및 제어기 공사</t>
    <phoneticPr fontId="22" type="noConversion"/>
  </si>
  <si>
    <t>온도조절기 공사</t>
    <phoneticPr fontId="22" type="noConversion"/>
  </si>
  <si>
    <t>EA</t>
    <phoneticPr fontId="22" type="noConversion"/>
  </si>
  <si>
    <t>EA</t>
    <phoneticPr fontId="22" type="noConversion"/>
  </si>
  <si>
    <t>인쇼 멀티제어 - 분배기 5구SET</t>
    <phoneticPr fontId="22" type="noConversion"/>
  </si>
  <si>
    <t>구당 9만원</t>
    <phoneticPr fontId="22" type="noConversion"/>
  </si>
  <si>
    <t>구당 10만원</t>
    <phoneticPr fontId="22" type="noConversion"/>
  </si>
  <si>
    <t>10평에 1.1대</t>
    <phoneticPr fontId="22" type="noConversion"/>
  </si>
  <si>
    <t>인쇼 온도조절기</t>
    <phoneticPr fontId="22" type="noConversion"/>
  </si>
  <si>
    <t>온도조절기 공사</t>
    <phoneticPr fontId="22" type="noConversion"/>
  </si>
  <si>
    <t>허니웰 DT300</t>
    <phoneticPr fontId="22" type="noConversion"/>
  </si>
  <si>
    <t>EA</t>
    <phoneticPr fontId="22" type="noConversion"/>
  </si>
  <si>
    <t>M2</t>
    <phoneticPr fontId="22" type="noConversion"/>
  </si>
  <si>
    <t>600*1200</t>
    <phoneticPr fontId="22" type="noConversion"/>
  </si>
  <si>
    <t>-</t>
    <phoneticPr fontId="22" type="noConversion"/>
  </si>
  <si>
    <t>벽타일</t>
    <phoneticPr fontId="22" type="noConversion"/>
  </si>
  <si>
    <t>거실 타일</t>
    <phoneticPr fontId="22" type="noConversion"/>
  </si>
  <si>
    <t>벽체 필름 마감</t>
    <phoneticPr fontId="2" type="noConversion"/>
  </si>
  <si>
    <t>-</t>
    <phoneticPr fontId="22" type="noConversion"/>
  </si>
  <si>
    <t>아일랜드 서랍</t>
    <phoneticPr fontId="22" type="noConversion"/>
  </si>
  <si>
    <t>-</t>
    <phoneticPr fontId="22" type="noConversion"/>
  </si>
  <si>
    <t>후드</t>
    <phoneticPr fontId="22" type="noConversion"/>
  </si>
  <si>
    <t>SET</t>
    <phoneticPr fontId="22" type="noConversion"/>
  </si>
  <si>
    <t>하츠 아일랜드 후드 SIH-30S</t>
    <phoneticPr fontId="22" type="noConversion"/>
  </si>
  <si>
    <t>원목마루</t>
    <phoneticPr fontId="22" type="noConversion"/>
  </si>
  <si>
    <t>PY</t>
    <phoneticPr fontId="22" type="noConversion"/>
  </si>
  <si>
    <t>장판</t>
    <phoneticPr fontId="22" type="noConversion"/>
  </si>
  <si>
    <t>PY</t>
    <phoneticPr fontId="22" type="noConversion"/>
  </si>
  <si>
    <t>발레나 / 올퍼티</t>
    <phoneticPr fontId="22" type="noConversion"/>
  </si>
  <si>
    <t>벽체</t>
    <phoneticPr fontId="22" type="noConversion"/>
  </si>
  <si>
    <t>벽체 도장 공사</t>
    <phoneticPr fontId="22" type="noConversion"/>
  </si>
  <si>
    <t>M2</t>
    <phoneticPr fontId="22" type="noConversion"/>
  </si>
  <si>
    <t>방 전체</t>
    <phoneticPr fontId="22" type="noConversion"/>
  </si>
  <si>
    <t>제작 쇼파</t>
    <phoneticPr fontId="22" type="noConversion"/>
  </si>
  <si>
    <t>M2</t>
    <phoneticPr fontId="22" type="noConversion"/>
  </si>
  <si>
    <t>강마루</t>
    <phoneticPr fontId="22" type="noConversion"/>
  </si>
  <si>
    <t>마뷸러스S 셀럽베이지</t>
    <phoneticPr fontId="22" type="noConversion"/>
  </si>
  <si>
    <t>PY</t>
    <phoneticPr fontId="22" type="noConversion"/>
  </si>
  <si>
    <t>PY</t>
    <phoneticPr fontId="22" type="noConversion"/>
  </si>
  <si>
    <t>-</t>
    <phoneticPr fontId="22" type="noConversion"/>
  </si>
  <si>
    <t>화장대</t>
    <phoneticPr fontId="22" type="noConversion"/>
  </si>
  <si>
    <t>화장대 가구장</t>
    <phoneticPr fontId="22" type="noConversion"/>
  </si>
  <si>
    <t>화장대 상판</t>
    <phoneticPr fontId="22" type="noConversion"/>
  </si>
  <si>
    <t>-</t>
    <phoneticPr fontId="22" type="noConversion"/>
  </si>
  <si>
    <t>자</t>
    <phoneticPr fontId="22" type="noConversion"/>
  </si>
  <si>
    <t>M</t>
    <phoneticPr fontId="22" type="noConversion"/>
  </si>
  <si>
    <t>M</t>
    <phoneticPr fontId="22" type="noConversion"/>
  </si>
  <si>
    <t>가구 도어</t>
    <phoneticPr fontId="22" type="noConversion"/>
  </si>
  <si>
    <t>세탁실 상부장</t>
    <phoneticPr fontId="2" type="noConversion"/>
  </si>
  <si>
    <t>세탁실 서랍장</t>
    <phoneticPr fontId="2" type="noConversion"/>
  </si>
  <si>
    <t>-</t>
    <phoneticPr fontId="22" type="noConversion"/>
  </si>
  <si>
    <t>EA</t>
    <phoneticPr fontId="22" type="noConversion"/>
  </si>
  <si>
    <t>간접 조명</t>
    <phoneticPr fontId="2" type="noConversion"/>
  </si>
  <si>
    <t>LED BAR, SMPS 포함</t>
    <phoneticPr fontId="22" type="noConversion"/>
  </si>
  <si>
    <t>-</t>
    <phoneticPr fontId="22" type="noConversion"/>
  </si>
  <si>
    <t>2,3인치 매립등</t>
    <phoneticPr fontId="22" type="noConversion"/>
  </si>
  <si>
    <t>EA</t>
    <phoneticPr fontId="22" type="noConversion"/>
  </si>
  <si>
    <t>-</t>
    <phoneticPr fontId="22" type="noConversion"/>
  </si>
  <si>
    <t>간살 파티션</t>
    <phoneticPr fontId="22" type="noConversion"/>
  </si>
  <si>
    <t>SET</t>
    <phoneticPr fontId="22" type="noConversion"/>
  </si>
  <si>
    <t>-</t>
    <phoneticPr fontId="22" type="noConversion"/>
  </si>
  <si>
    <t>오픈장</t>
    <phoneticPr fontId="22" type="noConversion"/>
  </si>
  <si>
    <t>샷시</t>
    <phoneticPr fontId="22" type="noConversion"/>
  </si>
  <si>
    <t>침대헤드</t>
    <phoneticPr fontId="22" type="noConversion"/>
  </si>
  <si>
    <t>쇼파</t>
    <phoneticPr fontId="22" type="noConversion"/>
  </si>
  <si>
    <t>씽크대</t>
    <phoneticPr fontId="22" type="noConversion"/>
  </si>
  <si>
    <t>화장살</t>
    <phoneticPr fontId="22" type="noConversion"/>
  </si>
  <si>
    <t>ㅅ;ㄴ빌징</t>
    <phoneticPr fontId="22" type="noConversion"/>
  </si>
  <si>
    <t>3+3+2</t>
    <phoneticPr fontId="22" type="noConversion"/>
  </si>
  <si>
    <t>M103 19 20MM 2p용</t>
    <phoneticPr fontId="22" type="noConversion"/>
  </si>
  <si>
    <t>슬라이딩 도어 손잡이</t>
    <phoneticPr fontId="22" type="noConversion"/>
  </si>
  <si>
    <t>서비스 항목</t>
    <phoneticPr fontId="22" type="noConversion"/>
  </si>
  <si>
    <t>슬라이딩 도어 포켓</t>
    <phoneticPr fontId="22" type="noConversion"/>
  </si>
  <si>
    <t xml:space="preserve">쇼파 </t>
    <phoneticPr fontId="22" type="noConversion"/>
  </si>
  <si>
    <t>식</t>
    <phoneticPr fontId="22" type="noConversion"/>
  </si>
  <si>
    <t>현관</t>
    <phoneticPr fontId="22" type="noConversion"/>
  </si>
  <si>
    <t>식</t>
    <phoneticPr fontId="22" type="noConversion"/>
  </si>
  <si>
    <t>-</t>
    <phoneticPr fontId="22" type="noConversion"/>
  </si>
  <si>
    <t>화장실</t>
    <phoneticPr fontId="22" type="noConversion"/>
  </si>
  <si>
    <t>300*300</t>
    <phoneticPr fontId="22" type="noConversion"/>
  </si>
  <si>
    <t>현관 거울(은경)</t>
    <phoneticPr fontId="22" type="noConversion"/>
  </si>
  <si>
    <t>쇼파 쿠션, 등받이 포함</t>
    <phoneticPr fontId="22" type="noConversion"/>
  </si>
  <si>
    <t>-</t>
    <phoneticPr fontId="22" type="noConversion"/>
  </si>
  <si>
    <t>-</t>
    <phoneticPr fontId="22" type="noConversion"/>
  </si>
  <si>
    <t>-</t>
    <phoneticPr fontId="22" type="noConversion"/>
  </si>
  <si>
    <t>쇼파 제작</t>
    <phoneticPr fontId="22" type="noConversion"/>
  </si>
  <si>
    <t>식</t>
    <phoneticPr fontId="22" type="noConversion"/>
  </si>
  <si>
    <t>화장실 도어</t>
    <phoneticPr fontId="22" type="noConversion"/>
  </si>
  <si>
    <t>영림 베이지449-3</t>
  </si>
  <si>
    <t>화이트</t>
    <phoneticPr fontId="22" type="noConversion"/>
  </si>
  <si>
    <t>고객님 의견 반영 후</t>
    <phoneticPr fontId="22" type="noConversion"/>
  </si>
  <si>
    <t>보닥 ZX165</t>
    <phoneticPr fontId="22" type="noConversion"/>
  </si>
  <si>
    <t>발코니</t>
    <phoneticPr fontId="22" type="noConversion"/>
  </si>
  <si>
    <t>보조주방</t>
    <phoneticPr fontId="22" type="noConversion"/>
  </si>
  <si>
    <t>주방 가구</t>
    <phoneticPr fontId="2" type="noConversion"/>
  </si>
  <si>
    <t>씨트리 1500*1500</t>
    <phoneticPr fontId="22" type="noConversion"/>
  </si>
  <si>
    <t xml:space="preserve"> </t>
    <phoneticPr fontId="22" type="noConversion"/>
  </si>
  <si>
    <t>데크 공사</t>
    <phoneticPr fontId="22" type="noConversion"/>
  </si>
  <si>
    <t>데크 계단</t>
    <phoneticPr fontId="22" type="noConversion"/>
  </si>
  <si>
    <t>M2</t>
    <phoneticPr fontId="22" type="noConversion"/>
  </si>
  <si>
    <t>전체</t>
    <phoneticPr fontId="22" type="noConversion"/>
  </si>
  <si>
    <t>식</t>
    <phoneticPr fontId="22" type="noConversion"/>
  </si>
  <si>
    <t>-</t>
    <phoneticPr fontId="22" type="noConversion"/>
  </si>
  <si>
    <t>-</t>
    <phoneticPr fontId="22" type="noConversion"/>
  </si>
  <si>
    <t>부자재</t>
    <phoneticPr fontId="22" type="noConversion"/>
  </si>
  <si>
    <t>부자재</t>
    <phoneticPr fontId="22" type="noConversion"/>
  </si>
  <si>
    <t>아덱스 탄성 메지, 레미탈</t>
    <phoneticPr fontId="22" type="noConversion"/>
  </si>
  <si>
    <t>식</t>
    <phoneticPr fontId="22" type="noConversion"/>
  </si>
  <si>
    <t>EA</t>
    <phoneticPr fontId="22" type="noConversion"/>
  </si>
  <si>
    <t>철거</t>
    <phoneticPr fontId="22" type="noConversion"/>
  </si>
  <si>
    <t>화단 철거</t>
    <phoneticPr fontId="22" type="noConversion"/>
  </si>
  <si>
    <t>보조주방 하부장</t>
    <phoneticPr fontId="2" type="noConversion"/>
  </si>
  <si>
    <t>보조주방 인조대리석</t>
    <phoneticPr fontId="22" type="noConversion"/>
  </si>
  <si>
    <t>보조주방 장 EP</t>
    <phoneticPr fontId="2" type="noConversion"/>
  </si>
  <si>
    <t>-</t>
    <phoneticPr fontId="22" type="noConversion"/>
  </si>
  <si>
    <t>천장 몰딩</t>
    <phoneticPr fontId="22" type="noConversion"/>
  </si>
  <si>
    <t>각 방</t>
    <phoneticPr fontId="22" type="noConversion"/>
  </si>
  <si>
    <t>각 방</t>
    <phoneticPr fontId="22" type="noConversion"/>
  </si>
  <si>
    <t>유리 장</t>
    <phoneticPr fontId="22" type="noConversion"/>
  </si>
  <si>
    <t>-</t>
    <phoneticPr fontId="22" type="noConversion"/>
  </si>
  <si>
    <t>제작 거울</t>
    <phoneticPr fontId="22" type="noConversion"/>
  </si>
  <si>
    <t>제작</t>
    <phoneticPr fontId="22" type="noConversion"/>
  </si>
  <si>
    <t>행잉 선반 상판</t>
    <phoneticPr fontId="22" type="noConversion"/>
  </si>
  <si>
    <t>행잉 선반</t>
    <phoneticPr fontId="22" type="noConversion"/>
  </si>
  <si>
    <t>세라믹 / 인피니티</t>
    <phoneticPr fontId="22" type="noConversion"/>
  </si>
  <si>
    <t>세라믹</t>
    <phoneticPr fontId="22" type="noConversion"/>
  </si>
  <si>
    <t>상판, 미드웨이 포함</t>
    <phoneticPr fontId="22" type="noConversion"/>
  </si>
  <si>
    <t>장</t>
    <phoneticPr fontId="22" type="noConversion"/>
  </si>
  <si>
    <t>1X1 각재, 고밀도 MDF</t>
    <phoneticPr fontId="22" type="noConversion"/>
  </si>
  <si>
    <t>9T 고밀도 MDF</t>
    <phoneticPr fontId="22" type="noConversion"/>
  </si>
  <si>
    <t>보일러 컨트롤러</t>
    <phoneticPr fontId="22" type="noConversion"/>
  </si>
  <si>
    <t>융 컨트롤러</t>
    <phoneticPr fontId="22" type="noConversion"/>
  </si>
  <si>
    <t>설비</t>
    <phoneticPr fontId="22" type="noConversion"/>
  </si>
  <si>
    <t>*</t>
    <phoneticPr fontId="22" type="noConversion"/>
  </si>
  <si>
    <t>산재보험료 외</t>
    <phoneticPr fontId="22" type="noConversion"/>
  </si>
  <si>
    <t>창호</t>
    <phoneticPr fontId="22" type="noConversion"/>
  </si>
  <si>
    <t>샷시</t>
    <phoneticPr fontId="22" type="noConversion"/>
  </si>
  <si>
    <t>별도</t>
    <phoneticPr fontId="22" type="noConversion"/>
  </si>
  <si>
    <t>-</t>
    <phoneticPr fontId="22" type="noConversion"/>
  </si>
  <si>
    <t>터닝도어</t>
    <phoneticPr fontId="22" type="noConversion"/>
  </si>
  <si>
    <t>거실-안방</t>
    <phoneticPr fontId="22" type="noConversion"/>
  </si>
  <si>
    <t>-</t>
    <phoneticPr fontId="22" type="noConversion"/>
  </si>
  <si>
    <t>에어컨</t>
    <phoneticPr fontId="22" type="noConversion"/>
  </si>
  <si>
    <t>-</t>
    <phoneticPr fontId="22" type="noConversion"/>
  </si>
  <si>
    <t>샷시</t>
    <phoneticPr fontId="22" type="noConversion"/>
  </si>
  <si>
    <t>방범방충망</t>
    <phoneticPr fontId="22" type="noConversion"/>
  </si>
  <si>
    <t>시스템 에어컨</t>
    <phoneticPr fontId="22" type="noConversion"/>
  </si>
  <si>
    <t>식</t>
    <phoneticPr fontId="22" type="noConversion"/>
  </si>
  <si>
    <t>식</t>
    <phoneticPr fontId="22" type="noConversion"/>
  </si>
  <si>
    <t>주방 타일</t>
    <phoneticPr fontId="22" type="noConversion"/>
  </si>
  <si>
    <t>-</t>
    <phoneticPr fontId="22" type="noConversion"/>
  </si>
  <si>
    <t>바닥타일</t>
    <phoneticPr fontId="22" type="noConversion"/>
  </si>
  <si>
    <t>부자재</t>
    <phoneticPr fontId="22" type="noConversion"/>
  </si>
  <si>
    <t>5대</t>
    <phoneticPr fontId="22" type="noConversion"/>
  </si>
  <si>
    <t>VALENTINO</t>
    <phoneticPr fontId="22" type="noConversion"/>
  </si>
  <si>
    <t>샷시</t>
    <phoneticPr fontId="22" type="noConversion"/>
  </si>
  <si>
    <t>설비</t>
    <phoneticPr fontId="22" type="noConversion"/>
  </si>
  <si>
    <t>화장실 급,배수 이설</t>
    <phoneticPr fontId="22" type="noConversion"/>
  </si>
  <si>
    <t>설비</t>
    <phoneticPr fontId="22" type="noConversion"/>
  </si>
  <si>
    <t>외부 발코니 급수 공사</t>
    <phoneticPr fontId="22" type="noConversion"/>
  </si>
  <si>
    <t>EA</t>
    <phoneticPr fontId="22" type="noConversion"/>
  </si>
  <si>
    <t>EA</t>
    <phoneticPr fontId="22" type="noConversion"/>
  </si>
  <si>
    <t>서비스 항목</t>
    <phoneticPr fontId="22" type="noConversion"/>
  </si>
  <si>
    <t>식</t>
    <phoneticPr fontId="22" type="noConversion"/>
  </si>
  <si>
    <t>(견적 미포함)</t>
    <phoneticPr fontId="22" type="noConversion"/>
  </si>
  <si>
    <t>에어컨 및 샷시</t>
    <phoneticPr fontId="22" type="noConversion"/>
  </si>
  <si>
    <t>중문</t>
    <phoneticPr fontId="22" type="noConversion"/>
  </si>
  <si>
    <t>-</t>
    <phoneticPr fontId="22" type="noConversion"/>
  </si>
  <si>
    <t>원목 간살도어</t>
    <phoneticPr fontId="22" type="noConversion"/>
  </si>
  <si>
    <t>슬라이딩 제작</t>
    <phoneticPr fontId="22" type="noConversion"/>
  </si>
  <si>
    <t>식</t>
    <phoneticPr fontId="22" type="noConversion"/>
  </si>
  <si>
    <t>2중창호, 시스템 창호</t>
    <phoneticPr fontId="22" type="noConversion"/>
  </si>
  <si>
    <t>통신함 점검구</t>
    <phoneticPr fontId="22" type="noConversion"/>
  </si>
  <si>
    <t>BLUM</t>
    <phoneticPr fontId="22" type="noConversion"/>
  </si>
  <si>
    <t>BLUM</t>
    <phoneticPr fontId="22" type="noConversion"/>
  </si>
  <si>
    <t>팬트리 룸 가구</t>
    <phoneticPr fontId="22" type="noConversion"/>
  </si>
  <si>
    <t>펜트리 룸</t>
    <phoneticPr fontId="22" type="noConversion"/>
  </si>
  <si>
    <t>알파 룸 가구</t>
    <phoneticPr fontId="22" type="noConversion"/>
  </si>
  <si>
    <t>마이크로 시멘트</t>
    <phoneticPr fontId="22" type="noConversion"/>
  </si>
  <si>
    <t>M2</t>
    <phoneticPr fontId="22" type="noConversion"/>
  </si>
  <si>
    <t>바 룸</t>
    <phoneticPr fontId="22" type="noConversion"/>
  </si>
  <si>
    <t>코팅 포함</t>
    <phoneticPr fontId="22" type="noConversion"/>
  </si>
  <si>
    <t>철거</t>
    <phoneticPr fontId="22" type="noConversion"/>
  </si>
  <si>
    <t>조적 벽체 철거</t>
    <phoneticPr fontId="22" type="noConversion"/>
  </si>
  <si>
    <t>M</t>
    <phoneticPr fontId="22" type="noConversion"/>
  </si>
  <si>
    <t>철거</t>
    <phoneticPr fontId="22" type="noConversion"/>
  </si>
  <si>
    <t>대리석 타일 철거</t>
    <phoneticPr fontId="22" type="noConversion"/>
  </si>
  <si>
    <t>공용부</t>
    <phoneticPr fontId="22" type="noConversion"/>
  </si>
  <si>
    <t>PY</t>
    <phoneticPr fontId="22" type="noConversion"/>
  </si>
  <si>
    <t>-</t>
    <phoneticPr fontId="22" type="noConversion"/>
  </si>
  <si>
    <t>-</t>
    <phoneticPr fontId="22" type="noConversion"/>
  </si>
  <si>
    <t>스텐 벽걸이 행거</t>
    <phoneticPr fontId="22" type="noConversion"/>
  </si>
  <si>
    <t>EA</t>
    <phoneticPr fontId="22" type="noConversion"/>
  </si>
  <si>
    <t>제작</t>
    <phoneticPr fontId="22" type="noConversion"/>
  </si>
  <si>
    <t>알파 룸</t>
    <phoneticPr fontId="22" type="noConversion"/>
  </si>
  <si>
    <t>스텐 벽걸이 행거 분채 도장</t>
    <phoneticPr fontId="22" type="noConversion"/>
  </si>
  <si>
    <t>지정 색상</t>
    <phoneticPr fontId="22" type="noConversion"/>
  </si>
  <si>
    <t>식</t>
    <phoneticPr fontId="22" type="noConversion"/>
  </si>
  <si>
    <t>식</t>
    <phoneticPr fontId="22" type="noConversion"/>
  </si>
  <si>
    <t>-</t>
    <phoneticPr fontId="22" type="noConversion"/>
  </si>
  <si>
    <t>인조대리석 / 오로라</t>
    <phoneticPr fontId="22" type="noConversion"/>
  </si>
  <si>
    <t>바 룸 테이블</t>
    <phoneticPr fontId="22" type="noConversion"/>
  </si>
  <si>
    <t>바 룸 테이블</t>
    <phoneticPr fontId="22" type="noConversion"/>
  </si>
  <si>
    <t>허가</t>
    <phoneticPr fontId="22" type="noConversion"/>
  </si>
  <si>
    <t>공사동의서</t>
    <phoneticPr fontId="22" type="noConversion"/>
  </si>
  <si>
    <t>선택 / 견적 미포함</t>
    <phoneticPr fontId="22" type="noConversion"/>
  </si>
  <si>
    <t>제작</t>
    <phoneticPr fontId="22" type="noConversion"/>
  </si>
  <si>
    <t>가구 마감</t>
    <phoneticPr fontId="22" type="noConversion"/>
  </si>
  <si>
    <t>가구 마감</t>
    <phoneticPr fontId="22" type="noConversion"/>
  </si>
  <si>
    <t>-</t>
    <phoneticPr fontId="22" type="noConversion"/>
  </si>
  <si>
    <t>싱크 수전</t>
    <phoneticPr fontId="22" type="noConversion"/>
  </si>
  <si>
    <t>SET</t>
    <phoneticPr fontId="22" type="noConversion"/>
  </si>
  <si>
    <t>현장 정리 및 자재 양중</t>
    <phoneticPr fontId="22" type="noConversion"/>
  </si>
  <si>
    <t>보양</t>
    <phoneticPr fontId="22" type="noConversion"/>
  </si>
  <si>
    <t>엘리베이터 및 공용부 보양</t>
    <phoneticPr fontId="22" type="noConversion"/>
  </si>
  <si>
    <t>식</t>
    <phoneticPr fontId="22" type="noConversion"/>
  </si>
  <si>
    <t>급수 / 배수</t>
    <phoneticPr fontId="22" type="noConversion"/>
  </si>
  <si>
    <t>개소</t>
    <phoneticPr fontId="22" type="noConversion"/>
  </si>
  <si>
    <t>바닥 센딩 포함</t>
    <phoneticPr fontId="22" type="noConversion"/>
  </si>
  <si>
    <t>인피니티 / 원판</t>
    <phoneticPr fontId="22" type="noConversion"/>
  </si>
  <si>
    <t>거실 화장실</t>
    <phoneticPr fontId="22" type="noConversion"/>
  </si>
  <si>
    <t>3.</t>
    <phoneticPr fontId="22" type="noConversion"/>
  </si>
  <si>
    <t>4.</t>
    <phoneticPr fontId="22" type="noConversion"/>
  </si>
  <si>
    <t>6.</t>
    <phoneticPr fontId="22" type="noConversion"/>
  </si>
  <si>
    <t>7.</t>
  </si>
  <si>
    <t>7.</t>
    <phoneticPr fontId="22" type="noConversion"/>
  </si>
  <si>
    <t>8.</t>
  </si>
  <si>
    <t>8.</t>
    <phoneticPr fontId="22" type="noConversion"/>
  </si>
  <si>
    <t>10.</t>
    <phoneticPr fontId="22" type="noConversion"/>
  </si>
  <si>
    <t>설비 공사</t>
    <phoneticPr fontId="22" type="noConversion"/>
  </si>
  <si>
    <t>철거 공사</t>
    <phoneticPr fontId="22" type="noConversion"/>
  </si>
  <si>
    <t>도어 핸들</t>
    <phoneticPr fontId="22" type="noConversion"/>
  </si>
  <si>
    <t>EA</t>
    <phoneticPr fontId="22" type="noConversion"/>
  </si>
  <si>
    <t>도무스 905 SS</t>
    <phoneticPr fontId="22" type="noConversion"/>
  </si>
  <si>
    <t>가구 상판 금속 하지</t>
    <phoneticPr fontId="22" type="noConversion"/>
  </si>
  <si>
    <t>금속 파이프 / 세라믹,인조석</t>
    <phoneticPr fontId="22" type="noConversion"/>
  </si>
  <si>
    <t>철거 공사</t>
    <phoneticPr fontId="2" type="noConversion"/>
  </si>
  <si>
    <t>설비 공사</t>
    <phoneticPr fontId="2" type="noConversion"/>
  </si>
  <si>
    <t>현관 및 발코니 타일</t>
    <phoneticPr fontId="2" type="noConversion"/>
  </si>
  <si>
    <t>600*600</t>
    <phoneticPr fontId="22" type="noConversion"/>
  </si>
  <si>
    <t>화장실 바닥타일</t>
    <phoneticPr fontId="22" type="noConversion"/>
  </si>
  <si>
    <t>화장실 벽 타일</t>
    <phoneticPr fontId="22" type="noConversion"/>
  </si>
  <si>
    <t>거실 / 안방</t>
    <phoneticPr fontId="22" type="noConversion"/>
  </si>
  <si>
    <t>거실 / 안방</t>
    <phoneticPr fontId="22" type="noConversion"/>
  </si>
  <si>
    <t>1X1 각재, 4.5T 합판</t>
    <phoneticPr fontId="22" type="noConversion"/>
  </si>
  <si>
    <t>화장실/2</t>
    <phoneticPr fontId="22" type="noConversion"/>
  </si>
  <si>
    <t>아덱스 WPM / SIKA실리콘(우레탄)</t>
    <phoneticPr fontId="22" type="noConversion"/>
  </si>
  <si>
    <t>바닥 액체방수 공사</t>
    <phoneticPr fontId="2" type="noConversion"/>
  </si>
  <si>
    <t>화장실 바닥</t>
    <phoneticPr fontId="22" type="noConversion"/>
  </si>
  <si>
    <t>12*2.4</t>
    <phoneticPr fontId="22" type="noConversion"/>
  </si>
  <si>
    <t xml:space="preserve"> </t>
    <phoneticPr fontId="2" type="noConversion"/>
  </si>
  <si>
    <t>거실 면적 *1.5</t>
    <phoneticPr fontId="22" type="noConversion"/>
  </si>
  <si>
    <t>확장</t>
    <phoneticPr fontId="22" type="noConversion"/>
  </si>
  <si>
    <t>1칸 65</t>
    <phoneticPr fontId="22" type="noConversion"/>
  </si>
  <si>
    <t>걸레받이 / 천정몰딩</t>
    <phoneticPr fontId="22" type="noConversion"/>
  </si>
  <si>
    <t>보일러 콘트롤러</t>
    <phoneticPr fontId="22" type="noConversion"/>
  </si>
  <si>
    <t>기타 감자기류</t>
    <phoneticPr fontId="2" type="noConversion"/>
  </si>
  <si>
    <t>각방 / 공용부</t>
    <phoneticPr fontId="22" type="noConversion"/>
  </si>
  <si>
    <t>4+4+3+3+1.5+1.5+1</t>
    <phoneticPr fontId="22" type="noConversion"/>
  </si>
  <si>
    <t>75/3.3</t>
    <phoneticPr fontId="22" type="noConversion"/>
  </si>
  <si>
    <t>31*2.4</t>
    <phoneticPr fontId="22" type="noConversion"/>
  </si>
  <si>
    <t>거실 / 부분</t>
    <phoneticPr fontId="22" type="noConversion"/>
  </si>
  <si>
    <t>거실 / 각방</t>
    <phoneticPr fontId="22" type="noConversion"/>
  </si>
  <si>
    <t>천정몰딩</t>
    <phoneticPr fontId="22" type="noConversion"/>
  </si>
  <si>
    <t>급배수 이설공사</t>
    <phoneticPr fontId="22" type="noConversion"/>
  </si>
  <si>
    <t>석고보드+고밀도 MDF</t>
    <phoneticPr fontId="22" type="noConversion"/>
  </si>
  <si>
    <t>기존주방</t>
    <phoneticPr fontId="22" type="noConversion"/>
  </si>
  <si>
    <t xml:space="preserve">    </t>
    <phoneticPr fontId="22" type="noConversion"/>
  </si>
  <si>
    <t>도배 공정 포함</t>
    <phoneticPr fontId="22" type="noConversion"/>
  </si>
  <si>
    <t>구</t>
    <phoneticPr fontId="22" type="noConversion"/>
  </si>
  <si>
    <t>씽크대 상부장</t>
    <phoneticPr fontId="2" type="noConversion"/>
  </si>
  <si>
    <t>씽크대 하부장</t>
    <phoneticPr fontId="2" type="noConversion"/>
  </si>
  <si>
    <t>확장부 단열공사</t>
    <phoneticPr fontId="22" type="noConversion"/>
  </si>
  <si>
    <t>현관 / 주방발코니</t>
    <phoneticPr fontId="22" type="noConversion"/>
  </si>
  <si>
    <t>현관 바닥철거</t>
    <phoneticPr fontId="22" type="noConversion"/>
  </si>
  <si>
    <t>현관 확장 바닥</t>
    <phoneticPr fontId="22" type="noConversion"/>
  </si>
  <si>
    <t>철거 / 난방 배관작업</t>
    <phoneticPr fontId="22" type="noConversion"/>
  </si>
  <si>
    <t>고객님 직결</t>
    <phoneticPr fontId="22" type="noConversion"/>
  </si>
  <si>
    <t>마감코킹</t>
    <phoneticPr fontId="22" type="noConversion"/>
  </si>
  <si>
    <t>아덱스 실리콘</t>
    <phoneticPr fontId="22" type="noConversion"/>
  </si>
  <si>
    <t>강마루 광폭</t>
    <phoneticPr fontId="22" type="noConversion"/>
  </si>
  <si>
    <t>확장부 마감공사</t>
    <phoneticPr fontId="22" type="noConversion"/>
  </si>
  <si>
    <t>확장부</t>
    <phoneticPr fontId="22" type="noConversion"/>
  </si>
  <si>
    <t>장판철거</t>
    <phoneticPr fontId="2" type="noConversion"/>
  </si>
  <si>
    <t>장 측면마감판넬 / 반장</t>
    <phoneticPr fontId="22" type="noConversion"/>
  </si>
  <si>
    <t>스텐배수구</t>
    <phoneticPr fontId="22" type="noConversion"/>
  </si>
  <si>
    <t xml:space="preserve"> </t>
    <phoneticPr fontId="22" type="noConversion"/>
  </si>
  <si>
    <t>등기구 배선 작업</t>
    <phoneticPr fontId="22" type="noConversion"/>
  </si>
  <si>
    <t>분전반 교체</t>
    <phoneticPr fontId="2" type="noConversion"/>
  </si>
  <si>
    <t>분전반 교체</t>
    <phoneticPr fontId="22" type="noConversion"/>
  </si>
  <si>
    <t>붙박이장</t>
    <phoneticPr fontId="2" type="noConversion"/>
  </si>
  <si>
    <t>주방벽체</t>
    <phoneticPr fontId="2" type="noConversion"/>
  </si>
  <si>
    <t>디아망</t>
    <phoneticPr fontId="22" type="noConversion"/>
  </si>
  <si>
    <t>샤워간섭</t>
    <phoneticPr fontId="22" type="noConversion"/>
  </si>
  <si>
    <t>웨이브 S 투피스</t>
    <phoneticPr fontId="22" type="noConversion"/>
  </si>
  <si>
    <t>ST-101 NB</t>
    <phoneticPr fontId="22" type="noConversion"/>
  </si>
  <si>
    <t>세면대</t>
    <phoneticPr fontId="22" type="noConversion"/>
  </si>
  <si>
    <t>커튼 박스 / 단내림</t>
    <phoneticPr fontId="22" type="noConversion"/>
  </si>
  <si>
    <t>경기 용인시 수지구 이의동 1221 오렌지 나무 빌딩 3층</t>
    <phoneticPr fontId="2" type="noConversion"/>
  </si>
  <si>
    <t>M.O.A.C</t>
    <phoneticPr fontId="2" type="noConversion"/>
  </si>
  <si>
    <t>화장실 도막방수 공사</t>
    <phoneticPr fontId="22" type="noConversion"/>
  </si>
  <si>
    <t>고객님 직결</t>
    <phoneticPr fontId="22" type="noConversion"/>
  </si>
  <si>
    <t>TO : 행당동 금호어울림</t>
    <rPh sb="0" eb="10">
      <t>ｷｶ</t>
    </rPh>
    <phoneticPr fontId="112" type="noConversion"/>
  </si>
  <si>
    <t>행당동 금호어울림</t>
    <phoneticPr fontId="107" type="noConversion"/>
  </si>
  <si>
    <t>인조석 lx</t>
    <phoneticPr fontId="22" type="noConversion"/>
  </si>
  <si>
    <t>서랍재 / 인덕션</t>
    <phoneticPr fontId="22" type="noConversion"/>
  </si>
  <si>
    <t>플랩장</t>
    <phoneticPr fontId="22" type="noConversion"/>
  </si>
  <si>
    <t>기타 장</t>
    <phoneticPr fontId="22" type="noConversion"/>
  </si>
  <si>
    <t>보조주방</t>
    <phoneticPr fontId="2" type="noConversion"/>
  </si>
  <si>
    <t>보조주방 / 마감판넬 EP</t>
    <phoneticPr fontId="2" type="noConversion"/>
  </si>
  <si>
    <t>보조주방 좌우</t>
    <phoneticPr fontId="22" type="noConversion"/>
  </si>
  <si>
    <t>주방 하부장 상판</t>
    <phoneticPr fontId="22" type="noConversion"/>
  </si>
  <si>
    <t>하부장 상판</t>
    <phoneticPr fontId="22" type="noConversion"/>
  </si>
  <si>
    <t>보조주방</t>
    <phoneticPr fontId="22" type="noConversion"/>
  </si>
  <si>
    <t>진흥 V라인</t>
    <phoneticPr fontId="22" type="noConversion"/>
  </si>
  <si>
    <t>힘펠 제로크</t>
    <phoneticPr fontId="22" type="noConversion"/>
  </si>
  <si>
    <t>아메리칸 스탠다드 플랫 반다리</t>
    <phoneticPr fontId="22" type="noConversion"/>
  </si>
  <si>
    <t>도무스 육가</t>
    <phoneticPr fontId="22" type="noConversion"/>
  </si>
  <si>
    <t>샤워파티션</t>
    <phoneticPr fontId="22" type="noConversion"/>
  </si>
  <si>
    <t>클리어 유리</t>
    <phoneticPr fontId="22" type="noConversion"/>
  </si>
  <si>
    <t>세탁실 3M이상 /2칸</t>
    <phoneticPr fontId="22" type="noConversion"/>
  </si>
  <si>
    <t>영림 / 스윙중문</t>
    <phoneticPr fontId="22" type="noConversion"/>
  </si>
  <si>
    <t>9MM 문선</t>
    <phoneticPr fontId="22" type="noConversion"/>
  </si>
  <si>
    <t>은경</t>
    <phoneticPr fontId="22" type="noConversion"/>
  </si>
  <si>
    <t>8t 은경</t>
    <phoneticPr fontId="22" type="noConversion"/>
  </si>
  <si>
    <t>현관</t>
    <phoneticPr fontId="22" type="noConversion"/>
  </si>
  <si>
    <t>EA</t>
    <phoneticPr fontId="22" type="noConversion"/>
  </si>
  <si>
    <t>패브릭유리</t>
    <phoneticPr fontId="22" type="noConversion"/>
  </si>
  <si>
    <t>현관 파티션</t>
    <phoneticPr fontId="22" type="noConversion"/>
  </si>
  <si>
    <t>현관확장</t>
    <phoneticPr fontId="22" type="noConversion"/>
  </si>
  <si>
    <t>거실 전체 철거</t>
    <phoneticPr fontId="22" type="noConversion"/>
  </si>
  <si>
    <t>화장실 / 현관파티션</t>
    <phoneticPr fontId="22" type="noConversion"/>
  </si>
  <si>
    <t>냉장고</t>
    <phoneticPr fontId="22" type="noConversion"/>
  </si>
  <si>
    <t>분배기 교체 / 이설</t>
    <phoneticPr fontId="22" type="noConversion"/>
  </si>
  <si>
    <t>PROJECT: 행당동 대림아파트</t>
    <phoneticPr fontId="2" type="noConversion"/>
  </si>
  <si>
    <t>행당동 대림아파트</t>
    <phoneticPr fontId="2" type="noConversion"/>
  </si>
  <si>
    <t>SMC</t>
    <phoneticPr fontId="2" type="noConversion"/>
  </si>
  <si>
    <t>안방 붙박이장</t>
    <phoneticPr fontId="22" type="noConversion"/>
  </si>
  <si>
    <t>홈바 상부장</t>
    <phoneticPr fontId="2" type="noConversion"/>
  </si>
  <si>
    <t>홈바 하부장</t>
    <phoneticPr fontId="2" type="noConversion"/>
  </si>
  <si>
    <t>아이방 단열</t>
    <phoneticPr fontId="22" type="noConversion"/>
  </si>
  <si>
    <t>이보드 30T</t>
    <phoneticPr fontId="22" type="noConversion"/>
  </si>
  <si>
    <t>아이소핑크</t>
    <phoneticPr fontId="22" type="noConversion"/>
  </si>
  <si>
    <t>석고보드</t>
    <phoneticPr fontId="22" type="noConversion"/>
  </si>
  <si>
    <t>세탁실</t>
    <phoneticPr fontId="22" type="noConversion"/>
  </si>
  <si>
    <r>
      <t xml:space="preserve">루미노바lv18000 </t>
    </r>
    <r>
      <rPr>
        <b/>
        <sz val="9"/>
        <color rgb="FFFF0000"/>
        <rFont val="에스코어 드림 5 Medium"/>
        <family val="2"/>
        <charset val="129"/>
      </rPr>
      <t>&gt;&gt; 필로토 슈티에 싱크 8026</t>
    </r>
    <phoneticPr fontId="22" type="noConversion"/>
  </si>
  <si>
    <r>
      <t xml:space="preserve">백조 GD800 ( 사각 확인) </t>
    </r>
    <r>
      <rPr>
        <b/>
        <sz val="9"/>
        <color rgb="FFFF0000"/>
        <rFont val="에스코어 드림 5 Medium"/>
        <family val="2"/>
        <charset val="129"/>
      </rPr>
      <t>&gt;&gt; QUIET 800 엠보</t>
    </r>
    <phoneticPr fontId="22" type="noConversion"/>
  </si>
  <si>
    <r>
      <t xml:space="preserve">ST-101 NB </t>
    </r>
    <r>
      <rPr>
        <b/>
        <sz val="9"/>
        <color rgb="FFFF0000"/>
        <rFont val="에스코어 드림 5 Medium"/>
        <family val="3"/>
        <charset val="129"/>
      </rPr>
      <t>&gt;&gt;</t>
    </r>
    <r>
      <rPr>
        <b/>
        <sz val="9"/>
        <color rgb="FFFF0000"/>
        <rFont val="Microsoft YaHei"/>
        <family val="3"/>
        <charset val="134"/>
      </rPr>
      <t xml:space="preserve"> </t>
    </r>
    <r>
      <rPr>
        <b/>
        <sz val="9"/>
        <color rgb="FFFF0000"/>
        <rFont val="맑은 고딕"/>
        <family val="3"/>
        <charset val="129"/>
      </rPr>
      <t xml:space="preserve">베르사체 </t>
    </r>
    <r>
      <rPr>
        <b/>
        <sz val="9"/>
        <color rgb="FFFF0000"/>
        <rFont val="Microsoft YaHei"/>
        <family val="3"/>
        <charset val="134"/>
      </rPr>
      <t xml:space="preserve">BSL-4204SS </t>
    </r>
    <r>
      <rPr>
        <b/>
        <sz val="9"/>
        <color rgb="FFFF0000"/>
        <rFont val="에스코어 드림 5 Medium"/>
        <family val="3"/>
        <charset val="129"/>
      </rPr>
      <t>샤워겸용수전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</si>
</sst>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55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0"/>
      <color indexed="8"/>
      <name val="MS Sans Serif"/>
      <family val="2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color theme="1"/>
      <name val="에스코어 드림 5 Medium"/>
      <family val="2"/>
      <charset val="129"/>
    </font>
    <font>
      <sz val="9"/>
      <color theme="1"/>
      <name val="에스코어 드림 5 Medium"/>
      <family val="3"/>
      <charset val="129"/>
    </font>
    <font>
      <b/>
      <sz val="9"/>
      <name val="에스코어 드림 5 Medium"/>
      <family val="3"/>
      <charset val="129"/>
    </font>
    <font>
      <strike/>
      <sz val="9"/>
      <color rgb="FFFF0000"/>
      <name val="에스코어 드림 4 Regular"/>
      <family val="3"/>
      <charset val="129"/>
    </font>
    <font>
      <sz val="9"/>
      <color rgb="FFFF0000"/>
      <name val="에스코어 드림 4 Regular"/>
      <family val="3"/>
      <charset val="129"/>
    </font>
    <font>
      <sz val="9"/>
      <color rgb="FFFF0000"/>
      <name val="Arial Unicode MS"/>
      <family val="3"/>
      <charset val="129"/>
    </font>
    <font>
      <sz val="9"/>
      <color rgb="FFFF0000"/>
      <name val="굴림"/>
      <family val="3"/>
      <charset val="129"/>
    </font>
    <font>
      <strike/>
      <sz val="9"/>
      <name val="에스코어 드림 4 Regular"/>
      <family val="2"/>
      <charset val="129"/>
    </font>
    <font>
      <sz val="9"/>
      <color rgb="FFFF0000"/>
      <name val="에스코어 드림 4 Regular"/>
      <family val="2"/>
      <charset val="129"/>
    </font>
    <font>
      <sz val="9"/>
      <name val="Arial Unicode MS"/>
      <family val="3"/>
      <charset val="129"/>
    </font>
    <font>
      <sz val="9"/>
      <name val="Arial Unicode MS"/>
      <family val="2"/>
      <charset val="129"/>
    </font>
    <font>
      <b/>
      <sz val="9"/>
      <color rgb="FFFF0000"/>
      <name val="에스코어 드림 5 Medium"/>
      <family val="2"/>
      <charset val="129"/>
    </font>
    <font>
      <b/>
      <sz val="9"/>
      <color rgb="FFFF0000"/>
      <name val="에스코어 드림 5 Medium"/>
      <family val="3"/>
      <charset val="129"/>
    </font>
    <font>
      <b/>
      <sz val="9"/>
      <color rgb="FFFF0000"/>
      <name val="Microsoft YaHei"/>
      <family val="3"/>
      <charset val="134"/>
    </font>
    <font>
      <b/>
      <sz val="9"/>
      <color rgb="FFFF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1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8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2" fontId="41" fillId="0" borderId="4">
      <alignment horizontal="right" vertical="center"/>
    </xf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65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78" fontId="12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70" fillId="0" borderId="0" applyFont="0" applyFill="0" applyBorder="0" applyAlignment="0" applyProtection="0"/>
    <xf numFmtId="0" fontId="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2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3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6" fontId="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6" fillId="0" borderId="0"/>
    <xf numFmtId="0" fontId="77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8" fillId="0" borderId="0"/>
    <xf numFmtId="0" fontId="79" fillId="0" borderId="0"/>
    <xf numFmtId="0" fontId="62" fillId="0" borderId="0">
      <alignment vertical="center"/>
    </xf>
    <xf numFmtId="195" fontId="43" fillId="0" borderId="0">
      <protection locked="0"/>
    </xf>
    <xf numFmtId="0" fontId="80" fillId="0" borderId="0"/>
    <xf numFmtId="0" fontId="81" fillId="0" borderId="0"/>
    <xf numFmtId="0" fontId="82" fillId="0" borderId="0"/>
    <xf numFmtId="0" fontId="64" fillId="0" borderId="0"/>
    <xf numFmtId="0" fontId="82" fillId="0" borderId="0"/>
    <xf numFmtId="0" fontId="81" fillId="0" borderId="0"/>
    <xf numFmtId="0" fontId="83" fillId="0" borderId="0"/>
    <xf numFmtId="0" fontId="64" fillId="0" borderId="0"/>
    <xf numFmtId="0" fontId="65" fillId="0" borderId="0"/>
    <xf numFmtId="0" fontId="6" fillId="0" borderId="0"/>
    <xf numFmtId="0" fontId="79" fillId="0" borderId="0"/>
    <xf numFmtId="0" fontId="84" fillId="0" borderId="0"/>
    <xf numFmtId="0" fontId="82" fillId="0" borderId="0"/>
    <xf numFmtId="0" fontId="67" fillId="0" borderId="0"/>
    <xf numFmtId="0" fontId="12" fillId="0" borderId="0"/>
    <xf numFmtId="0" fontId="67" fillId="0" borderId="0"/>
    <xf numFmtId="0" fontId="12" fillId="0" borderId="0"/>
    <xf numFmtId="49" fontId="67" fillId="0" borderId="0" applyBorder="0"/>
    <xf numFmtId="0" fontId="85" fillId="0" borderId="0"/>
    <xf numFmtId="0" fontId="67" fillId="0" borderId="0"/>
    <xf numFmtId="0" fontId="69" fillId="0" borderId="0"/>
    <xf numFmtId="0" fontId="67" fillId="0" borderId="0"/>
    <xf numFmtId="0" fontId="12" fillId="0" borderId="0"/>
    <xf numFmtId="0" fontId="67" fillId="0" borderId="0"/>
    <xf numFmtId="0" fontId="86" fillId="0" borderId="0"/>
    <xf numFmtId="0" fontId="68" fillId="0" borderId="0"/>
    <xf numFmtId="37" fontId="12" fillId="0" borderId="0"/>
    <xf numFmtId="0" fontId="6" fillId="0" borderId="0"/>
    <xf numFmtId="0" fontId="73" fillId="0" borderId="0"/>
    <xf numFmtId="0" fontId="67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7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1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2" fontId="94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5" fillId="0" borderId="12">
      <alignment horizontal="center"/>
    </xf>
    <xf numFmtId="0" fontId="95" fillId="0" borderId="0">
      <alignment horizont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8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2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9" fillId="4" borderId="0" applyNumberFormat="0" applyFont="0" applyBorder="0" applyAlignment="0">
      <alignment horizontal="center"/>
    </xf>
    <xf numFmtId="14" fontId="100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101" fillId="5" borderId="13" applyNumberFormat="0" applyProtection="0">
      <alignment vertical="center"/>
    </xf>
    <xf numFmtId="4" fontId="102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9" fillId="1" borderId="11" applyNumberFormat="0" applyFont="0" applyAlignment="0">
      <alignment horizontal="center"/>
    </xf>
    <xf numFmtId="0" fontId="103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4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5" fillId="0" borderId="0" applyFill="0" applyBorder="0" applyProtection="0">
      <alignment horizontal="centerContinuous" vertical="center"/>
    </xf>
    <xf numFmtId="0" fontId="106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5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7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9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11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446">
    <xf numFmtId="0" fontId="0" fillId="0" borderId="0" xfId="0"/>
    <xf numFmtId="0" fontId="114" fillId="0" borderId="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 wrapText="1"/>
    </xf>
    <xf numFmtId="0" fontId="116" fillId="0" borderId="4" xfId="2627" applyNumberFormat="1" applyFont="1" applyFill="1" applyBorder="1" applyAlignment="1">
      <alignment vertical="center"/>
    </xf>
    <xf numFmtId="0" fontId="117" fillId="0" borderId="4" xfId="0" applyFont="1" applyBorder="1" applyAlignment="1">
      <alignment horizontal="center" vertical="center"/>
    </xf>
    <xf numFmtId="43" fontId="117" fillId="0" borderId="4" xfId="2627" applyNumberFormat="1" applyFont="1" applyFill="1" applyBorder="1" applyAlignment="1">
      <alignment horizontal="center" vertical="center"/>
    </xf>
    <xf numFmtId="179" fontId="117" fillId="0" borderId="4" xfId="2627" applyFont="1" applyFill="1" applyBorder="1" applyAlignment="1">
      <alignment vertical="center"/>
    </xf>
    <xf numFmtId="179" fontId="117" fillId="0" borderId="6" xfId="262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7" fillId="0" borderId="20" xfId="2627" applyNumberFormat="1" applyFont="1" applyFill="1" applyBorder="1" applyAlignment="1">
      <alignment horizontal="center" vertical="center"/>
    </xf>
    <xf numFmtId="0" fontId="117" fillId="0" borderId="20" xfId="2627" applyNumberFormat="1" applyFont="1" applyFill="1" applyBorder="1" applyAlignment="1">
      <alignment vertical="center"/>
    </xf>
    <xf numFmtId="0" fontId="118" fillId="0" borderId="20" xfId="2627" applyNumberFormat="1" applyFont="1" applyFill="1" applyBorder="1" applyAlignment="1">
      <alignment horizontal="center" vertical="center"/>
    </xf>
    <xf numFmtId="0" fontId="118" fillId="0" borderId="20" xfId="2627" applyNumberFormat="1" applyFont="1" applyFill="1" applyBorder="1" applyAlignment="1">
      <alignment vertical="center"/>
    </xf>
    <xf numFmtId="0" fontId="118" fillId="0" borderId="4" xfId="0" applyFont="1" applyBorder="1" applyAlignment="1">
      <alignment horizontal="center" vertical="center"/>
    </xf>
    <xf numFmtId="43" fontId="118" fillId="0" borderId="4" xfId="2627" applyNumberFormat="1" applyFont="1" applyFill="1" applyBorder="1" applyAlignment="1">
      <alignment horizontal="center" vertical="center"/>
    </xf>
    <xf numFmtId="179" fontId="118" fillId="0" borderId="4" xfId="2627" applyFont="1" applyFill="1" applyBorder="1" applyAlignment="1">
      <alignment vertical="center"/>
    </xf>
    <xf numFmtId="179" fontId="118" fillId="0" borderId="6" xfId="2627" applyFont="1" applyFill="1" applyBorder="1" applyAlignment="1">
      <alignment vertical="center"/>
    </xf>
    <xf numFmtId="0" fontId="118" fillId="0" borderId="0" xfId="0" applyFont="1" applyAlignment="1">
      <alignment vertical="center"/>
    </xf>
    <xf numFmtId="0" fontId="118" fillId="11" borderId="0" xfId="0" applyFont="1" applyFill="1" applyAlignment="1">
      <alignment vertical="center"/>
    </xf>
    <xf numFmtId="0" fontId="118" fillId="9" borderId="20" xfId="2627" applyNumberFormat="1" applyFont="1" applyFill="1" applyBorder="1" applyAlignment="1">
      <alignment horizontal="center" vertical="center"/>
    </xf>
    <xf numFmtId="0" fontId="118" fillId="9" borderId="20" xfId="2627" applyNumberFormat="1" applyFont="1" applyFill="1" applyBorder="1" applyAlignment="1">
      <alignment vertical="center"/>
    </xf>
    <xf numFmtId="0" fontId="118" fillId="9" borderId="4" xfId="0" applyFont="1" applyFill="1" applyBorder="1" applyAlignment="1">
      <alignment horizontal="center" vertical="center"/>
    </xf>
    <xf numFmtId="0" fontId="118" fillId="9" borderId="0" xfId="0" applyFont="1" applyFill="1" applyAlignment="1">
      <alignment vertical="center"/>
    </xf>
    <xf numFmtId="43" fontId="117" fillId="0" borderId="9" xfId="2627" applyNumberFormat="1" applyFont="1" applyFill="1" applyBorder="1" applyAlignment="1">
      <alignment horizontal="center" vertical="center"/>
    </xf>
    <xf numFmtId="41" fontId="117" fillId="0" borderId="4" xfId="2908" applyFont="1" applyFill="1" applyBorder="1" applyAlignment="1">
      <alignment vertical="center"/>
    </xf>
    <xf numFmtId="41" fontId="117" fillId="0" borderId="6" xfId="2908" applyFont="1" applyFill="1" applyBorder="1" applyAlignment="1">
      <alignment vertical="center"/>
    </xf>
    <xf numFmtId="0" fontId="117" fillId="0" borderId="9" xfId="0" applyFont="1" applyBorder="1" applyAlignment="1">
      <alignment horizontal="center" vertical="center"/>
    </xf>
    <xf numFmtId="0" fontId="117" fillId="10" borderId="20" xfId="2627" applyNumberFormat="1" applyFont="1" applyFill="1" applyBorder="1" applyAlignment="1">
      <alignment horizontal="center" vertical="center"/>
    </xf>
    <xf numFmtId="0" fontId="118" fillId="10" borderId="20" xfId="2627" applyNumberFormat="1" applyFont="1" applyFill="1" applyBorder="1" applyAlignment="1">
      <alignment vertical="center"/>
    </xf>
    <xf numFmtId="0" fontId="117" fillId="10" borderId="4" xfId="0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1" fontId="117" fillId="10" borderId="4" xfId="2908" applyFont="1" applyFill="1" applyBorder="1" applyAlignment="1">
      <alignment vertical="center"/>
    </xf>
    <xf numFmtId="41" fontId="117" fillId="10" borderId="6" xfId="2908" applyFont="1" applyFill="1" applyBorder="1" applyAlignment="1">
      <alignment vertical="center"/>
    </xf>
    <xf numFmtId="0" fontId="117" fillId="10" borderId="0" xfId="0" applyFont="1" applyFill="1" applyAlignment="1">
      <alignment vertical="center"/>
    </xf>
    <xf numFmtId="43" fontId="117" fillId="0" borderId="4" xfId="2908" applyNumberFormat="1" applyFont="1" applyFill="1" applyBorder="1" applyAlignment="1">
      <alignment vertical="center"/>
    </xf>
    <xf numFmtId="0" fontId="118" fillId="9" borderId="9" xfId="0" applyFont="1" applyFill="1" applyBorder="1" applyAlignment="1">
      <alignment horizontal="center" vertical="center"/>
    </xf>
    <xf numFmtId="41" fontId="118" fillId="9" borderId="4" xfId="2908" applyFont="1" applyFill="1" applyBorder="1" applyAlignment="1">
      <alignment vertical="center"/>
    </xf>
    <xf numFmtId="41" fontId="118" fillId="9" borderId="6" xfId="2908" applyFont="1" applyFill="1" applyBorder="1" applyAlignment="1">
      <alignment vertical="center"/>
    </xf>
    <xf numFmtId="0" fontId="117" fillId="0" borderId="20" xfId="2627" quotePrefix="1" applyNumberFormat="1" applyFont="1" applyFill="1" applyBorder="1" applyAlignment="1">
      <alignment horizontal="center" vertical="center"/>
    </xf>
    <xf numFmtId="0" fontId="118" fillId="8" borderId="20" xfId="2627" quotePrefix="1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vertical="center"/>
    </xf>
    <xf numFmtId="0" fontId="118" fillId="0" borderId="9" xfId="0" applyFont="1" applyBorder="1" applyAlignment="1">
      <alignment horizontal="center" vertical="center"/>
    </xf>
    <xf numFmtId="41" fontId="118" fillId="0" borderId="4" xfId="2908" applyFont="1" applyFill="1" applyBorder="1" applyAlignment="1">
      <alignment vertical="center"/>
    </xf>
    <xf numFmtId="41" fontId="118" fillId="0" borderId="6" xfId="2908" applyFont="1" applyFill="1" applyBorder="1" applyAlignment="1">
      <alignment vertical="center"/>
    </xf>
    <xf numFmtId="2" fontId="117" fillId="0" borderId="9" xfId="0" applyNumberFormat="1" applyFont="1" applyBorder="1" applyAlignment="1">
      <alignment vertical="center"/>
    </xf>
    <xf numFmtId="2" fontId="118" fillId="0" borderId="9" xfId="0" applyNumberFormat="1" applyFont="1" applyBorder="1" applyAlignment="1">
      <alignment vertical="center"/>
    </xf>
    <xf numFmtId="0" fontId="117" fillId="13" borderId="20" xfId="2627" applyNumberFormat="1" applyFont="1" applyFill="1" applyBorder="1" applyAlignment="1">
      <alignment horizontal="center" vertical="center"/>
    </xf>
    <xf numFmtId="0" fontId="117" fillId="13" borderId="2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/>
    </xf>
    <xf numFmtId="2" fontId="117" fillId="13" borderId="9" xfId="0" applyNumberFormat="1" applyFont="1" applyFill="1" applyBorder="1" applyAlignment="1">
      <alignment vertical="center"/>
    </xf>
    <xf numFmtId="41" fontId="117" fillId="13" borderId="4" xfId="2908" applyFont="1" applyFill="1" applyBorder="1" applyAlignment="1">
      <alignment vertical="center"/>
    </xf>
    <xf numFmtId="41" fontId="117" fillId="13" borderId="6" xfId="2908" applyFont="1" applyFill="1" applyBorder="1" applyAlignment="1">
      <alignment vertical="center"/>
    </xf>
    <xf numFmtId="0" fontId="117" fillId="13" borderId="0" xfId="0" applyFont="1" applyFill="1" applyAlignment="1">
      <alignment vertical="center"/>
    </xf>
    <xf numFmtId="0" fontId="117" fillId="13" borderId="20" xfId="2908" applyNumberFormat="1" applyFont="1" applyFill="1" applyBorder="1" applyAlignment="1">
      <alignment horizontal="center" vertical="center"/>
    </xf>
    <xf numFmtId="43" fontId="117" fillId="13" borderId="9" xfId="0" applyNumberFormat="1" applyFont="1" applyFill="1" applyBorder="1" applyAlignment="1">
      <alignment vertical="center"/>
    </xf>
    <xf numFmtId="43" fontId="117" fillId="0" borderId="4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center" vertical="center"/>
    </xf>
    <xf numFmtId="0" fontId="117" fillId="0" borderId="0" xfId="2627" applyNumberFormat="1" applyFont="1" applyFill="1" applyBorder="1" applyAlignment="1">
      <alignment vertical="center"/>
    </xf>
    <xf numFmtId="0" fontId="117" fillId="0" borderId="0" xfId="0" applyFont="1" applyAlignment="1">
      <alignment horizontal="center" vertical="center"/>
    </xf>
    <xf numFmtId="43" fontId="117" fillId="0" borderId="0" xfId="2627" applyNumberFormat="1" applyFont="1" applyFill="1" applyBorder="1" applyAlignment="1">
      <alignment vertical="center"/>
    </xf>
    <xf numFmtId="179" fontId="117" fillId="0" borderId="0" xfId="2627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2909" applyFont="1"/>
    <xf numFmtId="0" fontId="122" fillId="0" borderId="0" xfId="2909" applyFont="1"/>
    <xf numFmtId="0" fontId="123" fillId="0" borderId="21" xfId="2909" applyFont="1" applyBorder="1"/>
    <xf numFmtId="0" fontId="123" fillId="0" borderId="0" xfId="2909" applyFont="1"/>
    <xf numFmtId="0" fontId="124" fillId="0" borderId="0" xfId="2909" applyFont="1"/>
    <xf numFmtId="0" fontId="124" fillId="0" borderId="21" xfId="2909" applyFont="1" applyBorder="1"/>
    <xf numFmtId="0" fontId="124" fillId="0" borderId="21" xfId="2909" applyFont="1" applyBorder="1" applyAlignment="1">
      <alignment horizontal="left"/>
    </xf>
    <xf numFmtId="0" fontId="124" fillId="0" borderId="0" xfId="2909" applyFont="1" applyAlignment="1">
      <alignment horizontal="right"/>
    </xf>
    <xf numFmtId="223" fontId="124" fillId="0" borderId="0" xfId="2909" applyNumberFormat="1" applyFont="1" applyAlignment="1">
      <alignment horizontal="center"/>
    </xf>
    <xf numFmtId="0" fontId="125" fillId="0" borderId="0" xfId="2909" applyFont="1"/>
    <xf numFmtId="0" fontId="124" fillId="0" borderId="0" xfId="2909" applyFont="1" applyAlignment="1">
      <alignment horizontal="left"/>
    </xf>
    <xf numFmtId="0" fontId="127" fillId="0" borderId="0" xfId="2909" applyFont="1"/>
    <xf numFmtId="0" fontId="125" fillId="0" borderId="0" xfId="2909" applyFont="1" applyAlignment="1">
      <alignment horizontal="left"/>
    </xf>
    <xf numFmtId="0" fontId="121" fillId="0" borderId="0" xfId="2909" applyFont="1"/>
    <xf numFmtId="0" fontId="129" fillId="0" borderId="0" xfId="2627" applyNumberFormat="1" applyFont="1" applyFill="1" applyBorder="1" applyAlignment="1">
      <alignment horizontal="center" vertical="center"/>
    </xf>
    <xf numFmtId="0" fontId="130" fillId="13" borderId="0" xfId="2627" applyNumberFormat="1" applyFont="1" applyFill="1" applyBorder="1" applyAlignment="1">
      <alignment vertical="center"/>
    </xf>
    <xf numFmtId="0" fontId="128" fillId="13" borderId="0" xfId="2627" applyNumberFormat="1" applyFont="1" applyFill="1" applyBorder="1" applyAlignment="1">
      <alignment vertical="center"/>
    </xf>
    <xf numFmtId="0" fontId="132" fillId="0" borderId="0" xfId="2627" applyNumberFormat="1" applyFont="1" applyFill="1" applyBorder="1" applyAlignment="1">
      <alignment horizontal="center" vertical="center"/>
    </xf>
    <xf numFmtId="179" fontId="131" fillId="7" borderId="27" xfId="2627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vertical="center"/>
    </xf>
    <xf numFmtId="0" fontId="133" fillId="0" borderId="20" xfId="2627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43" fontId="133" fillId="0" borderId="4" xfId="2627" applyNumberFormat="1" applyFont="1" applyFill="1" applyBorder="1" applyAlignment="1">
      <alignment horizontal="center" vertical="center"/>
    </xf>
    <xf numFmtId="179" fontId="133" fillId="0" borderId="4" xfId="2627" applyFont="1" applyFill="1" applyBorder="1" applyAlignment="1">
      <alignment vertical="center"/>
    </xf>
    <xf numFmtId="0" fontId="133" fillId="0" borderId="9" xfId="0" applyFont="1" applyBorder="1" applyAlignment="1">
      <alignment horizontal="center" vertical="center" shrinkToFit="1"/>
    </xf>
    <xf numFmtId="0" fontId="133" fillId="0" borderId="0" xfId="0" applyFont="1" applyAlignment="1">
      <alignment vertical="center"/>
    </xf>
    <xf numFmtId="0" fontId="134" fillId="0" borderId="20" xfId="2627" applyNumberFormat="1" applyFont="1" applyFill="1" applyBorder="1" applyAlignment="1">
      <alignment horizontal="center" vertical="center"/>
    </xf>
    <xf numFmtId="0" fontId="134" fillId="0" borderId="20" xfId="2627" applyNumberFormat="1" applyFont="1" applyFill="1" applyBorder="1" applyAlignment="1">
      <alignment vertical="center"/>
    </xf>
    <xf numFmtId="0" fontId="134" fillId="0" borderId="20" xfId="2627" applyNumberFormat="1" applyFont="1" applyFill="1" applyBorder="1" applyAlignment="1">
      <alignment horizontal="left" vertical="center"/>
    </xf>
    <xf numFmtId="0" fontId="134" fillId="0" borderId="4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43" fontId="134" fillId="0" borderId="4" xfId="2627" applyNumberFormat="1" applyFont="1" applyFill="1" applyBorder="1" applyAlignment="1">
      <alignment horizontal="center" vertical="center"/>
    </xf>
    <xf numFmtId="179" fontId="134" fillId="0" borderId="4" xfId="2627" applyFont="1" applyFill="1" applyBorder="1" applyAlignment="1">
      <alignment vertical="center"/>
    </xf>
    <xf numFmtId="0" fontId="134" fillId="0" borderId="9" xfId="0" applyFont="1" applyBorder="1" applyAlignment="1">
      <alignment horizontal="center" vertical="center" shrinkToFit="1"/>
    </xf>
    <xf numFmtId="0" fontId="134" fillId="0" borderId="0" xfId="0" applyFont="1" applyAlignment="1">
      <alignment vertical="center"/>
    </xf>
    <xf numFmtId="0" fontId="133" fillId="11" borderId="20" xfId="2627" applyNumberFormat="1" applyFont="1" applyFill="1" applyBorder="1" applyAlignment="1">
      <alignment horizontal="center" vertical="center"/>
    </xf>
    <xf numFmtId="0" fontId="133" fillId="11" borderId="20" xfId="2627" applyNumberFormat="1" applyFont="1" applyFill="1" applyBorder="1" applyAlignment="1">
      <alignment horizontal="left" vertical="center"/>
    </xf>
    <xf numFmtId="0" fontId="133" fillId="11" borderId="4" xfId="0" applyFont="1" applyFill="1" applyBorder="1" applyAlignment="1">
      <alignment horizontal="center" vertical="center"/>
    </xf>
    <xf numFmtId="0" fontId="133" fillId="11" borderId="6" xfId="0" applyFont="1" applyFill="1" applyBorder="1" applyAlignment="1">
      <alignment horizontal="center" vertical="center"/>
    </xf>
    <xf numFmtId="43" fontId="133" fillId="11" borderId="4" xfId="2627" applyNumberFormat="1" applyFont="1" applyFill="1" applyBorder="1" applyAlignment="1">
      <alignment horizontal="center" vertical="center"/>
    </xf>
    <xf numFmtId="179" fontId="133" fillId="11" borderId="4" xfId="2627" applyFont="1" applyFill="1" applyBorder="1" applyAlignment="1">
      <alignment vertical="center"/>
    </xf>
    <xf numFmtId="179" fontId="133" fillId="11" borderId="9" xfId="0" applyNumberFormat="1" applyFont="1" applyFill="1" applyBorder="1" applyAlignment="1">
      <alignment horizontal="center" vertical="center" shrinkToFit="1"/>
    </xf>
    <xf numFmtId="0" fontId="133" fillId="11" borderId="0" xfId="0" applyFont="1" applyFill="1" applyAlignment="1">
      <alignment vertical="center"/>
    </xf>
    <xf numFmtId="0" fontId="134" fillId="0" borderId="0" xfId="2627" applyNumberFormat="1" applyFont="1" applyFill="1" applyBorder="1" applyAlignment="1">
      <alignment horizontal="left" vertical="center"/>
    </xf>
    <xf numFmtId="43" fontId="134" fillId="0" borderId="20" xfId="0" applyNumberFormat="1" applyFont="1" applyBorder="1" applyAlignment="1">
      <alignment horizontal="center" vertical="center"/>
    </xf>
    <xf numFmtId="179" fontId="134" fillId="0" borderId="20" xfId="2627" applyFont="1" applyFill="1" applyBorder="1" applyAlignment="1">
      <alignment horizontal="center" vertical="center"/>
    </xf>
    <xf numFmtId="179" fontId="134" fillId="0" borderId="20" xfId="2627" applyFont="1" applyFill="1" applyBorder="1" applyAlignment="1">
      <alignment vertical="center"/>
    </xf>
    <xf numFmtId="222" fontId="134" fillId="0" borderId="20" xfId="2627" applyNumberFormat="1" applyFont="1" applyFill="1" applyBorder="1" applyAlignment="1">
      <alignment vertical="center"/>
    </xf>
    <xf numFmtId="0" fontId="134" fillId="0" borderId="20" xfId="2627" quotePrefix="1" applyNumberFormat="1" applyFont="1" applyFill="1" applyBorder="1" applyAlignment="1">
      <alignment horizontal="left" vertical="center"/>
    </xf>
    <xf numFmtId="0" fontId="134" fillId="0" borderId="20" xfId="0" applyFont="1" applyBorder="1" applyAlignment="1">
      <alignment horizontal="center" vertical="center"/>
    </xf>
    <xf numFmtId="0" fontId="134" fillId="0" borderId="31" xfId="0" applyFont="1" applyBorder="1" applyAlignment="1">
      <alignment horizontal="center" vertical="center"/>
    </xf>
    <xf numFmtId="0" fontId="133" fillId="11" borderId="20" xfId="2627" quotePrefix="1" applyNumberFormat="1" applyFont="1" applyFill="1" applyBorder="1" applyAlignment="1">
      <alignment horizontal="center" vertical="center"/>
    </xf>
    <xf numFmtId="0" fontId="133" fillId="11" borderId="20" xfId="0" applyFont="1" applyFill="1" applyBorder="1" applyAlignment="1">
      <alignment horizontal="center" vertical="center"/>
    </xf>
    <xf numFmtId="0" fontId="133" fillId="11" borderId="31" xfId="0" applyFont="1" applyFill="1" applyBorder="1" applyAlignment="1">
      <alignment horizontal="center" vertical="center"/>
    </xf>
    <xf numFmtId="43" fontId="133" fillId="11" borderId="20" xfId="0" applyNumberFormat="1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vertical="center"/>
    </xf>
    <xf numFmtId="0" fontId="134" fillId="11" borderId="9" xfId="0" applyFont="1" applyFill="1" applyBorder="1" applyAlignment="1">
      <alignment horizontal="center" vertical="center" shrinkToFit="1"/>
    </xf>
    <xf numFmtId="0" fontId="134" fillId="11" borderId="0" xfId="0" applyFont="1" applyFill="1" applyAlignment="1">
      <alignment vertical="center"/>
    </xf>
    <xf numFmtId="0" fontId="135" fillId="12" borderId="20" xfId="2627" applyNumberFormat="1" applyFont="1" applyFill="1" applyBorder="1" applyAlignment="1">
      <alignment horizontal="center" vertical="center"/>
    </xf>
    <xf numFmtId="0" fontId="135" fillId="12" borderId="20" xfId="2627" applyNumberFormat="1" applyFont="1" applyFill="1" applyBorder="1" applyAlignment="1">
      <alignment horizontal="left" vertical="center"/>
    </xf>
    <xf numFmtId="0" fontId="135" fillId="12" borderId="4" xfId="0" applyFont="1" applyFill="1" applyBorder="1" applyAlignment="1">
      <alignment horizontal="center" vertical="center"/>
    </xf>
    <xf numFmtId="0" fontId="135" fillId="12" borderId="6" xfId="0" applyFont="1" applyFill="1" applyBorder="1" applyAlignment="1">
      <alignment horizontal="center" vertical="center"/>
    </xf>
    <xf numFmtId="43" fontId="135" fillId="12" borderId="4" xfId="2627" applyNumberFormat="1" applyFont="1" applyFill="1" applyBorder="1" applyAlignment="1">
      <alignment horizontal="center" vertical="center"/>
    </xf>
    <xf numFmtId="179" fontId="135" fillId="12" borderId="4" xfId="2627" applyFont="1" applyFill="1" applyBorder="1" applyAlignment="1">
      <alignment vertical="center"/>
    </xf>
    <xf numFmtId="0" fontId="136" fillId="12" borderId="9" xfId="0" applyFont="1" applyFill="1" applyBorder="1" applyAlignment="1">
      <alignment horizontal="center" vertical="center" shrinkToFit="1"/>
    </xf>
    <xf numFmtId="0" fontId="136" fillId="12" borderId="0" xfId="0" applyFont="1" applyFill="1" applyAlignment="1">
      <alignment vertical="center"/>
    </xf>
    <xf numFmtId="0" fontId="134" fillId="13" borderId="34" xfId="2627" applyNumberFormat="1" applyFont="1" applyFill="1" applyBorder="1" applyAlignment="1">
      <alignment horizontal="center" vertical="center"/>
    </xf>
    <xf numFmtId="0" fontId="134" fillId="13" borderId="36" xfId="2627" applyNumberFormat="1" applyFont="1" applyFill="1" applyBorder="1" applyAlignment="1">
      <alignment vertical="center"/>
    </xf>
    <xf numFmtId="0" fontId="134" fillId="13" borderId="36" xfId="2627" applyNumberFormat="1" applyFont="1" applyFill="1" applyBorder="1" applyAlignment="1">
      <alignment horizontal="left" vertical="center"/>
    </xf>
    <xf numFmtId="0" fontId="134" fillId="13" borderId="36" xfId="0" applyFont="1" applyFill="1" applyBorder="1" applyAlignment="1">
      <alignment horizontal="center" vertical="center"/>
    </xf>
    <xf numFmtId="43" fontId="134" fillId="13" borderId="36" xfId="2627" applyNumberFormat="1" applyFont="1" applyFill="1" applyBorder="1" applyAlignment="1">
      <alignment horizontal="center" vertical="center"/>
    </xf>
    <xf numFmtId="179" fontId="134" fillId="13" borderId="36" xfId="2627" applyFont="1" applyFill="1" applyBorder="1" applyAlignment="1">
      <alignment vertical="center"/>
    </xf>
    <xf numFmtId="0" fontId="134" fillId="13" borderId="35" xfId="0" applyFont="1" applyFill="1" applyBorder="1" applyAlignment="1">
      <alignment horizontal="center" vertical="center" shrinkToFit="1"/>
    </xf>
    <xf numFmtId="0" fontId="134" fillId="13" borderId="32" xfId="2627" applyNumberFormat="1" applyFont="1" applyFill="1" applyBorder="1" applyAlignment="1">
      <alignment horizontal="center" vertical="center"/>
    </xf>
    <xf numFmtId="0" fontId="134" fillId="13" borderId="0" xfId="2627" applyNumberFormat="1" applyFont="1" applyFill="1" applyBorder="1" applyAlignment="1">
      <alignment vertical="center"/>
    </xf>
    <xf numFmtId="0" fontId="134" fillId="13" borderId="0" xfId="2627" applyNumberFormat="1" applyFont="1" applyFill="1" applyBorder="1" applyAlignment="1">
      <alignment horizontal="left" vertical="center"/>
    </xf>
    <xf numFmtId="0" fontId="134" fillId="13" borderId="0" xfId="0" applyFont="1" applyFill="1" applyAlignment="1">
      <alignment horizontal="center" vertical="center"/>
    </xf>
    <xf numFmtId="43" fontId="134" fillId="13" borderId="0" xfId="2627" applyNumberFormat="1" applyFont="1" applyFill="1" applyBorder="1" applyAlignment="1">
      <alignment horizontal="center" vertical="center"/>
    </xf>
    <xf numFmtId="179" fontId="134" fillId="13" borderId="0" xfId="2627" applyFont="1" applyFill="1" applyBorder="1" applyAlignment="1">
      <alignment vertical="center"/>
    </xf>
    <xf numFmtId="0" fontId="134" fillId="13" borderId="33" xfId="0" applyFont="1" applyFill="1" applyBorder="1" applyAlignment="1">
      <alignment horizontal="center" vertical="center" shrinkToFit="1"/>
    </xf>
    <xf numFmtId="0" fontId="134" fillId="13" borderId="6" xfId="2627" applyNumberFormat="1" applyFont="1" applyFill="1" applyBorder="1" applyAlignment="1">
      <alignment horizontal="center" vertical="center"/>
    </xf>
    <xf numFmtId="0" fontId="134" fillId="13" borderId="21" xfId="2627" applyNumberFormat="1" applyFont="1" applyFill="1" applyBorder="1" applyAlignment="1">
      <alignment vertical="center"/>
    </xf>
    <xf numFmtId="0" fontId="134" fillId="13" borderId="21" xfId="2627" applyNumberFormat="1" applyFont="1" applyFill="1" applyBorder="1" applyAlignment="1">
      <alignment horizontal="left" vertical="center"/>
    </xf>
    <xf numFmtId="0" fontId="134" fillId="13" borderId="21" xfId="0" applyFont="1" applyFill="1" applyBorder="1" applyAlignment="1">
      <alignment horizontal="center" vertical="center"/>
    </xf>
    <xf numFmtId="43" fontId="134" fillId="13" borderId="21" xfId="2627" applyNumberFormat="1" applyFont="1" applyFill="1" applyBorder="1" applyAlignment="1">
      <alignment horizontal="center" vertical="center"/>
    </xf>
    <xf numFmtId="179" fontId="134" fillId="13" borderId="21" xfId="2627" applyFont="1" applyFill="1" applyBorder="1" applyAlignment="1">
      <alignment vertical="center"/>
    </xf>
    <xf numFmtId="0" fontId="134" fillId="13" borderId="9" xfId="0" applyFont="1" applyFill="1" applyBorder="1" applyAlignment="1">
      <alignment horizontal="center" vertical="center" shrinkToFit="1"/>
    </xf>
    <xf numFmtId="0" fontId="134" fillId="0" borderId="0" xfId="2627" applyNumberFormat="1" applyFont="1" applyFill="1" applyBorder="1" applyAlignment="1">
      <alignment horizontal="center" vertical="center"/>
    </xf>
    <xf numFmtId="0" fontId="134" fillId="0" borderId="0" xfId="2627" applyNumberFormat="1" applyFont="1" applyFill="1" applyBorder="1" applyAlignment="1">
      <alignment vertical="center"/>
    </xf>
    <xf numFmtId="0" fontId="134" fillId="0" borderId="0" xfId="0" applyFont="1" applyAlignment="1">
      <alignment horizontal="center" vertical="center"/>
    </xf>
    <xf numFmtId="43" fontId="134" fillId="0" borderId="0" xfId="2627" applyNumberFormat="1" applyFont="1" applyFill="1" applyBorder="1" applyAlignment="1">
      <alignment vertical="center"/>
    </xf>
    <xf numFmtId="179" fontId="134" fillId="0" borderId="0" xfId="2627" applyFont="1" applyFill="1" applyBorder="1" applyAlignment="1">
      <alignment vertical="center"/>
    </xf>
    <xf numFmtId="0" fontId="134" fillId="0" borderId="0" xfId="0" applyFont="1" applyAlignment="1">
      <alignment vertical="center" shrinkToFit="1"/>
    </xf>
    <xf numFmtId="9" fontId="134" fillId="0" borderId="20" xfId="2627" applyNumberFormat="1" applyFont="1" applyFill="1" applyBorder="1" applyAlignment="1">
      <alignment vertical="center" wrapText="1"/>
    </xf>
    <xf numFmtId="0" fontId="119" fillId="0" borderId="20" xfId="2627" applyNumberFormat="1" applyFont="1" applyFill="1" applyBorder="1" applyAlignment="1">
      <alignment horizontal="center" vertical="center"/>
    </xf>
    <xf numFmtId="0" fontId="119" fillId="0" borderId="20" xfId="2627" applyNumberFormat="1" applyFont="1" applyFill="1" applyBorder="1" applyAlignment="1">
      <alignment vertical="center"/>
    </xf>
    <xf numFmtId="0" fontId="134" fillId="13" borderId="32" xfId="2627" quotePrefix="1" applyNumberFormat="1" applyFont="1" applyFill="1" applyBorder="1" applyAlignment="1">
      <alignment horizontal="center" vertical="center"/>
    </xf>
    <xf numFmtId="0" fontId="114" fillId="0" borderId="2" xfId="2627" applyNumberFormat="1" applyFont="1" applyFill="1" applyBorder="1" applyAlignment="1">
      <alignment horizontal="center" vertical="center"/>
    </xf>
    <xf numFmtId="0" fontId="117" fillId="0" borderId="2" xfId="0" applyFont="1" applyBorder="1" applyAlignment="1">
      <alignment vertical="center"/>
    </xf>
    <xf numFmtId="0" fontId="118" fillId="0" borderId="2" xfId="0" applyFont="1" applyBorder="1" applyAlignment="1">
      <alignment vertical="center"/>
    </xf>
    <xf numFmtId="0" fontId="117" fillId="10" borderId="2" xfId="0" applyFont="1" applyFill="1" applyBorder="1" applyAlignment="1">
      <alignment vertical="center"/>
    </xf>
    <xf numFmtId="0" fontId="117" fillId="13" borderId="2" xfId="0" applyFont="1" applyFill="1" applyBorder="1" applyAlignment="1">
      <alignment vertical="center"/>
    </xf>
    <xf numFmtId="0" fontId="114" fillId="0" borderId="2" xfId="2627" applyNumberFormat="1" applyFont="1" applyFill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8" fillId="0" borderId="2" xfId="0" applyFont="1" applyBorder="1" applyAlignment="1">
      <alignment horizontal="right" vertical="center"/>
    </xf>
    <xf numFmtId="0" fontId="117" fillId="10" borderId="2" xfId="0" applyFont="1" applyFill="1" applyBorder="1" applyAlignment="1">
      <alignment horizontal="right" vertical="center"/>
    </xf>
    <xf numFmtId="0" fontId="117" fillId="13" borderId="2" xfId="0" applyFont="1" applyFill="1" applyBorder="1" applyAlignment="1">
      <alignment horizontal="right" vertical="center"/>
    </xf>
    <xf numFmtId="0" fontId="117" fillId="0" borderId="20" xfId="2908" applyNumberFormat="1" applyFont="1" applyFill="1" applyBorder="1" applyAlignment="1">
      <alignment horizontal="center" vertical="center"/>
    </xf>
    <xf numFmtId="43" fontId="117" fillId="0" borderId="9" xfId="0" applyNumberFormat="1" applyFont="1" applyBorder="1" applyAlignment="1">
      <alignment vertical="center"/>
    </xf>
    <xf numFmtId="41" fontId="117" fillId="13" borderId="20" xfId="2908" applyFont="1" applyFill="1" applyBorder="1" applyAlignment="1">
      <alignment vertical="center"/>
    </xf>
    <xf numFmtId="14" fontId="130" fillId="13" borderId="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 shrinkToFit="1"/>
    </xf>
    <xf numFmtId="0" fontId="117" fillId="0" borderId="4" xfId="0" applyFont="1" applyBorder="1" applyAlignment="1">
      <alignment horizontal="center" vertical="center" shrinkToFit="1"/>
    </xf>
    <xf numFmtId="14" fontId="128" fillId="13" borderId="0" xfId="2627" applyNumberFormat="1" applyFont="1" applyFill="1" applyBorder="1" applyAlignment="1">
      <alignment vertical="center"/>
    </xf>
    <xf numFmtId="179" fontId="134" fillId="0" borderId="26" xfId="2627" applyFont="1" applyFill="1" applyBorder="1" applyAlignment="1">
      <alignment vertical="center"/>
    </xf>
    <xf numFmtId="179" fontId="133" fillId="11" borderId="26" xfId="2627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center" vertical="center"/>
    </xf>
    <xf numFmtId="0" fontId="134" fillId="0" borderId="29" xfId="2627" applyNumberFormat="1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left" vertical="center"/>
    </xf>
    <xf numFmtId="0" fontId="134" fillId="0" borderId="30" xfId="0" applyFont="1" applyBorder="1" applyAlignment="1">
      <alignment horizontal="center" vertical="center"/>
    </xf>
    <xf numFmtId="0" fontId="134" fillId="0" borderId="32" xfId="0" applyFont="1" applyBorder="1" applyAlignment="1">
      <alignment horizontal="center" vertical="center"/>
    </xf>
    <xf numFmtId="43" fontId="134" fillId="0" borderId="30" xfId="2627" applyNumberFormat="1" applyFont="1" applyFill="1" applyBorder="1" applyAlignment="1">
      <alignment horizontal="center" vertical="center"/>
    </xf>
    <xf numFmtId="179" fontId="134" fillId="0" borderId="30" xfId="2627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center" vertical="center"/>
    </xf>
    <xf numFmtId="0" fontId="134" fillId="0" borderId="4" xfId="2627" applyNumberFormat="1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left" vertical="center"/>
    </xf>
    <xf numFmtId="0" fontId="122" fillId="0" borderId="39" xfId="2909" applyFont="1" applyBorder="1"/>
    <xf numFmtId="0" fontId="122" fillId="0" borderId="40" xfId="2909" applyFont="1" applyBorder="1"/>
    <xf numFmtId="0" fontId="124" fillId="0" borderId="40" xfId="2909" applyFont="1" applyBorder="1"/>
    <xf numFmtId="0" fontId="124" fillId="0" borderId="41" xfId="2909" applyFont="1" applyBorder="1"/>
    <xf numFmtId="0" fontId="124" fillId="0" borderId="42" xfId="2909" applyFont="1" applyBorder="1" applyAlignment="1">
      <alignment horizontal="left"/>
    </xf>
    <xf numFmtId="0" fontId="124" fillId="0" borderId="0" xfId="2907" applyFont="1"/>
    <xf numFmtId="0" fontId="126" fillId="0" borderId="0" xfId="2909" applyFont="1"/>
    <xf numFmtId="0" fontId="126" fillId="0" borderId="43" xfId="2909" applyFont="1" applyBorder="1"/>
    <xf numFmtId="0" fontId="125" fillId="0" borderId="42" xfId="2909" quotePrefix="1" applyFont="1" applyBorder="1" applyAlignment="1">
      <alignment horizontal="right"/>
    </xf>
    <xf numFmtId="0" fontId="125" fillId="0" borderId="0" xfId="2907" applyFont="1"/>
    <xf numFmtId="0" fontId="124" fillId="0" borderId="43" xfId="2909" applyFont="1" applyBorder="1"/>
    <xf numFmtId="0" fontId="125" fillId="0" borderId="43" xfId="2909" applyFont="1" applyBorder="1"/>
    <xf numFmtId="0" fontId="125" fillId="0" borderId="44" xfId="2909" quotePrefix="1" applyFont="1" applyBorder="1" applyAlignment="1">
      <alignment horizontal="right"/>
    </xf>
    <xf numFmtId="0" fontId="125" fillId="0" borderId="45" xfId="2907" applyFont="1" applyBorder="1"/>
    <xf numFmtId="0" fontId="125" fillId="0" borderId="45" xfId="2909" applyFont="1" applyBorder="1"/>
    <xf numFmtId="0" fontId="126" fillId="0" borderId="45" xfId="2909" applyFont="1" applyBorder="1"/>
    <xf numFmtId="0" fontId="126" fillId="0" borderId="19" xfId="2909" applyFont="1" applyBorder="1"/>
    <xf numFmtId="41" fontId="117" fillId="0" borderId="2" xfId="0" applyNumberFormat="1" applyFont="1" applyBorder="1" applyAlignment="1">
      <alignment vertical="center"/>
    </xf>
    <xf numFmtId="0" fontId="117" fillId="0" borderId="20" xfId="0" applyFont="1" applyBorder="1" applyAlignment="1">
      <alignment horizontal="center" vertical="center"/>
    </xf>
    <xf numFmtId="43" fontId="117" fillId="0" borderId="20" xfId="2627" applyNumberFormat="1" applyFont="1" applyFill="1" applyBorder="1" applyAlignment="1">
      <alignment horizontal="center" vertical="center"/>
    </xf>
    <xf numFmtId="41" fontId="117" fillId="0" borderId="20" xfId="2908" applyFont="1" applyFill="1" applyBorder="1" applyAlignment="1">
      <alignment vertical="center"/>
    </xf>
    <xf numFmtId="0" fontId="119" fillId="0" borderId="20" xfId="0" applyFont="1" applyBorder="1" applyAlignment="1">
      <alignment horizontal="center" vertical="center"/>
    </xf>
    <xf numFmtId="43" fontId="119" fillId="0" borderId="20" xfId="2627" applyNumberFormat="1" applyFont="1" applyFill="1" applyBorder="1" applyAlignment="1">
      <alignment horizontal="center" vertical="center"/>
    </xf>
    <xf numFmtId="41" fontId="119" fillId="0" borderId="20" xfId="2908" applyFont="1" applyFill="1" applyBorder="1" applyAlignment="1">
      <alignment vertical="center"/>
    </xf>
    <xf numFmtId="0" fontId="118" fillId="11" borderId="29" xfId="2627" applyNumberFormat="1" applyFont="1" applyFill="1" applyBorder="1" applyAlignment="1">
      <alignment horizontal="center" vertical="center"/>
    </xf>
    <xf numFmtId="0" fontId="118" fillId="11" borderId="30" xfId="0" applyFont="1" applyFill="1" applyBorder="1" applyAlignment="1">
      <alignment horizontal="center" vertical="center"/>
    </xf>
    <xf numFmtId="43" fontId="118" fillId="11" borderId="30" xfId="2627" applyNumberFormat="1" applyFont="1" applyFill="1" applyBorder="1" applyAlignment="1">
      <alignment horizontal="center" vertical="center"/>
    </xf>
    <xf numFmtId="179" fontId="118" fillId="11" borderId="30" xfId="2627" applyFont="1" applyFill="1" applyBorder="1" applyAlignment="1">
      <alignment vertical="center"/>
    </xf>
    <xf numFmtId="179" fontId="118" fillId="11" borderId="32" xfId="2627" applyFont="1" applyFill="1" applyBorder="1" applyAlignment="1">
      <alignment vertical="center"/>
    </xf>
    <xf numFmtId="0" fontId="118" fillId="11" borderId="23" xfId="0" applyFont="1" applyFill="1" applyBorder="1" applyAlignment="1">
      <alignment vertical="center"/>
    </xf>
    <xf numFmtId="0" fontId="118" fillId="11" borderId="23" xfId="0" applyFont="1" applyFill="1" applyBorder="1" applyAlignment="1">
      <alignment horizontal="right" vertical="center"/>
    </xf>
    <xf numFmtId="0" fontId="118" fillId="9" borderId="4" xfId="2627" applyNumberFormat="1" applyFont="1" applyFill="1" applyBorder="1" applyAlignment="1">
      <alignment horizontal="center" vertical="center"/>
    </xf>
    <xf numFmtId="0" fontId="118" fillId="9" borderId="4" xfId="2627" applyNumberFormat="1" applyFont="1" applyFill="1" applyBorder="1" applyAlignment="1">
      <alignment vertical="center"/>
    </xf>
    <xf numFmtId="0" fontId="118" fillId="9" borderId="22" xfId="0" applyFont="1" applyFill="1" applyBorder="1" applyAlignment="1">
      <alignment vertical="center"/>
    </xf>
    <xf numFmtId="0" fontId="118" fillId="9" borderId="22" xfId="0" applyFont="1" applyFill="1" applyBorder="1" applyAlignment="1">
      <alignment horizontal="right" vertical="center"/>
    </xf>
    <xf numFmtId="179" fontId="117" fillId="0" borderId="20" xfId="2627" applyFont="1" applyFill="1" applyBorder="1" applyAlignment="1">
      <alignment vertical="center"/>
    </xf>
    <xf numFmtId="0" fontId="117" fillId="0" borderId="20" xfId="0" applyFont="1" applyBorder="1" applyAlignment="1">
      <alignment vertical="center"/>
    </xf>
    <xf numFmtId="0" fontId="117" fillId="0" borderId="20" xfId="0" applyFont="1" applyBorder="1" applyAlignment="1">
      <alignment horizontal="right" vertical="center"/>
    </xf>
    <xf numFmtId="0" fontId="118" fillId="9" borderId="20" xfId="0" applyFont="1" applyFill="1" applyBorder="1" applyAlignment="1">
      <alignment horizontal="center" vertical="center"/>
    </xf>
    <xf numFmtId="43" fontId="118" fillId="9" borderId="20" xfId="2627" applyNumberFormat="1" applyFont="1" applyFill="1" applyBorder="1" applyAlignment="1">
      <alignment horizontal="center" vertical="center"/>
    </xf>
    <xf numFmtId="179" fontId="118" fillId="9" borderId="20" xfId="2627" applyFont="1" applyFill="1" applyBorder="1" applyAlignment="1">
      <alignment vertical="center"/>
    </xf>
    <xf numFmtId="0" fontId="118" fillId="9" borderId="20" xfId="0" applyFont="1" applyFill="1" applyBorder="1" applyAlignment="1">
      <alignment vertical="center"/>
    </xf>
    <xf numFmtId="0" fontId="118" fillId="9" borderId="20" xfId="0" applyFont="1" applyFill="1" applyBorder="1" applyAlignment="1">
      <alignment horizontal="right" vertical="center"/>
    </xf>
    <xf numFmtId="0" fontId="119" fillId="0" borderId="20" xfId="0" applyFont="1" applyBorder="1" applyAlignment="1">
      <alignment vertical="center"/>
    </xf>
    <xf numFmtId="0" fontId="119" fillId="0" borderId="20" xfId="0" applyFont="1" applyBorder="1" applyAlignment="1">
      <alignment horizontal="right" vertical="center"/>
    </xf>
    <xf numFmtId="0" fontId="117" fillId="10" borderId="20" xfId="0" applyFont="1" applyFill="1" applyBorder="1" applyAlignment="1">
      <alignment horizontal="center" vertical="center"/>
    </xf>
    <xf numFmtId="41" fontId="117" fillId="10" borderId="20" xfId="2908" applyFont="1" applyFill="1" applyBorder="1" applyAlignment="1">
      <alignment vertical="center"/>
    </xf>
    <xf numFmtId="0" fontId="117" fillId="10" borderId="20" xfId="0" applyFont="1" applyFill="1" applyBorder="1" applyAlignment="1">
      <alignment vertical="center"/>
    </xf>
    <xf numFmtId="0" fontId="117" fillId="10" borderId="20" xfId="0" applyFont="1" applyFill="1" applyBorder="1" applyAlignment="1">
      <alignment horizontal="right" vertical="center"/>
    </xf>
    <xf numFmtId="43" fontId="117" fillId="0" borderId="20" xfId="2908" applyNumberFormat="1" applyFont="1" applyFill="1" applyBorder="1" applyAlignment="1">
      <alignment vertical="center"/>
    </xf>
    <xf numFmtId="43" fontId="117" fillId="13" borderId="9" xfId="2627" applyNumberFormat="1" applyFont="1" applyFill="1" applyBorder="1" applyAlignment="1">
      <alignment horizontal="center" vertical="center"/>
    </xf>
    <xf numFmtId="41" fontId="117" fillId="13" borderId="2" xfId="0" applyNumberFormat="1" applyFont="1" applyFill="1" applyBorder="1" applyAlignment="1">
      <alignment vertical="center"/>
    </xf>
    <xf numFmtId="0" fontId="118" fillId="13" borderId="20" xfId="2627" applyNumberFormat="1" applyFont="1" applyFill="1" applyBorder="1" applyAlignment="1">
      <alignment horizontal="center" vertical="center"/>
    </xf>
    <xf numFmtId="0" fontId="118" fillId="13" borderId="4" xfId="0" applyFont="1" applyFill="1" applyBorder="1" applyAlignment="1">
      <alignment horizontal="center" vertical="center"/>
    </xf>
    <xf numFmtId="2" fontId="118" fillId="13" borderId="9" xfId="0" applyNumberFormat="1" applyFont="1" applyFill="1" applyBorder="1" applyAlignment="1">
      <alignment vertical="center"/>
    </xf>
    <xf numFmtId="41" fontId="118" fillId="13" borderId="4" xfId="2908" applyFont="1" applyFill="1" applyBorder="1" applyAlignment="1">
      <alignment vertical="center"/>
    </xf>
    <xf numFmtId="0" fontId="118" fillId="13" borderId="0" xfId="0" applyFont="1" applyFill="1" applyAlignment="1">
      <alignment vertical="center"/>
    </xf>
    <xf numFmtId="0" fontId="118" fillId="13" borderId="2" xfId="0" applyFont="1" applyFill="1" applyBorder="1" applyAlignment="1">
      <alignment vertical="center"/>
    </xf>
    <xf numFmtId="0" fontId="118" fillId="13" borderId="2" xfId="0" applyFont="1" applyFill="1" applyBorder="1" applyAlignment="1">
      <alignment horizontal="right" vertical="center"/>
    </xf>
    <xf numFmtId="0" fontId="118" fillId="14" borderId="20" xfId="2627" applyNumberFormat="1" applyFont="1" applyFill="1" applyBorder="1" applyAlignment="1">
      <alignment horizontal="center" vertical="center"/>
    </xf>
    <xf numFmtId="0" fontId="118" fillId="14" borderId="4" xfId="0" applyFont="1" applyFill="1" applyBorder="1" applyAlignment="1">
      <alignment horizontal="center" vertical="center"/>
    </xf>
    <xf numFmtId="43" fontId="118" fillId="14" borderId="4" xfId="2627" applyNumberFormat="1" applyFont="1" applyFill="1" applyBorder="1" applyAlignment="1">
      <alignment horizontal="center" vertical="center"/>
    </xf>
    <xf numFmtId="41" fontId="118" fillId="14" borderId="4" xfId="2908" applyFont="1" applyFill="1" applyBorder="1" applyAlignment="1">
      <alignment vertical="center"/>
    </xf>
    <xf numFmtId="0" fontId="118" fillId="14" borderId="4" xfId="0" applyFont="1" applyFill="1" applyBorder="1" applyAlignment="1">
      <alignment horizontal="center" vertical="center" shrinkToFit="1"/>
    </xf>
    <xf numFmtId="0" fontId="117" fillId="0" borderId="0" xfId="0" applyFont="1" applyAlignment="1">
      <alignment horizontal="center" vertical="center" shrinkToFit="1"/>
    </xf>
    <xf numFmtId="0" fontId="118" fillId="0" borderId="4" xfId="0" applyFont="1" applyBorder="1" applyAlignment="1">
      <alignment horizontal="center" vertical="center" shrinkToFit="1"/>
    </xf>
    <xf numFmtId="179" fontId="118" fillId="11" borderId="30" xfId="0" applyNumberFormat="1" applyFont="1" applyFill="1" applyBorder="1" applyAlignment="1">
      <alignment horizontal="center" vertical="center" shrinkToFit="1"/>
    </xf>
    <xf numFmtId="0" fontId="117" fillId="0" borderId="20" xfId="0" applyFont="1" applyBorder="1" applyAlignment="1">
      <alignment horizontal="center" vertical="center" shrinkToFit="1"/>
    </xf>
    <xf numFmtId="0" fontId="118" fillId="9" borderId="20" xfId="0" applyFont="1" applyFill="1" applyBorder="1" applyAlignment="1">
      <alignment horizontal="center" vertical="center" shrinkToFit="1"/>
    </xf>
    <xf numFmtId="0" fontId="118" fillId="9" borderId="4" xfId="0" applyFont="1" applyFill="1" applyBorder="1" applyAlignment="1">
      <alignment horizontal="center" vertical="center" shrinkToFit="1"/>
    </xf>
    <xf numFmtId="0" fontId="117" fillId="10" borderId="4" xfId="0" applyFont="1" applyFill="1" applyBorder="1" applyAlignment="1">
      <alignment horizontal="center" vertical="center" shrinkToFit="1"/>
    </xf>
    <xf numFmtId="0" fontId="118" fillId="13" borderId="20" xfId="2627" applyNumberFormat="1" applyFont="1" applyFill="1" applyBorder="1" applyAlignment="1">
      <alignment vertical="center"/>
    </xf>
    <xf numFmtId="0" fontId="115" fillId="0" borderId="0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right" vertical="center"/>
    </xf>
    <xf numFmtId="0" fontId="115" fillId="15" borderId="2" xfId="2627" applyNumberFormat="1" applyFont="1" applyFill="1" applyBorder="1" applyAlignment="1">
      <alignment horizontal="center" vertical="center"/>
    </xf>
    <xf numFmtId="41" fontId="137" fillId="14" borderId="4" xfId="2908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center" vertical="center"/>
    </xf>
    <xf numFmtId="0" fontId="117" fillId="13" borderId="4" xfId="2908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38" fillId="13" borderId="20" xfId="2627" applyNumberFormat="1" applyFont="1" applyFill="1" applyBorder="1" applyAlignment="1">
      <alignment vertical="center"/>
    </xf>
    <xf numFmtId="0" fontId="138" fillId="13" borderId="4" xfId="0" applyFont="1" applyFill="1" applyBorder="1" applyAlignment="1">
      <alignment horizontal="center" vertical="center"/>
    </xf>
    <xf numFmtId="43" fontId="138" fillId="13" borderId="9" xfId="0" applyNumberFormat="1" applyFont="1" applyFill="1" applyBorder="1" applyAlignment="1">
      <alignment vertical="center"/>
    </xf>
    <xf numFmtId="41" fontId="138" fillId="13" borderId="4" xfId="2908" applyFont="1" applyFill="1" applyBorder="1" applyAlignment="1">
      <alignment vertical="center"/>
    </xf>
    <xf numFmtId="41" fontId="138" fillId="13" borderId="6" xfId="2908" applyFont="1" applyFill="1" applyBorder="1" applyAlignment="1">
      <alignment vertical="center"/>
    </xf>
    <xf numFmtId="0" fontId="138" fillId="0" borderId="4" xfId="0" applyFont="1" applyBorder="1" applyAlignment="1">
      <alignment horizontal="center" vertical="center" shrinkToFit="1"/>
    </xf>
    <xf numFmtId="0" fontId="138" fillId="13" borderId="0" xfId="0" applyFont="1" applyFill="1" applyAlignment="1">
      <alignment vertical="center"/>
    </xf>
    <xf numFmtId="0" fontId="138" fillId="13" borderId="2" xfId="0" applyFont="1" applyFill="1" applyBorder="1" applyAlignment="1">
      <alignment vertical="center"/>
    </xf>
    <xf numFmtId="0" fontId="138" fillId="13" borderId="2" xfId="0" applyFont="1" applyFill="1" applyBorder="1" applyAlignment="1">
      <alignment horizontal="right" vertical="center"/>
    </xf>
    <xf numFmtId="0" fontId="138" fillId="13" borderId="4" xfId="0" applyFont="1" applyFill="1" applyBorder="1" applyAlignment="1">
      <alignment horizontal="center" vertical="center" shrinkToFit="1"/>
    </xf>
    <xf numFmtId="0" fontId="139" fillId="13" borderId="20" xfId="2627" applyNumberFormat="1" applyFont="1" applyFill="1" applyBorder="1" applyAlignment="1">
      <alignment vertical="center"/>
    </xf>
    <xf numFmtId="0" fontId="139" fillId="13" borderId="4" xfId="0" applyFont="1" applyFill="1" applyBorder="1" applyAlignment="1">
      <alignment horizontal="center" vertical="center"/>
    </xf>
    <xf numFmtId="43" fontId="139" fillId="13" borderId="9" xfId="0" applyNumberFormat="1" applyFont="1" applyFill="1" applyBorder="1" applyAlignment="1">
      <alignment vertical="center"/>
    </xf>
    <xf numFmtId="41" fontId="139" fillId="13" borderId="4" xfId="2908" applyFont="1" applyFill="1" applyBorder="1" applyAlignment="1">
      <alignment vertical="center"/>
    </xf>
    <xf numFmtId="41" fontId="139" fillId="13" borderId="6" xfId="2908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 shrinkToFit="1"/>
    </xf>
    <xf numFmtId="0" fontId="139" fillId="13" borderId="0" xfId="0" applyFont="1" applyFill="1" applyAlignment="1">
      <alignment vertical="center"/>
    </xf>
    <xf numFmtId="0" fontId="139" fillId="13" borderId="2" xfId="0" applyFont="1" applyFill="1" applyBorder="1" applyAlignment="1">
      <alignment vertical="center"/>
    </xf>
    <xf numFmtId="0" fontId="139" fillId="13" borderId="2" xfId="0" applyFont="1" applyFill="1" applyBorder="1" applyAlignment="1">
      <alignment horizontal="right" vertical="center"/>
    </xf>
    <xf numFmtId="0" fontId="139" fillId="13" borderId="4" xfId="0" applyFont="1" applyFill="1" applyBorder="1" applyAlignment="1">
      <alignment horizontal="center" vertical="center" shrinkToFit="1"/>
    </xf>
    <xf numFmtId="0" fontId="119" fillId="0" borderId="20" xfId="2908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 shrinkToFit="1"/>
    </xf>
    <xf numFmtId="0" fontId="119" fillId="0" borderId="0" xfId="0" applyFont="1" applyAlignment="1">
      <alignment vertical="center"/>
    </xf>
    <xf numFmtId="0" fontId="119" fillId="0" borderId="2" xfId="0" applyFont="1" applyBorder="1" applyAlignment="1">
      <alignment vertical="center"/>
    </xf>
    <xf numFmtId="0" fontId="119" fillId="0" borderId="2" xfId="0" applyFont="1" applyBorder="1" applyAlignment="1">
      <alignment horizontal="right" vertical="center"/>
    </xf>
    <xf numFmtId="0" fontId="119" fillId="13" borderId="20" xfId="2627" applyNumberFormat="1" applyFont="1" applyFill="1" applyBorder="1" applyAlignment="1">
      <alignment vertical="center"/>
    </xf>
    <xf numFmtId="0" fontId="140" fillId="13" borderId="20" xfId="2908" applyNumberFormat="1" applyFont="1" applyFill="1" applyBorder="1" applyAlignment="1">
      <alignment horizontal="center" vertical="center"/>
    </xf>
    <xf numFmtId="0" fontId="140" fillId="13" borderId="20" xfId="2627" applyNumberFormat="1" applyFont="1" applyFill="1" applyBorder="1" applyAlignment="1">
      <alignment vertical="center"/>
    </xf>
    <xf numFmtId="0" fontId="141" fillId="13" borderId="4" xfId="0" applyFont="1" applyFill="1" applyBorder="1" applyAlignment="1">
      <alignment horizontal="center" vertical="center"/>
    </xf>
    <xf numFmtId="43" fontId="141" fillId="13" borderId="9" xfId="0" applyNumberFormat="1" applyFont="1" applyFill="1" applyBorder="1" applyAlignment="1">
      <alignment vertical="center"/>
    </xf>
    <xf numFmtId="0" fontId="141" fillId="0" borderId="4" xfId="0" applyFont="1" applyBorder="1" applyAlignment="1">
      <alignment horizontal="center" vertical="center" shrinkToFit="1"/>
    </xf>
    <xf numFmtId="0" fontId="141" fillId="13" borderId="0" xfId="0" applyFont="1" applyFill="1" applyAlignment="1">
      <alignment vertical="center"/>
    </xf>
    <xf numFmtId="0" fontId="141" fillId="13" borderId="2" xfId="0" applyFont="1" applyFill="1" applyBorder="1" applyAlignment="1">
      <alignment vertical="center"/>
    </xf>
    <xf numFmtId="0" fontId="141" fillId="13" borderId="2" xfId="0" applyFont="1" applyFill="1" applyBorder="1" applyAlignment="1">
      <alignment horizontal="right" vertical="center"/>
    </xf>
    <xf numFmtId="0" fontId="141" fillId="0" borderId="4" xfId="0" applyFont="1" applyBorder="1" applyAlignment="1">
      <alignment horizontal="center" vertical="center"/>
    </xf>
    <xf numFmtId="41" fontId="141" fillId="0" borderId="4" xfId="2908" applyFont="1" applyFill="1" applyBorder="1" applyAlignment="1">
      <alignment vertical="center"/>
    </xf>
    <xf numFmtId="41" fontId="141" fillId="0" borderId="6" xfId="2908" applyFont="1" applyFill="1" applyBorder="1" applyAlignment="1">
      <alignment vertical="center"/>
    </xf>
    <xf numFmtId="0" fontId="141" fillId="0" borderId="0" xfId="0" applyFont="1" applyAlignment="1">
      <alignment vertical="center"/>
    </xf>
    <xf numFmtId="0" fontId="141" fillId="0" borderId="2" xfId="0" applyFont="1" applyBorder="1" applyAlignment="1">
      <alignment vertical="center"/>
    </xf>
    <xf numFmtId="0" fontId="141" fillId="0" borderId="2" xfId="0" applyFont="1" applyBorder="1" applyAlignment="1">
      <alignment horizontal="right" vertical="center"/>
    </xf>
    <xf numFmtId="0" fontId="140" fillId="0" borderId="20" xfId="2627" applyNumberFormat="1" applyFont="1" applyFill="1" applyBorder="1" applyAlignment="1">
      <alignment horizontal="center" vertical="center"/>
    </xf>
    <xf numFmtId="0" fontId="140" fillId="0" borderId="20" xfId="2627" applyNumberFormat="1" applyFont="1" applyFill="1" applyBorder="1" applyAlignment="1">
      <alignment vertical="center"/>
    </xf>
    <xf numFmtId="2" fontId="141" fillId="0" borderId="9" xfId="0" applyNumberFormat="1" applyFont="1" applyBorder="1" applyAlignment="1">
      <alignment vertical="center"/>
    </xf>
    <xf numFmtId="41" fontId="140" fillId="13" borderId="4" xfId="2908" applyFont="1" applyFill="1" applyBorder="1" applyAlignment="1">
      <alignment vertical="center"/>
    </xf>
    <xf numFmtId="0" fontId="140" fillId="0" borderId="4" xfId="0" applyFont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/>
    </xf>
    <xf numFmtId="43" fontId="139" fillId="0" borderId="9" xfId="0" applyNumberFormat="1" applyFont="1" applyBorder="1" applyAlignment="1">
      <alignment vertical="center"/>
    </xf>
    <xf numFmtId="41" fontId="139" fillId="0" borderId="4" xfId="2908" applyFont="1" applyFill="1" applyBorder="1" applyAlignment="1">
      <alignment vertical="center"/>
    </xf>
    <xf numFmtId="41" fontId="139" fillId="0" borderId="6" xfId="2908" applyFont="1" applyFill="1" applyBorder="1" applyAlignment="1">
      <alignment vertical="center"/>
    </xf>
    <xf numFmtId="0" fontId="139" fillId="0" borderId="0" xfId="0" applyFont="1" applyAlignment="1">
      <alignment vertical="center"/>
    </xf>
    <xf numFmtId="0" fontId="139" fillId="0" borderId="2" xfId="0" applyFont="1" applyBorder="1" applyAlignment="1">
      <alignment vertical="center"/>
    </xf>
    <xf numFmtId="0" fontId="139" fillId="0" borderId="2" xfId="0" applyFont="1" applyBorder="1" applyAlignment="1">
      <alignment horizontal="right" vertical="center"/>
    </xf>
    <xf numFmtId="0" fontId="140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vertical="center"/>
    </xf>
    <xf numFmtId="43" fontId="141" fillId="0" borderId="9" xfId="0" applyNumberFormat="1" applyFont="1" applyBorder="1" applyAlignment="1">
      <alignment vertical="center"/>
    </xf>
    <xf numFmtId="41" fontId="135" fillId="12" borderId="4" xfId="2908" applyFont="1" applyFill="1" applyBorder="1" applyAlignment="1">
      <alignment vertical="center"/>
    </xf>
    <xf numFmtId="0" fontId="138" fillId="13" borderId="20" xfId="2627" applyNumberFormat="1" applyFont="1" applyFill="1" applyBorder="1" applyAlignment="1">
      <alignment horizontal="left" vertical="center"/>
    </xf>
    <xf numFmtId="0" fontId="138" fillId="0" borderId="4" xfId="0" applyFont="1" applyBorder="1" applyAlignment="1">
      <alignment horizontal="center" vertical="center"/>
    </xf>
    <xf numFmtId="2" fontId="139" fillId="0" borderId="9" xfId="0" applyNumberFormat="1" applyFont="1" applyBorder="1" applyAlignment="1">
      <alignment vertical="center"/>
    </xf>
    <xf numFmtId="0" fontId="139" fillId="0" borderId="20" xfId="0" applyFont="1" applyBorder="1" applyAlignment="1">
      <alignment horizontal="center" vertical="center"/>
    </xf>
    <xf numFmtId="43" fontId="139" fillId="0" borderId="20" xfId="2627" applyNumberFormat="1" applyFont="1" applyFill="1" applyBorder="1" applyAlignment="1">
      <alignment horizontal="center" vertical="center"/>
    </xf>
    <xf numFmtId="41" fontId="139" fillId="0" borderId="20" xfId="2908" applyFont="1" applyFill="1" applyBorder="1" applyAlignment="1">
      <alignment vertical="center"/>
    </xf>
    <xf numFmtId="0" fontId="139" fillId="0" borderId="20" xfId="0" applyFont="1" applyBorder="1" applyAlignment="1">
      <alignment vertical="center"/>
    </xf>
    <xf numFmtId="0" fontId="139" fillId="0" borderId="20" xfId="0" applyFont="1" applyBorder="1" applyAlignment="1">
      <alignment horizontal="right" vertical="center"/>
    </xf>
    <xf numFmtId="41" fontId="138" fillId="0" borderId="4" xfId="2908" applyFont="1" applyFill="1" applyBorder="1" applyAlignment="1">
      <alignment vertical="center"/>
    </xf>
    <xf numFmtId="41" fontId="138" fillId="0" borderId="6" xfId="2908" applyFont="1" applyFill="1" applyBorder="1" applyAlignment="1">
      <alignment vertical="center"/>
    </xf>
    <xf numFmtId="0" fontId="138" fillId="0" borderId="20" xfId="2627" applyNumberFormat="1" applyFont="1" applyFill="1" applyBorder="1" applyAlignment="1">
      <alignment horizontal="center" vertical="center"/>
    </xf>
    <xf numFmtId="41" fontId="117" fillId="0" borderId="6" xfId="2908" applyFont="1" applyFill="1" applyBorder="1" applyAlignment="1">
      <alignment horizontal="right" vertical="center"/>
    </xf>
    <xf numFmtId="0" fontId="138" fillId="0" borderId="20" xfId="2627" applyNumberFormat="1" applyFont="1" applyFill="1" applyBorder="1" applyAlignment="1">
      <alignment vertical="center"/>
    </xf>
    <xf numFmtId="43" fontId="138" fillId="0" borderId="9" xfId="0" applyNumberFormat="1" applyFont="1" applyBorder="1" applyAlignment="1">
      <alignment vertical="center"/>
    </xf>
    <xf numFmtId="0" fontId="138" fillId="0" borderId="0" xfId="0" applyFont="1" applyAlignment="1">
      <alignment vertical="center"/>
    </xf>
    <xf numFmtId="0" fontId="138" fillId="0" borderId="2" xfId="0" applyFont="1" applyBorder="1" applyAlignment="1">
      <alignment vertical="center"/>
    </xf>
    <xf numFmtId="0" fontId="138" fillId="0" borderId="2" xfId="0" applyFont="1" applyBorder="1" applyAlignment="1">
      <alignment horizontal="right" vertical="center"/>
    </xf>
    <xf numFmtId="2" fontId="138" fillId="0" borderId="9" xfId="0" applyNumberFormat="1" applyFont="1" applyBorder="1" applyAlignment="1">
      <alignment vertical="center"/>
    </xf>
    <xf numFmtId="0" fontId="138" fillId="13" borderId="20" xfId="2627" applyNumberFormat="1" applyFont="1" applyFill="1" applyBorder="1" applyAlignment="1">
      <alignment horizontal="center" vertical="center"/>
    </xf>
    <xf numFmtId="0" fontId="138" fillId="13" borderId="20" xfId="2908" applyNumberFormat="1" applyFont="1" applyFill="1" applyBorder="1" applyAlignment="1">
      <alignment horizontal="center" vertical="center"/>
    </xf>
    <xf numFmtId="0" fontId="138" fillId="0" borderId="20" xfId="0" applyFont="1" applyBorder="1" applyAlignment="1">
      <alignment horizontal="center" vertical="center"/>
    </xf>
    <xf numFmtId="43" fontId="138" fillId="0" borderId="20" xfId="2627" applyNumberFormat="1" applyFont="1" applyFill="1" applyBorder="1" applyAlignment="1">
      <alignment horizontal="center" vertical="center"/>
    </xf>
    <xf numFmtId="41" fontId="138" fillId="0" borderId="20" xfId="2908" applyFont="1" applyFill="1" applyBorder="1" applyAlignment="1">
      <alignment vertical="center"/>
    </xf>
    <xf numFmtId="0" fontId="138" fillId="0" borderId="20" xfId="0" applyFont="1" applyBorder="1" applyAlignment="1">
      <alignment vertical="center"/>
    </xf>
    <xf numFmtId="0" fontId="138" fillId="0" borderId="20" xfId="0" applyFont="1" applyBorder="1" applyAlignment="1">
      <alignment horizontal="right" vertical="center"/>
    </xf>
    <xf numFmtId="41" fontId="117" fillId="0" borderId="9" xfId="2908" applyFont="1" applyBorder="1" applyAlignment="1">
      <alignment vertical="center"/>
    </xf>
    <xf numFmtId="0" fontId="142" fillId="0" borderId="4" xfId="0" applyFont="1" applyBorder="1" applyAlignment="1">
      <alignment horizontal="center" vertical="center" shrinkToFit="1"/>
    </xf>
    <xf numFmtId="0" fontId="119" fillId="13" borderId="20" xfId="2627" applyNumberFormat="1" applyFont="1" applyFill="1" applyBorder="1" applyAlignment="1">
      <alignment horizontal="center" vertical="center"/>
    </xf>
    <xf numFmtId="2" fontId="139" fillId="13" borderId="9" xfId="0" applyNumberFormat="1" applyFont="1" applyFill="1" applyBorder="1" applyAlignment="1">
      <alignment vertical="center"/>
    </xf>
    <xf numFmtId="0" fontId="139" fillId="13" borderId="20" xfId="2627" applyNumberFormat="1" applyFont="1" applyFill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horizontal="center" vertical="center"/>
    </xf>
    <xf numFmtId="0" fontId="139" fillId="13" borderId="20" xfId="2908" applyNumberFormat="1" applyFont="1" applyFill="1" applyBorder="1" applyAlignment="1">
      <alignment horizontal="center" vertical="center"/>
    </xf>
    <xf numFmtId="0" fontId="139" fillId="13" borderId="4" xfId="2908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horizontal="center" vertical="center"/>
    </xf>
    <xf numFmtId="0" fontId="138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horizontal="center" vertical="center"/>
    </xf>
    <xf numFmtId="0" fontId="141" fillId="0" borderId="20" xfId="2908" applyNumberFormat="1" applyFont="1" applyFill="1" applyBorder="1" applyAlignment="1">
      <alignment horizontal="center" vertical="center"/>
    </xf>
    <xf numFmtId="0" fontId="141" fillId="13" borderId="20" xfId="2908" applyNumberFormat="1" applyFont="1" applyFill="1" applyBorder="1" applyAlignment="1">
      <alignment horizontal="center" vertical="center"/>
    </xf>
    <xf numFmtId="0" fontId="139" fillId="0" borderId="20" xfId="2908" applyNumberFormat="1" applyFont="1" applyFill="1" applyBorder="1" applyAlignment="1">
      <alignment horizontal="center" vertical="center"/>
    </xf>
    <xf numFmtId="179" fontId="143" fillId="0" borderId="20" xfId="2627" applyFont="1" applyFill="1" applyBorder="1" applyAlignment="1">
      <alignment horizontal="center" vertical="center"/>
    </xf>
    <xf numFmtId="179" fontId="143" fillId="0" borderId="20" xfId="2627" applyFont="1" applyFill="1" applyBorder="1" applyAlignment="1">
      <alignment vertical="center"/>
    </xf>
    <xf numFmtId="179" fontId="143" fillId="0" borderId="26" xfId="2627" applyFont="1" applyFill="1" applyBorder="1" applyAlignment="1">
      <alignment vertical="center"/>
    </xf>
    <xf numFmtId="0" fontId="144" fillId="0" borderId="9" xfId="0" applyFont="1" applyBorder="1" applyAlignment="1">
      <alignment horizontal="center" vertical="center" shrinkToFit="1"/>
    </xf>
    <xf numFmtId="0" fontId="145" fillId="13" borderId="4" xfId="0" applyFont="1" applyFill="1" applyBorder="1" applyAlignment="1">
      <alignment horizontal="center" vertical="center"/>
    </xf>
    <xf numFmtId="0" fontId="146" fillId="13" borderId="4" xfId="0" applyFont="1" applyFill="1" applyBorder="1" applyAlignment="1">
      <alignment horizontal="center" vertical="center"/>
    </xf>
    <xf numFmtId="3" fontId="138" fillId="0" borderId="0" xfId="0" applyNumberFormat="1" applyFont="1" applyAlignment="1">
      <alignment vertical="center"/>
    </xf>
    <xf numFmtId="3" fontId="118" fillId="0" borderId="0" xfId="0" applyNumberFormat="1" applyFont="1" applyAlignment="1">
      <alignment vertical="center"/>
    </xf>
    <xf numFmtId="41" fontId="138" fillId="0" borderId="0" xfId="2908" applyFont="1" applyAlignment="1">
      <alignment vertical="center"/>
    </xf>
    <xf numFmtId="0" fontId="117" fillId="0" borderId="20" xfId="2627" applyNumberFormat="1" applyFont="1" applyFill="1" applyBorder="1" applyAlignment="1">
      <alignment horizontal="left" vertical="center"/>
    </xf>
    <xf numFmtId="0" fontId="147" fillId="0" borderId="20" xfId="0" applyFont="1" applyBorder="1" applyAlignment="1">
      <alignment horizontal="center" vertical="center"/>
    </xf>
    <xf numFmtId="0" fontId="148" fillId="0" borderId="20" xfId="2627" applyNumberFormat="1" applyFont="1" applyFill="1" applyBorder="1" applyAlignment="1">
      <alignment horizontal="left" vertical="center"/>
    </xf>
    <xf numFmtId="9" fontId="148" fillId="0" borderId="20" xfId="2627" applyNumberFormat="1" applyFont="1" applyFill="1" applyBorder="1" applyAlignment="1">
      <alignment vertical="center" wrapText="1"/>
    </xf>
    <xf numFmtId="0" fontId="119" fillId="13" borderId="4" xfId="0" applyFont="1" applyFill="1" applyBorder="1" applyAlignment="1">
      <alignment horizontal="center" vertical="center"/>
    </xf>
    <xf numFmtId="43" fontId="119" fillId="13" borderId="9" xfId="0" applyNumberFormat="1" applyFont="1" applyFill="1" applyBorder="1" applyAlignment="1">
      <alignment vertical="center"/>
    </xf>
    <xf numFmtId="41" fontId="119" fillId="13" borderId="4" xfId="2908" applyFont="1" applyFill="1" applyBorder="1" applyAlignment="1">
      <alignment vertical="center"/>
    </xf>
    <xf numFmtId="41" fontId="119" fillId="13" borderId="6" xfId="2908" applyFont="1" applyFill="1" applyBorder="1" applyAlignment="1">
      <alignment vertical="center"/>
    </xf>
    <xf numFmtId="0" fontId="119" fillId="13" borderId="0" xfId="0" applyFont="1" applyFill="1" applyAlignment="1">
      <alignment vertical="center"/>
    </xf>
    <xf numFmtId="0" fontId="119" fillId="13" borderId="2" xfId="0" applyFont="1" applyFill="1" applyBorder="1" applyAlignment="1">
      <alignment vertical="center"/>
    </xf>
    <xf numFmtId="0" fontId="119" fillId="13" borderId="2" xfId="0" applyFont="1" applyFill="1" applyBorder="1" applyAlignment="1">
      <alignment horizontal="right" vertical="center"/>
    </xf>
    <xf numFmtId="0" fontId="119" fillId="0" borderId="4" xfId="0" applyFont="1" applyBorder="1" applyAlignment="1">
      <alignment horizontal="center" vertical="center"/>
    </xf>
    <xf numFmtId="2" fontId="119" fillId="0" borderId="9" xfId="0" applyNumberFormat="1" applyFont="1" applyBorder="1" applyAlignment="1">
      <alignment vertical="center"/>
    </xf>
    <xf numFmtId="41" fontId="119" fillId="0" borderId="4" xfId="2908" applyFont="1" applyFill="1" applyBorder="1" applyAlignment="1">
      <alignment vertical="center"/>
    </xf>
    <xf numFmtId="41" fontId="119" fillId="0" borderId="6" xfId="2908" applyFont="1" applyFill="1" applyBorder="1" applyAlignment="1">
      <alignment vertical="center"/>
    </xf>
    <xf numFmtId="41" fontId="119" fillId="0" borderId="0" xfId="2908" applyFont="1" applyAlignment="1">
      <alignment vertical="center"/>
    </xf>
    <xf numFmtId="0" fontId="149" fillId="13" borderId="20" xfId="2627" applyNumberFormat="1" applyFont="1" applyFill="1" applyBorder="1" applyAlignment="1">
      <alignment vertical="center"/>
    </xf>
    <xf numFmtId="0" fontId="102" fillId="13" borderId="4" xfId="0" applyFont="1" applyFill="1" applyBorder="1" applyAlignment="1">
      <alignment horizontal="center" vertical="center"/>
    </xf>
    <xf numFmtId="0" fontId="146" fillId="0" borderId="4" xfId="0" applyFont="1" applyBorder="1" applyAlignment="1">
      <alignment horizontal="center" vertical="center" shrinkToFit="1"/>
    </xf>
    <xf numFmtId="0" fontId="150" fillId="13" borderId="20" xfId="2627" applyNumberFormat="1" applyFont="1" applyFill="1" applyBorder="1" applyAlignment="1">
      <alignment vertical="center"/>
    </xf>
    <xf numFmtId="0" fontId="102" fillId="13" borderId="4" xfId="0" applyFont="1" applyFill="1" applyBorder="1" applyAlignment="1">
      <alignment horizontal="center" vertical="center" shrinkToFit="1"/>
    </xf>
    <xf numFmtId="0" fontId="149" fillId="13" borderId="20" xfId="2908" applyNumberFormat="1" applyFont="1" applyFill="1" applyBorder="1" applyAlignment="1">
      <alignment horizontal="center" vertical="center"/>
    </xf>
    <xf numFmtId="0" fontId="140" fillId="13" borderId="4" xfId="2908" applyNumberFormat="1" applyFont="1" applyFill="1" applyBorder="1" applyAlignment="1">
      <alignment horizontal="center" vertical="center"/>
    </xf>
    <xf numFmtId="0" fontId="140" fillId="13" borderId="4" xfId="0" applyFont="1" applyFill="1" applyBorder="1" applyAlignment="1">
      <alignment horizontal="center" vertical="center"/>
    </xf>
    <xf numFmtId="43" fontId="140" fillId="13" borderId="9" xfId="0" applyNumberFormat="1" applyFont="1" applyFill="1" applyBorder="1" applyAlignment="1">
      <alignment vertical="center"/>
    </xf>
    <xf numFmtId="41" fontId="140" fillId="13" borderId="6" xfId="2908" applyFont="1" applyFill="1" applyBorder="1" applyAlignment="1">
      <alignment vertical="center"/>
    </xf>
    <xf numFmtId="0" fontId="140" fillId="13" borderId="4" xfId="0" applyFont="1" applyFill="1" applyBorder="1" applyAlignment="1">
      <alignment horizontal="center" vertical="center" shrinkToFit="1"/>
    </xf>
    <xf numFmtId="0" fontId="140" fillId="13" borderId="0" xfId="0" applyFont="1" applyFill="1" applyAlignment="1">
      <alignment vertical="center"/>
    </xf>
    <xf numFmtId="0" fontId="140" fillId="13" borderId="2" xfId="0" applyFont="1" applyFill="1" applyBorder="1" applyAlignment="1">
      <alignment vertical="center"/>
    </xf>
    <xf numFmtId="0" fontId="140" fillId="13" borderId="2" xfId="0" applyFont="1" applyFill="1" applyBorder="1" applyAlignment="1">
      <alignment horizontal="right" vertical="center"/>
    </xf>
    <xf numFmtId="41" fontId="140" fillId="0" borderId="6" xfId="2908" applyFont="1" applyFill="1" applyBorder="1" applyAlignment="1">
      <alignment vertical="center"/>
    </xf>
    <xf numFmtId="0" fontId="117" fillId="15" borderId="20" xfId="2627" applyNumberFormat="1" applyFont="1" applyFill="1" applyBorder="1" applyAlignment="1">
      <alignment horizontal="center" vertical="center"/>
    </xf>
    <xf numFmtId="0" fontId="117" fillId="15" borderId="20" xfId="2908" applyNumberFormat="1" applyFont="1" applyFill="1" applyBorder="1" applyAlignment="1">
      <alignment horizontal="center" vertical="center"/>
    </xf>
    <xf numFmtId="0" fontId="117" fillId="15" borderId="20" xfId="2627" applyNumberFormat="1" applyFont="1" applyFill="1" applyBorder="1" applyAlignment="1">
      <alignment vertical="center"/>
    </xf>
    <xf numFmtId="0" fontId="117" fillId="15" borderId="4" xfId="0" applyFont="1" applyFill="1" applyBorder="1" applyAlignment="1">
      <alignment horizontal="center" vertical="center"/>
    </xf>
    <xf numFmtId="43" fontId="117" fillId="15" borderId="9" xfId="0" applyNumberFormat="1" applyFont="1" applyFill="1" applyBorder="1" applyAlignment="1">
      <alignment vertical="center"/>
    </xf>
    <xf numFmtId="41" fontId="117" fillId="15" borderId="4" xfId="2908" applyFont="1" applyFill="1" applyBorder="1" applyAlignment="1">
      <alignment vertical="center"/>
    </xf>
    <xf numFmtId="41" fontId="117" fillId="15" borderId="6" xfId="2908" applyFont="1" applyFill="1" applyBorder="1" applyAlignment="1">
      <alignment vertical="center"/>
    </xf>
    <xf numFmtId="0" fontId="117" fillId="15" borderId="4" xfId="0" applyFont="1" applyFill="1" applyBorder="1" applyAlignment="1">
      <alignment horizontal="center" vertical="center" shrinkToFit="1"/>
    </xf>
    <xf numFmtId="0" fontId="117" fillId="15" borderId="0" xfId="0" applyFont="1" applyFill="1" applyAlignment="1">
      <alignment vertical="center"/>
    </xf>
    <xf numFmtId="0" fontId="117" fillId="15" borderId="2" xfId="0" applyFont="1" applyFill="1" applyBorder="1" applyAlignment="1">
      <alignment vertical="center"/>
    </xf>
    <xf numFmtId="0" fontId="117" fillId="15" borderId="2" xfId="0" applyFont="1" applyFill="1" applyBorder="1" applyAlignment="1">
      <alignment horizontal="right" vertical="center"/>
    </xf>
    <xf numFmtId="0" fontId="119" fillId="13" borderId="4" xfId="0" applyFont="1" applyFill="1" applyBorder="1" applyAlignment="1">
      <alignment horizontal="center" vertical="center" shrinkToFit="1"/>
    </xf>
    <xf numFmtId="2" fontId="138" fillId="13" borderId="9" xfId="0" applyNumberFormat="1" applyFont="1" applyFill="1" applyBorder="1" applyAlignment="1">
      <alignment vertical="center"/>
    </xf>
    <xf numFmtId="0" fontId="140" fillId="15" borderId="20" xfId="2908" applyNumberFormat="1" applyFont="1" applyFill="1" applyBorder="1" applyAlignment="1">
      <alignment horizontal="center" vertical="center"/>
    </xf>
    <xf numFmtId="0" fontId="138" fillId="15" borderId="20" xfId="2908" applyNumberFormat="1" applyFont="1" applyFill="1" applyBorder="1" applyAlignment="1">
      <alignment horizontal="center" vertical="center"/>
    </xf>
    <xf numFmtId="0" fontId="120" fillId="0" borderId="0" xfId="2909" applyFont="1" applyAlignment="1">
      <alignment horizontal="center"/>
    </xf>
    <xf numFmtId="0" fontId="121" fillId="0" borderId="0" xfId="2907" applyFont="1" applyAlignment="1">
      <alignment horizontal="center"/>
    </xf>
    <xf numFmtId="57" fontId="122" fillId="0" borderId="0" xfId="2909" applyNumberFormat="1" applyFont="1" applyAlignment="1">
      <alignment horizontal="right"/>
    </xf>
    <xf numFmtId="0" fontId="124" fillId="0" borderId="21" xfId="2909" applyFont="1" applyBorder="1"/>
    <xf numFmtId="0" fontId="124" fillId="0" borderId="0" xfId="2909" applyFont="1" applyAlignment="1">
      <alignment horizontal="left"/>
    </xf>
    <xf numFmtId="0" fontId="131" fillId="7" borderId="38" xfId="0" applyFont="1" applyFill="1" applyBorder="1" applyAlignment="1">
      <alignment horizontal="center" vertical="center"/>
    </xf>
    <xf numFmtId="0" fontId="131" fillId="7" borderId="27" xfId="0" applyFont="1" applyFill="1" applyBorder="1" applyAlignment="1">
      <alignment horizontal="center" vertical="center"/>
    </xf>
    <xf numFmtId="0" fontId="128" fillId="0" borderId="0" xfId="2627" applyNumberFormat="1" applyFont="1" applyFill="1" applyBorder="1" applyAlignment="1">
      <alignment vertical="center"/>
    </xf>
    <xf numFmtId="0" fontId="131" fillId="7" borderId="38" xfId="2627" applyNumberFormat="1" applyFont="1" applyFill="1" applyBorder="1" applyAlignment="1">
      <alignment horizontal="center" vertical="center"/>
    </xf>
    <xf numFmtId="0" fontId="131" fillId="7" borderId="27" xfId="2627" applyNumberFormat="1" applyFont="1" applyFill="1" applyBorder="1" applyAlignment="1">
      <alignment horizontal="center" vertical="center"/>
    </xf>
    <xf numFmtId="43" fontId="131" fillId="7" borderId="38" xfId="0" applyNumberFormat="1" applyFont="1" applyFill="1" applyBorder="1" applyAlignment="1">
      <alignment horizontal="center" vertical="center"/>
    </xf>
    <xf numFmtId="43" fontId="131" fillId="7" borderId="27" xfId="0" applyNumberFormat="1" applyFont="1" applyFill="1" applyBorder="1" applyAlignment="1">
      <alignment horizontal="center" vertical="center"/>
    </xf>
    <xf numFmtId="179" fontId="131" fillId="7" borderId="38" xfId="2627" applyFont="1" applyFill="1" applyBorder="1" applyAlignment="1">
      <alignment horizontal="center" vertical="center"/>
    </xf>
    <xf numFmtId="3" fontId="138" fillId="0" borderId="42" xfId="0" applyNumberFormat="1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37" fillId="16" borderId="37" xfId="0" applyFont="1" applyFill="1" applyBorder="1" applyAlignment="1">
      <alignment horizontal="center" vertical="center"/>
    </xf>
    <xf numFmtId="0" fontId="137" fillId="16" borderId="38" xfId="0" applyFont="1" applyFill="1" applyBorder="1" applyAlignment="1">
      <alignment horizontal="center" vertical="center"/>
    </xf>
    <xf numFmtId="0" fontId="113" fillId="0" borderId="28" xfId="2627" applyNumberFormat="1" applyFont="1" applyFill="1" applyBorder="1" applyAlignment="1">
      <alignment vertical="center"/>
    </xf>
    <xf numFmtId="0" fontId="115" fillId="7" borderId="27" xfId="0" applyFont="1" applyFill="1" applyBorder="1" applyAlignment="1">
      <alignment horizontal="center" vertical="center"/>
    </xf>
    <xf numFmtId="0" fontId="115" fillId="16" borderId="27" xfId="2627" applyNumberFormat="1" applyFont="1" applyFill="1" applyBorder="1" applyAlignment="1">
      <alignment horizontal="center" vertical="center"/>
    </xf>
    <xf numFmtId="0" fontId="115" fillId="16" borderId="27" xfId="0" applyFont="1" applyFill="1" applyBorder="1" applyAlignment="1">
      <alignment horizontal="center" vertical="center"/>
    </xf>
    <xf numFmtId="43" fontId="115" fillId="16" borderId="27" xfId="0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</cellXfs>
  <cellStyles count="2911">
    <cellStyle name=" " xfId="1" xr:uid="{00000000-0005-0000-0000-000000000000}"/>
    <cellStyle name=" _97연말" xfId="2" xr:uid="{00000000-0005-0000-0000-000001000000}"/>
    <cellStyle name=" _97연말_방수-대맥" xfId="3" xr:uid="{00000000-0005-0000-0000-000002000000}"/>
    <cellStyle name=" _97연말1" xfId="4" xr:uid="{00000000-0005-0000-0000-000003000000}"/>
    <cellStyle name=" _97연말1_방수-대맥" xfId="5" xr:uid="{00000000-0005-0000-0000-000004000000}"/>
    <cellStyle name=" _Book1" xfId="6" xr:uid="{00000000-0005-0000-0000-000005000000}"/>
    <cellStyle name=" _Book1_방수-대맥" xfId="7" xr:uid="{00000000-0005-0000-0000-000006000000}"/>
    <cellStyle name=" _방수-대맥" xfId="8" xr:uid="{00000000-0005-0000-0000-000007000000}"/>
    <cellStyle name="&quot;" xfId="9" xr:uid="{00000000-0005-0000-0000-000008000000}"/>
    <cellStyle name="#,##0" xfId="10" xr:uid="{00000000-0005-0000-0000-000009000000}"/>
    <cellStyle name="$" xfId="11" xr:uid="{00000000-0005-0000-0000-00000A000000}"/>
    <cellStyle name="$_db진흥" xfId="12" xr:uid="{00000000-0005-0000-0000-00000B000000}"/>
    <cellStyle name="$_견적2" xfId="13" xr:uid="{00000000-0005-0000-0000-00000C000000}"/>
    <cellStyle name="$_기아" xfId="14" xr:uid="{00000000-0005-0000-0000-00000D000000}"/>
    <cellStyle name="(##.00)" xfId="15" xr:uid="{00000000-0005-0000-0000-00000E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??_x000c_둄_x001b__x000d_|?_x0001_?_x0003__x0014__x0007__x0001__x0001_" xfId="19" xr:uid="{00000000-0005-0000-0000-000012000000}"/>
    <cellStyle name="??&amp;5_x0007_?._x0007_9_x0008_??_x0007__x0001__x0001_" xfId="20" xr:uid="{00000000-0005-0000-0000-000013000000}"/>
    <cellStyle name="??&amp;6_x0007_?/_x0007_9_x0008_??_x0007__x0001__x0001_" xfId="21" xr:uid="{00000000-0005-0000-0000-000014000000}"/>
    <cellStyle name="??&amp;O?&amp;H?_x0008__x000f__x0007_?_x0007__x0001__x0001_" xfId="22" xr:uid="{00000000-0005-0000-0000-000015000000}"/>
    <cellStyle name="??&amp;O?&amp;H?_x0008_??_x0007__x0001__x0001_" xfId="23" xr:uid="{00000000-0005-0000-0000-000016000000}"/>
    <cellStyle name="??&amp;멅?둃9_x0008_??_x0007__x0001__x0001_" xfId="24" xr:uid="{00000000-0005-0000-0000-000017000000}"/>
    <cellStyle name="??&amp;쏗?뷐9_x0008__x0011__x0007_?_x0007__x0001__x0001_" xfId="25" xr:uid="{00000000-0005-0000-0000-000018000000}"/>
    <cellStyle name="???­ [0]_±??¸" xfId="26" xr:uid="{00000000-0005-0000-0000-000019000000}"/>
    <cellStyle name="???­_±??¸" xfId="27" xr:uid="{00000000-0005-0000-0000-00001A000000}"/>
    <cellStyle name="???Ø_¿?°?¿?¾?º¸°?" xfId="28" xr:uid="{00000000-0005-0000-0000-00001B000000}"/>
    <cellStyle name="??_pldt" xfId="29" xr:uid="{00000000-0005-0000-0000-00001C000000}"/>
    <cellStyle name="?ðC%U?&amp;H?_x0008_?s_x000a__x0007__x0001__x0001_" xfId="30" xr:uid="{00000000-0005-0000-0000-00001D000000}"/>
    <cellStyle name="?Þ¸¶ [0]_±??¸" xfId="31" xr:uid="{00000000-0005-0000-0000-00001E000000}"/>
    <cellStyle name="?Þ¸¶_±??¸" xfId="32" xr:uid="{00000000-0005-0000-0000-00001F000000}"/>
    <cellStyle name="?W?_laroux" xfId="33" xr:uid="{00000000-0005-0000-0000-000020000000}"/>
    <cellStyle name="?曹%U?&amp;H?_x0008_?s_x000a__x0007__x0001__x0001_" xfId="34" xr:uid="{00000000-0005-0000-0000-000021000000}"/>
    <cellStyle name="?珠??? " xfId="35" xr:uid="{00000000-0005-0000-0000-000022000000}"/>
    <cellStyle name="_(02.03.05) 묵동 현장관리비 실행" xfId="36" xr:uid="{00000000-0005-0000-0000-000023000000}"/>
    <cellStyle name="_(02.03.08) 묵동 현장관리비 실행" xfId="37" xr:uid="{00000000-0005-0000-0000-000024000000}"/>
    <cellStyle name="_(02.09.17)인천 삼산1지구 2블럭 주공아파트" xfId="38" xr:uid="{00000000-0005-0000-0000-000025000000}"/>
    <cellStyle name="_(02.09.23  64,000평)인천 삼산1지구 2블럭 " xfId="39" xr:uid="{00000000-0005-0000-0000-000026000000}"/>
    <cellStyle name="_(07.31 최종확정)묵동 실행예산" xfId="40" xr:uid="{00000000-0005-0000-0000-000027000000}"/>
    <cellStyle name="_(09.05)인천원당 공통가설공사" xfId="41" xr:uid="{00000000-0005-0000-0000-000028000000}"/>
    <cellStyle name="_00" xfId="42" xr:uid="{00000000-0005-0000-0000-000029000000}"/>
    <cellStyle name="_00012002년 업체평가 결과 현장전파공문(030310)" xfId="43" xr:uid="{00000000-0005-0000-0000-00002A000000}"/>
    <cellStyle name="_001-인원및일반관리비" xfId="44" xr:uid="{00000000-0005-0000-0000-00002B000000}"/>
    <cellStyle name="_01.본실행" xfId="45" xr:uid="{00000000-0005-0000-0000-00002C000000}"/>
    <cellStyle name="_0106-06-007 금속 및 수장공사 단가견적- 대림" xfId="46" xr:uid="{00000000-0005-0000-0000-00002D000000}"/>
    <cellStyle name="_01-1.본실행.간접비" xfId="47" xr:uid="{00000000-0005-0000-0000-00002E000000}"/>
    <cellStyle name="_01-건축공사" xfId="48" xr:uid="{00000000-0005-0000-0000-00002F000000}"/>
    <cellStyle name="_02.본실행(건축)" xfId="49" xr:uid="{00000000-0005-0000-0000-000030000000}"/>
    <cellStyle name="_02.본실행(건축1)" xfId="50" xr:uid="{00000000-0005-0000-0000-000031000000}"/>
    <cellStyle name="_0210 암센타 내역 A ZONE" xfId="51" xr:uid="{00000000-0005-0000-0000-000032000000}"/>
    <cellStyle name="_02-도급공사비내역" xfId="52" xr:uid="{00000000-0005-0000-0000-000033000000}"/>
    <cellStyle name="_03 실행내역(대전MBC)-건축토목" xfId="53" xr:uid="{00000000-0005-0000-0000-000034000000}"/>
    <cellStyle name="_03_정보통신R.C공사(051031)" xfId="54" xr:uid="{00000000-0005-0000-0000-000035000000}"/>
    <cellStyle name="_04 건축-인테리어(주거)공내역" xfId="55" xr:uid="{00000000-0005-0000-0000-000036000000}"/>
    <cellStyle name="_0426 제주 봉개 견적서(제출)" xfId="56" xr:uid="{00000000-0005-0000-0000-000037000000}"/>
    <cellStyle name="_05 건축-인테리어(상업)공내역" xfId="57" xr:uid="{00000000-0005-0000-0000-000038000000}"/>
    <cellStyle name="_05_방수공사" xfId="58" xr:uid="{00000000-0005-0000-0000-000039000000}"/>
    <cellStyle name="_05_방수공사(6.21)" xfId="59" xr:uid="{00000000-0005-0000-0000-00003A000000}"/>
    <cellStyle name="_050728 IBM Lounge Renovation Work" xfId="60" xr:uid="{00000000-0005-0000-0000-00003B000000}"/>
    <cellStyle name="_050805 스파피스-입찰내역서" xfId="61" xr:uid="{00000000-0005-0000-0000-00003C000000}"/>
    <cellStyle name="_050829 Schedule of Rate for Intel R&amp;D Center" xfId="62" xr:uid="{00000000-0005-0000-0000-00003D000000}"/>
    <cellStyle name="_0510 CGV 수원인계8" xfId="63" xr:uid="{00000000-0005-0000-0000-00003E000000}"/>
    <cellStyle name="_0512제출(1공구)" xfId="64" xr:uid="{00000000-0005-0000-0000-00003F000000}"/>
    <cellStyle name="_0513 견적서양식및3개평형별내역" xfId="65" xr:uid="{00000000-0005-0000-0000-000040000000}"/>
    <cellStyle name="_0514회의확정자료" xfId="66" xr:uid="{00000000-0005-0000-0000-000041000000}"/>
    <cellStyle name="_0524 특기시방" xfId="67" xr:uid="{00000000-0005-0000-0000-000042000000}"/>
    <cellStyle name="_060621 뉴 금오산 호텔 본관" xfId="68" xr:uid="{00000000-0005-0000-0000-000043000000}"/>
    <cellStyle name="_061114 GS MART A,B,C복층 내역(제출)" xfId="69" xr:uid="{00000000-0005-0000-0000-000044000000}"/>
    <cellStyle name="_07_미장공사" xfId="70" xr:uid="{00000000-0005-0000-0000-000045000000}"/>
    <cellStyle name="_07_진장점-미장공사 발주-진장점-RDR-051031" xfId="71" xr:uid="{00000000-0005-0000-0000-000046000000}"/>
    <cellStyle name="_070111 한우리리조트(취합)-공종분류" xfId="72" xr:uid="{00000000-0005-0000-0000-000047000000}"/>
    <cellStyle name="_070119 서초동쇼룸(최종)" xfId="73" xr:uid="{00000000-0005-0000-0000-000048000000}"/>
    <cellStyle name="_08-가실행내역" xfId="74" xr:uid="{00000000-0005-0000-0000-000049000000}"/>
    <cellStyle name="_09_흡음단열공사" xfId="75" xr:uid="{00000000-0005-0000-0000-00004A000000}"/>
    <cellStyle name="_0901작업1-금액분리" xfId="76" xr:uid="{00000000-0005-0000-0000-00004B000000}"/>
    <cellStyle name="_1 총괄-건축집행(평창콘도)" xfId="77" xr:uid="{00000000-0005-0000-0000-00004C000000}"/>
    <cellStyle name="_1. 삼성동 실행 030225(조적추가)" xfId="78" xr:uid="{00000000-0005-0000-0000-00004D000000}"/>
    <cellStyle name="_1. 삼성동 실행(030329)" xfId="79" xr:uid="{00000000-0005-0000-0000-00004E000000}"/>
    <cellStyle name="_1. 송도신도시현장관리비전순일검토" xfId="80" xr:uid="{00000000-0005-0000-0000-00004F000000}"/>
    <cellStyle name="_12_스텐스틸창호" xfId="81" xr:uid="{00000000-0005-0000-0000-000050000000}"/>
    <cellStyle name="_16_진장점수장공사(051209)" xfId="82" xr:uid="{00000000-0005-0000-0000-000051000000}"/>
    <cellStyle name="_2001전북도청 실행예산" xfId="83" xr:uid="{00000000-0005-0000-0000-000052000000}"/>
    <cellStyle name="_2002년 업체평가 결과 현장전파공문(030310)" xfId="84" xr:uid="{00000000-0005-0000-0000-000053000000}"/>
    <cellStyle name="_2003년전망(현장발송본) " xfId="85" xr:uid="{00000000-0005-0000-0000-000054000000}"/>
    <cellStyle name="_3. 인천간석동현장관리비전순일 분석" xfId="86" xr:uid="{00000000-0005-0000-0000-000055000000}"/>
    <cellStyle name="_4. 파주 변경 현장안20030128" xfId="87" xr:uid="{00000000-0005-0000-0000-000056000000}"/>
    <cellStyle name="_A" xfId="88" xr:uid="{00000000-0005-0000-0000-000057000000}"/>
    <cellStyle name="_A0509-가실행(파주)" xfId="89" xr:uid="{00000000-0005-0000-0000-000058000000}"/>
    <cellStyle name="_A-0902건축공사확정(대안포함)" xfId="90" xr:uid="{00000000-0005-0000-0000-000059000000}"/>
    <cellStyle name="_A-0902조경공사확정(대안포함)" xfId="91" xr:uid="{00000000-0005-0000-0000-00005A000000}"/>
    <cellStyle name="_AA" xfId="92" xr:uid="{00000000-0005-0000-0000-00005B000000}"/>
    <cellStyle name="_A발주자참고내역003-전기공사" xfId="93" xr:uid="{00000000-0005-0000-0000-00005C000000}"/>
    <cellStyle name="_BAT현장(본실행1)" xfId="94" xr:uid="{00000000-0005-0000-0000-00005D000000}"/>
    <cellStyle name="_Book1" xfId="95" xr:uid="{00000000-0005-0000-0000-00005E000000}"/>
    <cellStyle name="_Book2" xfId="96" xr:uid="{00000000-0005-0000-0000-00005F000000}"/>
    <cellStyle name="_BOQ(Hang Lung)" xfId="97" xr:uid="{00000000-0005-0000-0000-000060000000}"/>
    <cellStyle name="_BOQ(Hang Lung-rev1)" xfId="98" xr:uid="{00000000-0005-0000-0000-000061000000}"/>
    <cellStyle name="_FCST (2)" xfId="99" xr:uid="{00000000-0005-0000-0000-000062000000}"/>
    <cellStyle name="_KIL11107비교xls" xfId="100" xr:uid="{00000000-0005-0000-0000-000063000000}"/>
    <cellStyle name="_KT견적요청" xfId="101" xr:uid="{00000000-0005-0000-0000-000064000000}"/>
    <cellStyle name="_LG2,3,4,6층(0313)" xfId="102" xr:uid="{00000000-0005-0000-0000-000065000000}"/>
    <cellStyle name="_N-A023정보통신수장(바닥-060425)-최종" xfId="103" xr:uid="{00000000-0005-0000-0000-000066000000}"/>
    <cellStyle name="_N-A023정보통신수장(바닥-060425)-최종_1차 기성 내역서 0612023" xfId="104" xr:uid="{00000000-0005-0000-0000-000067000000}"/>
    <cellStyle name="_N-A023정보통신수장(바닥-060425)-최종_3차네고견적(061017-1)" xfId="105" xr:uid="{00000000-0005-0000-0000-000068000000}"/>
    <cellStyle name="_N-A023정보통신수장(바닥-060425)-최종_문화센타" xfId="106" xr:uid="{00000000-0005-0000-0000-000069000000}"/>
    <cellStyle name="_NA-A012정보통신알미늄커튼월공사(060119)" xfId="107" xr:uid="{00000000-0005-0000-0000-00006A000000}"/>
    <cellStyle name="_NC12E1F75" xfId="108" xr:uid="{00000000-0005-0000-0000-00006B000000}"/>
    <cellStyle name="_NC22E43F4" xfId="109" xr:uid="{00000000-0005-0000-0000-00006C000000}"/>
    <cellStyle name="_NC2308EFD" xfId="110" xr:uid="{00000000-0005-0000-0000-00006D000000}"/>
    <cellStyle name="_NC85018F" xfId="111" xr:uid="{00000000-0005-0000-0000-00006E000000}"/>
    <cellStyle name="_NCA07108" xfId="112" xr:uid="{00000000-0005-0000-0000-00006F000000}"/>
    <cellStyle name="_NCF3A0B2" xfId="113" xr:uid="{00000000-0005-0000-0000-000070000000}"/>
    <cellStyle name="_port" xfId="114" xr:uid="{00000000-0005-0000-0000-000071000000}"/>
    <cellStyle name="_RESULTS" xfId="115" xr:uid="{00000000-0005-0000-0000-000072000000}"/>
    <cellStyle name="_SK건설추정견적" xfId="116" xr:uid="{00000000-0005-0000-0000-000073000000}"/>
    <cellStyle name="_SK-역삼동 Leaders View EST 050711" xfId="117" xr:uid="{00000000-0005-0000-0000-000074000000}"/>
    <cellStyle name="_summary for MTRC P3" xfId="118" xr:uid="{00000000-0005-0000-0000-000075000000}"/>
    <cellStyle name="_Unit rate &amp; Quantity" xfId="119" xr:uid="{00000000-0005-0000-0000-000076000000}"/>
    <cellStyle name="_X" xfId="120" xr:uid="{00000000-0005-0000-0000-000077000000}"/>
    <cellStyle name="_가로양식(2005)" xfId="121" xr:uid="{00000000-0005-0000-0000-000078000000}"/>
    <cellStyle name="_가실행" xfId="122" xr:uid="{00000000-0005-0000-0000-000079000000}"/>
    <cellStyle name="_가실행 최종본사분" xfId="123" xr:uid="{00000000-0005-0000-0000-00007A000000}"/>
    <cellStyle name="_가실행(3th)" xfId="124" xr:uid="{00000000-0005-0000-0000-00007B000000}"/>
    <cellStyle name="_가실행(대전아울렛)" xfId="125" xr:uid="{00000000-0005-0000-0000-00007C000000}"/>
    <cellStyle name="_가실행(대혜건축)" xfId="126" xr:uid="{00000000-0005-0000-0000-00007D000000}"/>
    <cellStyle name="_가실행(분리발주)" xfId="127" xr:uid="{00000000-0005-0000-0000-00007E000000}"/>
    <cellStyle name="_가실행(조선대)-최종" xfId="128" xr:uid="{00000000-0005-0000-0000-00007F000000}"/>
    <cellStyle name="_가실행내역(김해공항)" xfId="129" xr:uid="{00000000-0005-0000-0000-000080000000}"/>
    <cellStyle name="_가실행-화물터미널B(수정)" xfId="130" xr:uid="{00000000-0005-0000-0000-000081000000}"/>
    <cellStyle name="_가실행-화물터미널B(재수정)" xfId="131" xr:uid="{00000000-0005-0000-0000-000082000000}"/>
    <cellStyle name="_간석동실행" xfId="132" xr:uid="{00000000-0005-0000-0000-000083000000}"/>
    <cellStyle name="_간석동실행(확정)" xfId="133" xr:uid="{00000000-0005-0000-0000-000084000000}"/>
    <cellStyle name="_간석동현장관리비(alt3-2)1021" xfId="134" xr:uid="{00000000-0005-0000-0000-000085000000}"/>
    <cellStyle name="_간접비(01.09.28-변경내용포함)" xfId="135" xr:uid="{00000000-0005-0000-0000-000086000000}"/>
    <cellStyle name="_강제창호 및 잡철공사" xfId="136" xr:uid="{00000000-0005-0000-0000-000087000000}"/>
    <cellStyle name="_개산견적" xfId="137" xr:uid="{00000000-0005-0000-0000-000088000000}"/>
    <cellStyle name="_건축_공내역" xfId="138" xr:uid="{00000000-0005-0000-0000-000089000000}"/>
    <cellStyle name="_건축내역" xfId="139" xr:uid="{00000000-0005-0000-0000-00008A000000}"/>
    <cellStyle name="_건축내역2" xfId="140" xr:uid="{00000000-0005-0000-0000-00008B000000}"/>
    <cellStyle name="_건축내역서(단가입력)" xfId="141" xr:uid="{00000000-0005-0000-0000-00008C000000}"/>
    <cellStyle name="_건축사업팀검토008-철골공사Ⅲ" xfId="142" xr:uid="{00000000-0005-0000-0000-00008D000000}"/>
    <cellStyle name="_검단 실행 작성(0515)" xfId="143" xr:uid="{00000000-0005-0000-0000-00008E000000}"/>
    <cellStyle name="_검단 최종(변경0623 최종)" xfId="144" xr:uid="{00000000-0005-0000-0000-00008F000000}"/>
    <cellStyle name="_검암2차사전공사(본사검토) " xfId="145" xr:uid="{00000000-0005-0000-0000-000090000000}"/>
    <cellStyle name="_검암2차사전공사(본사검토) _1차 기성 내역서 0612023" xfId="146" xr:uid="{00000000-0005-0000-0000-000091000000}"/>
    <cellStyle name="_검암2차사전공사(본사검토) _3차네고견적(061017-1)" xfId="147" xr:uid="{00000000-0005-0000-0000-000092000000}"/>
    <cellStyle name="_검암2차사전공사(본사검토) _문화센타" xfId="148" xr:uid="{00000000-0005-0000-0000-000093000000}"/>
    <cellStyle name="_검암2차사전공사(본사검토) _총괄내역표" xfId="149" xr:uid="{00000000-0005-0000-0000-000094000000}"/>
    <cellStyle name="_견적 질의서" xfId="150" xr:uid="{00000000-0005-0000-0000-000095000000}"/>
    <cellStyle name="_견적기준(운송대리점)" xfId="151" xr:uid="{00000000-0005-0000-0000-000096000000}"/>
    <cellStyle name="_견적서(서초포스코)" xfId="152" xr:uid="{00000000-0005-0000-0000-000097000000}"/>
    <cellStyle name="_견적서표지" xfId="153" xr:uid="{00000000-0005-0000-0000-000098000000}"/>
    <cellStyle name="_견적양식-가로" xfId="154" xr:uid="{00000000-0005-0000-0000-000099000000}"/>
    <cellStyle name="_견적의뢰양식" xfId="155" xr:uid="{00000000-0005-0000-0000-00009A000000}"/>
    <cellStyle name="_견적조건" xfId="156" xr:uid="{00000000-0005-0000-0000-00009B000000}"/>
    <cellStyle name="_결정01-총괄가실행(0820)" xfId="157" xr:uid="{00000000-0005-0000-0000-00009C000000}"/>
    <cellStyle name="_경쟁사" xfId="158" xr:uid="{00000000-0005-0000-0000-00009D000000}"/>
    <cellStyle name="_공내역서(송파트리플)" xfId="159" xr:uid="{00000000-0005-0000-0000-00009E000000}"/>
    <cellStyle name="_공내역서_토목" xfId="160" xr:uid="{00000000-0005-0000-0000-00009F000000}"/>
    <cellStyle name="_공사개요(건축사업팀03.09.02)" xfId="161" xr:uid="{00000000-0005-0000-0000-0000A0000000}"/>
    <cellStyle name="_공정표" xfId="162" xr:uid="{00000000-0005-0000-0000-0000A1000000}"/>
    <cellStyle name="_공종분개작업" xfId="163" xr:uid="{00000000-0005-0000-0000-0000A2000000}"/>
    <cellStyle name="_관리비" xfId="164" xr:uid="{00000000-0005-0000-0000-0000A3000000}"/>
    <cellStyle name="_광주+속초내역(듀엘견적)" xfId="165" xr:uid="{00000000-0005-0000-0000-0000A4000000}"/>
    <cellStyle name="_교원그룹 낙산 숙박시설 신축공사" xfId="166" xr:uid="{00000000-0005-0000-0000-0000A5000000}"/>
    <cellStyle name="_구월동오피스텔(이토협의)의 백업" xfId="167" xr:uid="{00000000-0005-0000-0000-0000A6000000}"/>
    <cellStyle name="_그랜드호텔(본실행)" xfId="168" xr:uid="{00000000-0005-0000-0000-0000A7000000}"/>
    <cellStyle name="_내역003-추정내역" xfId="169" xr:uid="{00000000-0005-0000-0000-0000A8000000}"/>
    <cellStyle name="_내역서_토목" xfId="170" xr:uid="{00000000-0005-0000-0000-0000A9000000}"/>
    <cellStyle name="_단가표" xfId="171" xr:uid="{00000000-0005-0000-0000-0000AA000000}"/>
    <cellStyle name="_단위세대물량산출서" xfId="172" xr:uid="{00000000-0005-0000-0000-0000AB000000}"/>
    <cellStyle name="_당팀-가실행작업" xfId="173" xr:uid="{00000000-0005-0000-0000-0000AC000000}"/>
    <cellStyle name="_대림-온양온천역사 EST 050427-제출" xfId="174" xr:uid="{00000000-0005-0000-0000-0000AD000000}"/>
    <cellStyle name="_대림-전주가톨릭센터 EST 050516-제출" xfId="175" xr:uid="{00000000-0005-0000-0000-0000AE000000}"/>
    <cellStyle name="_대림-전주카톨릭센터 EST 051005" xfId="176" xr:uid="{00000000-0005-0000-0000-0000AF000000}"/>
    <cellStyle name="_대림-한국토지공사 광주사옥 EST 050502-제출" xfId="177" xr:uid="{00000000-0005-0000-0000-0000B0000000}"/>
    <cellStyle name="_대비표양식" xfId="178" xr:uid="{00000000-0005-0000-0000-0000B1000000}"/>
    <cellStyle name="_도곡동실행1차" xfId="179" xr:uid="{00000000-0005-0000-0000-0000B2000000}"/>
    <cellStyle name="_도곡동토공사사발주계획" xfId="180" xr:uid="{00000000-0005-0000-0000-0000B3000000}"/>
    <cellStyle name="_도급공사변경Ⅰ(0626)" xfId="181" xr:uid="{00000000-0005-0000-0000-0000B4000000}"/>
    <cellStyle name="_도봉동 빌라실행보고서" xfId="182" xr:uid="{00000000-0005-0000-0000-0000B5000000}"/>
    <cellStyle name="_라이나 대구 (8차)" xfId="183" xr:uid="{00000000-0005-0000-0000-0000B6000000}"/>
    <cellStyle name="_마가레트 호텔" xfId="184" xr:uid="{00000000-0005-0000-0000-0000B7000000}"/>
    <cellStyle name="_매입세근거" xfId="185" xr:uid="{00000000-0005-0000-0000-0000B8000000}"/>
    <cellStyle name="_매입세근거_습식공사현설" xfId="186" xr:uid="{00000000-0005-0000-0000-0000B9000000}"/>
    <cellStyle name="_문래동 방적 방림" xfId="187" xr:uid="{00000000-0005-0000-0000-0000BA000000}"/>
    <cellStyle name="_문래동가실행" xfId="188" xr:uid="{00000000-0005-0000-0000-0000BB000000}"/>
    <cellStyle name="_문래동쇼핑몰" xfId="189" xr:uid="{00000000-0005-0000-0000-0000BC000000}"/>
    <cellStyle name="_변경내역5" xfId="190" xr:uid="{00000000-0005-0000-0000-0000BD000000}"/>
    <cellStyle name="_변경내역7(보고)" xfId="191" xr:uid="{00000000-0005-0000-0000-0000BE000000}"/>
    <cellStyle name="_변경내역서(건축외)" xfId="192" xr:uid="{00000000-0005-0000-0000-0000BF000000}"/>
    <cellStyle name="_보고02-건축공사감액보고서(0714)" xfId="193" xr:uid="{00000000-0005-0000-0000-0000C0000000}"/>
    <cellStyle name="_보고서 cover" xfId="194" xr:uid="{00000000-0005-0000-0000-0000C1000000}"/>
    <cellStyle name="_부에나비스타 빌라 설계견적" xfId="195" xr:uid="{00000000-0005-0000-0000-0000C2000000}"/>
    <cellStyle name="_분당파크뷰시공계획서(송산)" xfId="196" xr:uid="{00000000-0005-0000-0000-0000C3000000}"/>
    <cellStyle name="_분석001-구조체투입관련" xfId="197" xr:uid="{00000000-0005-0000-0000-0000C4000000}"/>
    <cellStyle name="_빌라평당비교표" xfId="198" xr:uid="{00000000-0005-0000-0000-0000C5000000}"/>
    <cellStyle name="_사본 - 인테리어실행내역" xfId="199" xr:uid="{00000000-0005-0000-0000-0000C6000000}"/>
    <cellStyle name="_사본 - 조경실행내역" xfId="200" xr:uid="{00000000-0005-0000-0000-0000C7000000}"/>
    <cellStyle name="_사전공사(토목본사검토) " xfId="201" xr:uid="{00000000-0005-0000-0000-0000C8000000}"/>
    <cellStyle name="_사전공사(토목본사검토) _1차 기성 내역서 0612023" xfId="202" xr:uid="{00000000-0005-0000-0000-0000C9000000}"/>
    <cellStyle name="_사전공사(토목본사검토) _3차네고견적(061017-1)" xfId="203" xr:uid="{00000000-0005-0000-0000-0000CA000000}"/>
    <cellStyle name="_사전공사(토목본사검토) _문화센타" xfId="204" xr:uid="{00000000-0005-0000-0000-0000CB000000}"/>
    <cellStyle name="_사전공사(토목본사검토) _총괄내역표" xfId="205" xr:uid="{00000000-0005-0000-0000-0000CC000000}"/>
    <cellStyle name="_산출001-공동구공사" xfId="206" xr:uid="{00000000-0005-0000-0000-0000CD000000}"/>
    <cellStyle name="_삼성 실행 내역 수정" xfId="207" xr:uid="{00000000-0005-0000-0000-0000CE000000}"/>
    <cellStyle name="_서울 중앙우체국 인테리어공사(03.10.08)" xfId="208" xr:uid="{00000000-0005-0000-0000-0000CF000000}"/>
    <cellStyle name="_서울 중앙우체국 인테리어공사(04.03.29)철희실행(0417)" xfId="209" xr:uid="{00000000-0005-0000-0000-0000D0000000}"/>
    <cellStyle name="_성원오피스텔휘트니스센터" xfId="210" xr:uid="{00000000-0005-0000-0000-0000D1000000}"/>
    <cellStyle name="_세로양식(2005)" xfId="211" xr:uid="{00000000-0005-0000-0000-0000D2000000}"/>
    <cellStyle name="_센터블 스파신축공사(토목공사-정주공영)" xfId="212" xr:uid="{00000000-0005-0000-0000-0000D3000000}"/>
    <cellStyle name="_수정-공항운송도급내역(0917)" xfId="213" xr:uid="{00000000-0005-0000-0000-0000D4000000}"/>
    <cellStyle name="_수정이여2003.05.19xls" xfId="214" xr:uid="{00000000-0005-0000-0000-0000D5000000}"/>
    <cellStyle name="_스틸커튼월 사전공사 승인요청(평창콘도)" xfId="215" xr:uid="{00000000-0005-0000-0000-0000D6000000}"/>
    <cellStyle name="_신규(철골공사)집행예산 승인요청" xfId="216" xr:uid="{00000000-0005-0000-0000-0000D7000000}"/>
    <cellStyle name="_신촌(2차)트리플지점(원본)" xfId="217" xr:uid="{00000000-0005-0000-0000-0000D8000000}"/>
    <cellStyle name="_실행" xfId="218" xr:uid="{00000000-0005-0000-0000-0000D9000000}"/>
    <cellStyle name="_실행(갑지)" xfId="219" xr:uid="{00000000-0005-0000-0000-0000DA000000}"/>
    <cellStyle name="_실행01-총괄가실행(0828)" xfId="220" xr:uid="{00000000-0005-0000-0000-0000DB000000}"/>
    <cellStyle name="_실행갑지" xfId="221" xr:uid="{00000000-0005-0000-0000-0000DC000000}"/>
    <cellStyle name="_실행갑지(변경)" xfId="222" xr:uid="{00000000-0005-0000-0000-0000DD000000}"/>
    <cellStyle name="_실행내역" xfId="223" xr:uid="{00000000-0005-0000-0000-0000DE000000}"/>
    <cellStyle name="_실행내역(아+부)" xfId="224" xr:uid="{00000000-0005-0000-0000-0000DF000000}"/>
    <cellStyle name="_實行內譯書(평내)" xfId="225" xr:uid="{00000000-0005-0000-0000-0000E0000000}"/>
    <cellStyle name="_실행예산(사장님)" xfId="226" xr:uid="{00000000-0005-0000-0000-0000E1000000}"/>
    <cellStyle name="_실행예산(최종사장님승인)" xfId="227" xr:uid="{00000000-0005-0000-0000-0000E2000000}"/>
    <cellStyle name="_실행최종(12.18)" xfId="228" xr:uid="{00000000-0005-0000-0000-0000E3000000}"/>
    <cellStyle name="_아미고터워 리모델링공사(계약,실행내역)9월.3일 " xfId="229" xr:uid="{00000000-0005-0000-0000-0000E4000000}"/>
    <cellStyle name="_아크로리버기준-개산견적기준(건축)" xfId="230" xr:uid="{00000000-0005-0000-0000-0000E5000000}"/>
    <cellStyle name="_안동최종정산" xfId="231" xr:uid="{00000000-0005-0000-0000-0000E6000000}"/>
    <cellStyle name="_양재동 도매센타(수정1006)" xfId="232" xr:uid="{00000000-0005-0000-0000-0000E7000000}"/>
    <cellStyle name="_여의도(실행)" xfId="233" xr:uid="{00000000-0005-0000-0000-0000E8000000}"/>
    <cellStyle name="_오공본드" xfId="234" xr:uid="{00000000-0005-0000-0000-0000E9000000}"/>
    <cellStyle name="_용인동백C2-3" xfId="235" xr:uid="{00000000-0005-0000-0000-0000EA000000}"/>
    <cellStyle name="_우면동주택계약내역서초안(1110)" xfId="236" xr:uid="{00000000-0005-0000-0000-0000EB000000}"/>
    <cellStyle name="_원당 1차 실행001(030329)" xfId="237" xr:uid="{00000000-0005-0000-0000-0000EC000000}"/>
    <cellStyle name="_원당실행내역" xfId="238" xr:uid="{00000000-0005-0000-0000-0000ED000000}"/>
    <cellStyle name="_이건창호-풍림 평창콘도 제안서(071228)" xfId="239" xr:uid="{00000000-0005-0000-0000-0000EE000000}"/>
    <cellStyle name="_이행각서" xfId="240" xr:uid="{00000000-0005-0000-0000-0000EF000000}"/>
    <cellStyle name="_인원계획표 " xfId="241" xr:uid="{00000000-0005-0000-0000-0000F0000000}"/>
    <cellStyle name="_인원계획표 _04028적산수량집계" xfId="242" xr:uid="{00000000-0005-0000-0000-0000F1000000}"/>
    <cellStyle name="_인원계획표 _04-가실행(작업중)" xfId="243" xr:uid="{00000000-0005-0000-0000-0000F2000000}"/>
    <cellStyle name="_인원계획표 _04-가실행(작업중1)" xfId="244" xr:uid="{00000000-0005-0000-0000-0000F3000000}"/>
    <cellStyle name="_인원계획표 _1차 기성 내역서 0612023" xfId="245" xr:uid="{00000000-0005-0000-0000-0000F4000000}"/>
    <cellStyle name="_인원계획표 _3차네고견적(061017-1)" xfId="246" xr:uid="{00000000-0005-0000-0000-0000F5000000}"/>
    <cellStyle name="_인원계획표 _KT견적요청" xfId="247" xr:uid="{00000000-0005-0000-0000-0000F6000000}"/>
    <cellStyle name="_인원계획표 _가실행" xfId="248" xr:uid="{00000000-0005-0000-0000-0000F7000000}"/>
    <cellStyle name="_인원계획표 _건축내역서(가경)" xfId="249" xr:uid="{00000000-0005-0000-0000-0000F8000000}"/>
    <cellStyle name="_인원계획표 _검암2차사전공사(본사검토) " xfId="250" xr:uid="{00000000-0005-0000-0000-0000F9000000}"/>
    <cellStyle name="_인원계획표 _검암2차사전공사(본사검토) _1차 기성 내역서 0612023" xfId="251" xr:uid="{00000000-0005-0000-0000-0000FA000000}"/>
    <cellStyle name="_인원계획표 _검암2차사전공사(본사검토) _3차네고견적(061017-1)" xfId="252" xr:uid="{00000000-0005-0000-0000-0000FB000000}"/>
    <cellStyle name="_인원계획표 _검암2차사전공사(본사검토) _문화센타" xfId="253" xr:uid="{00000000-0005-0000-0000-0000FC000000}"/>
    <cellStyle name="_인원계획표 _검암2차사전공사(본사검토) _총괄내역표" xfId="254" xr:uid="{00000000-0005-0000-0000-0000FD000000}"/>
    <cellStyle name="_인원계획표 _문화센타" xfId="255" xr:uid="{00000000-0005-0000-0000-0000FE000000}"/>
    <cellStyle name="_인원계획표 _부천소사점내역서" xfId="256" xr:uid="{00000000-0005-0000-0000-0000FF000000}"/>
    <cellStyle name="_인원계획표 _비교표(시화,청주)" xfId="257" xr:uid="{00000000-0005-0000-0000-000000010000}"/>
    <cellStyle name="_인원계획표 _비교표(청주가경점)" xfId="258" xr:uid="{00000000-0005-0000-0000-000001010000}"/>
    <cellStyle name="_인원계획표 _사전공사(토목본사검토) " xfId="259" xr:uid="{00000000-0005-0000-0000-000002010000}"/>
    <cellStyle name="_인원계획표 _사전공사(토목본사검토) _1차 기성 내역서 0612023" xfId="260" xr:uid="{00000000-0005-0000-0000-000003010000}"/>
    <cellStyle name="_인원계획표 _사전공사(토목본사검토) _3차네고견적(061017-1)" xfId="261" xr:uid="{00000000-0005-0000-0000-000004010000}"/>
    <cellStyle name="_인원계획표 _사전공사(토목본사검토) _문화센타" xfId="262" xr:uid="{00000000-0005-0000-0000-000005010000}"/>
    <cellStyle name="_인원계획표 _사전공사(토목본사검토) _총괄내역표" xfId="263" xr:uid="{00000000-0005-0000-0000-000006010000}"/>
    <cellStyle name="_인원계획표 _수원-가실행" xfId="264" xr:uid="{00000000-0005-0000-0000-000007010000}"/>
    <cellStyle name="_인원계획표 _순천점내역서" xfId="265" xr:uid="{00000000-0005-0000-0000-000008010000}"/>
    <cellStyle name="_인원계획표 _이행각서" xfId="266" xr:uid="{00000000-0005-0000-0000-000009010000}"/>
    <cellStyle name="_인원계획표 _적격 " xfId="267" xr:uid="{00000000-0005-0000-0000-00000A010000}"/>
    <cellStyle name="_인원계획표 _적격 _04028적산수량집계" xfId="268" xr:uid="{00000000-0005-0000-0000-00000B010000}"/>
    <cellStyle name="_인원계획표 _적격 _04-가실행(작업중)" xfId="269" xr:uid="{00000000-0005-0000-0000-00000C010000}"/>
    <cellStyle name="_인원계획표 _적격 _04-가실행(작업중1)" xfId="270" xr:uid="{00000000-0005-0000-0000-00000D010000}"/>
    <cellStyle name="_인원계획표 _적격 _1차 기성 내역서 0612023" xfId="271" xr:uid="{00000000-0005-0000-0000-00000E010000}"/>
    <cellStyle name="_인원계획표 _적격 _3차네고견적(061017-1)" xfId="272" xr:uid="{00000000-0005-0000-0000-00000F010000}"/>
    <cellStyle name="_인원계획표 _적격 _KT견적요청" xfId="273" xr:uid="{00000000-0005-0000-0000-000010010000}"/>
    <cellStyle name="_인원계획표 _적격 _가실행" xfId="274" xr:uid="{00000000-0005-0000-0000-000011010000}"/>
    <cellStyle name="_인원계획표 _적격 _건축내역서(가경)" xfId="275" xr:uid="{00000000-0005-0000-0000-000012010000}"/>
    <cellStyle name="_인원계획표 _적격 _문화센타" xfId="276" xr:uid="{00000000-0005-0000-0000-000013010000}"/>
    <cellStyle name="_인원계획표 _적격 _부천소사점내역서" xfId="277" xr:uid="{00000000-0005-0000-0000-000014010000}"/>
    <cellStyle name="_인원계획표 _적격 _비교표(시화,청주)" xfId="278" xr:uid="{00000000-0005-0000-0000-000015010000}"/>
    <cellStyle name="_인원계획표 _적격 _비교표(청주가경점)" xfId="279" xr:uid="{00000000-0005-0000-0000-000016010000}"/>
    <cellStyle name="_인원계획표 _적격 _수원-가실행" xfId="280" xr:uid="{00000000-0005-0000-0000-000017010000}"/>
    <cellStyle name="_인원계획표 _적격 _순천점내역서" xfId="281" xr:uid="{00000000-0005-0000-0000-000018010000}"/>
    <cellStyle name="_인원계획표 _적격 _총괄내역표" xfId="282" xr:uid="{00000000-0005-0000-0000-000019010000}"/>
    <cellStyle name="_인원계획표 _총괄내역표" xfId="283" xr:uid="{00000000-0005-0000-0000-00001A010000}"/>
    <cellStyle name="_인원계획표 _포기각서" xfId="284" xr:uid="{00000000-0005-0000-0000-00001B010000}"/>
    <cellStyle name="_인원계획표 _현설양식" xfId="285" xr:uid="{00000000-0005-0000-0000-00001C010000}"/>
    <cellStyle name="_인원계획표 _현장설명" xfId="286" xr:uid="{00000000-0005-0000-0000-00001D010000}"/>
    <cellStyle name="_인테리어공사 발주계획서" xfId="287" xr:uid="{00000000-0005-0000-0000-00001E010000}"/>
    <cellStyle name="_인테리어발주 건축공사" xfId="288" xr:uid="{00000000-0005-0000-0000-00001F010000}"/>
    <cellStyle name="_일위(김천)" xfId="289" xr:uid="{00000000-0005-0000-0000-000020010000}"/>
    <cellStyle name="_일위(포천)" xfId="290" xr:uid="{00000000-0005-0000-0000-000021010000}"/>
    <cellStyle name="_입찰갑지" xfId="291" xr:uid="{00000000-0005-0000-0000-000022010000}"/>
    <cellStyle name="_입찰표지 " xfId="292" xr:uid="{00000000-0005-0000-0000-000023010000}"/>
    <cellStyle name="_입찰표지 _04028적산수량집계" xfId="293" xr:uid="{00000000-0005-0000-0000-000024010000}"/>
    <cellStyle name="_입찰표지 _04-가실행(작업중)" xfId="294" xr:uid="{00000000-0005-0000-0000-000025010000}"/>
    <cellStyle name="_입찰표지 _04-가실행(작업중1)" xfId="295" xr:uid="{00000000-0005-0000-0000-000026010000}"/>
    <cellStyle name="_입찰표지 _1차 기성 내역서 0612023" xfId="296" xr:uid="{00000000-0005-0000-0000-000027010000}"/>
    <cellStyle name="_입찰표지 _3차네고견적(061017-1)" xfId="297" xr:uid="{00000000-0005-0000-0000-000028010000}"/>
    <cellStyle name="_입찰표지 _KT견적요청" xfId="298" xr:uid="{00000000-0005-0000-0000-000029010000}"/>
    <cellStyle name="_입찰표지 _가실행" xfId="299" xr:uid="{00000000-0005-0000-0000-00002A010000}"/>
    <cellStyle name="_입찰표지 _건축내역서(가경)" xfId="300" xr:uid="{00000000-0005-0000-0000-00002B010000}"/>
    <cellStyle name="_입찰표지 _검암2차사전공사(본사검토) " xfId="301" xr:uid="{00000000-0005-0000-0000-00002C010000}"/>
    <cellStyle name="_입찰표지 _검암2차사전공사(본사검토) _1차 기성 내역서 0612023" xfId="302" xr:uid="{00000000-0005-0000-0000-00002D010000}"/>
    <cellStyle name="_입찰표지 _검암2차사전공사(본사검토) _3차네고견적(061017-1)" xfId="303" xr:uid="{00000000-0005-0000-0000-00002E010000}"/>
    <cellStyle name="_입찰표지 _검암2차사전공사(본사검토) _문화센타" xfId="304" xr:uid="{00000000-0005-0000-0000-00002F010000}"/>
    <cellStyle name="_입찰표지 _검암2차사전공사(본사검토) _총괄내역표" xfId="305" xr:uid="{00000000-0005-0000-0000-000030010000}"/>
    <cellStyle name="_입찰표지 _문화센타" xfId="306" xr:uid="{00000000-0005-0000-0000-000031010000}"/>
    <cellStyle name="_입찰표지 _부천소사점내역서" xfId="307" xr:uid="{00000000-0005-0000-0000-000032010000}"/>
    <cellStyle name="_입찰표지 _비교표(시화,청주)" xfId="308" xr:uid="{00000000-0005-0000-0000-000033010000}"/>
    <cellStyle name="_입찰표지 _비교표(청주가경점)" xfId="309" xr:uid="{00000000-0005-0000-0000-000034010000}"/>
    <cellStyle name="_입찰표지 _사전공사(토목본사검토) " xfId="310" xr:uid="{00000000-0005-0000-0000-000035010000}"/>
    <cellStyle name="_입찰표지 _사전공사(토목본사검토) _1차 기성 내역서 0612023" xfId="311" xr:uid="{00000000-0005-0000-0000-000036010000}"/>
    <cellStyle name="_입찰표지 _사전공사(토목본사검토) _3차네고견적(061017-1)" xfId="312" xr:uid="{00000000-0005-0000-0000-000037010000}"/>
    <cellStyle name="_입찰표지 _사전공사(토목본사검토) _문화센타" xfId="313" xr:uid="{00000000-0005-0000-0000-000038010000}"/>
    <cellStyle name="_입찰표지 _수원-가실행" xfId="314" xr:uid="{00000000-0005-0000-0000-000039010000}"/>
    <cellStyle name="_입찰표지 _순천점내역서" xfId="315" xr:uid="{00000000-0005-0000-0000-00003A010000}"/>
    <cellStyle name="_입찰표지 _이행각서" xfId="316" xr:uid="{00000000-0005-0000-0000-00003B010000}"/>
    <cellStyle name="_입찰표지 _총괄내역표" xfId="317" xr:uid="{00000000-0005-0000-0000-00003C010000}"/>
    <cellStyle name="_입찰표지 _포기각서" xfId="318" xr:uid="{00000000-0005-0000-0000-00003D010000}"/>
    <cellStyle name="_입찰표지 _현설양식" xfId="319" xr:uid="{00000000-0005-0000-0000-00003E010000}"/>
    <cellStyle name="_입찰표지 _현장설명" xfId="320" xr:uid="{00000000-0005-0000-0000-00003F010000}"/>
    <cellStyle name="_입찰품의" xfId="321" xr:uid="{00000000-0005-0000-0000-000040010000}"/>
    <cellStyle name="_입찰품의(HANG LUNG)" xfId="322" xr:uid="{00000000-0005-0000-0000-000041010000}"/>
    <cellStyle name="_입찰품의(HANG LUNG-Rev1)" xfId="323" xr:uid="{00000000-0005-0000-0000-000042010000}"/>
    <cellStyle name="_입찰품의(KIL)" xfId="324" xr:uid="{00000000-0005-0000-0000-000043010000}"/>
    <cellStyle name="_자료01-공통가설" xfId="325" xr:uid="{00000000-0005-0000-0000-000044010000}"/>
    <cellStyle name="_자료03-대안수량조정실행대비표" xfId="326" xr:uid="{00000000-0005-0000-0000-000045010000}"/>
    <cellStyle name="_자료06-토목공사" xfId="327" xr:uid="{00000000-0005-0000-0000-000046010000}"/>
    <cellStyle name="_자재단가의뢰" xfId="328" xr:uid="{00000000-0005-0000-0000-000047010000}"/>
    <cellStyle name="_작업01-조경공사0709" xfId="329" xr:uid="{00000000-0005-0000-0000-000048010000}"/>
    <cellStyle name="_장지도급(공종분개)-결재용" xfId="330" xr:uid="{00000000-0005-0000-0000-000049010000}"/>
    <cellStyle name="_적격 " xfId="331" xr:uid="{00000000-0005-0000-0000-00004A010000}"/>
    <cellStyle name="_적격 _04028적산수량집계" xfId="332" xr:uid="{00000000-0005-0000-0000-00004B010000}"/>
    <cellStyle name="_적격 _04-가실행(작업중)" xfId="333" xr:uid="{00000000-0005-0000-0000-00004C010000}"/>
    <cellStyle name="_적격 _04-가실행(작업중1)" xfId="334" xr:uid="{00000000-0005-0000-0000-00004D010000}"/>
    <cellStyle name="_적격 _1차 기성 내역서 0612023" xfId="335" xr:uid="{00000000-0005-0000-0000-00004E010000}"/>
    <cellStyle name="_적격 _3차네고견적(061017-1)" xfId="336" xr:uid="{00000000-0005-0000-0000-00004F010000}"/>
    <cellStyle name="_적격 _KT견적요청" xfId="337" xr:uid="{00000000-0005-0000-0000-000050010000}"/>
    <cellStyle name="_적격 _가실행" xfId="338" xr:uid="{00000000-0005-0000-0000-000051010000}"/>
    <cellStyle name="_적격 _건축내역서(가경)" xfId="339" xr:uid="{00000000-0005-0000-0000-000052010000}"/>
    <cellStyle name="_적격 _문화센타" xfId="340" xr:uid="{00000000-0005-0000-0000-000053010000}"/>
    <cellStyle name="_적격 _부천소사점내역서" xfId="341" xr:uid="{00000000-0005-0000-0000-000054010000}"/>
    <cellStyle name="_적격 _비교표(시화,청주)" xfId="342" xr:uid="{00000000-0005-0000-0000-000055010000}"/>
    <cellStyle name="_적격 _비교표(청주가경점)" xfId="343" xr:uid="{00000000-0005-0000-0000-000056010000}"/>
    <cellStyle name="_적격 _수원-가실행" xfId="344" xr:uid="{00000000-0005-0000-0000-000057010000}"/>
    <cellStyle name="_적격 _순천점내역서" xfId="345" xr:uid="{00000000-0005-0000-0000-000058010000}"/>
    <cellStyle name="_적격 _집행갑지 " xfId="346" xr:uid="{00000000-0005-0000-0000-000059010000}"/>
    <cellStyle name="_적격 _집행갑지 _1차 기성 내역서 0612023" xfId="347" xr:uid="{00000000-0005-0000-0000-00005A010000}"/>
    <cellStyle name="_적격 _집행갑지 _3차네고견적(061017-1)" xfId="348" xr:uid="{00000000-0005-0000-0000-00005B010000}"/>
    <cellStyle name="_적격 _집행갑지 _건축내역서(가경)" xfId="349" xr:uid="{00000000-0005-0000-0000-00005C010000}"/>
    <cellStyle name="_적격 _집행갑지 _문화센타" xfId="350" xr:uid="{00000000-0005-0000-0000-00005D010000}"/>
    <cellStyle name="_적격 _집행갑지 _부천소사점내역서" xfId="351" xr:uid="{00000000-0005-0000-0000-00005E010000}"/>
    <cellStyle name="_적격 _집행갑지 _비교표(시화,청주)" xfId="352" xr:uid="{00000000-0005-0000-0000-00005F010000}"/>
    <cellStyle name="_적격 _집행갑지 _비교표(청주가경점)" xfId="353" xr:uid="{00000000-0005-0000-0000-000060010000}"/>
    <cellStyle name="_적격 _집행갑지 _순천점내역서" xfId="354" xr:uid="{00000000-0005-0000-0000-000061010000}"/>
    <cellStyle name="_적격(화산) " xfId="355" xr:uid="{00000000-0005-0000-0000-000062010000}"/>
    <cellStyle name="_적격(화산) _04028적산수량집계" xfId="356" xr:uid="{00000000-0005-0000-0000-000063010000}"/>
    <cellStyle name="_적격(화산) _04-가실행(작업중)" xfId="357" xr:uid="{00000000-0005-0000-0000-000064010000}"/>
    <cellStyle name="_적격(화산) _04-가실행(작업중1)" xfId="358" xr:uid="{00000000-0005-0000-0000-000065010000}"/>
    <cellStyle name="_적격(화산) _1차 기성 내역서 0612023" xfId="359" xr:uid="{00000000-0005-0000-0000-000066010000}"/>
    <cellStyle name="_적격(화산) _3차네고견적(061017-1)" xfId="360" xr:uid="{00000000-0005-0000-0000-000067010000}"/>
    <cellStyle name="_적격(화산) _KT견적요청" xfId="361" xr:uid="{00000000-0005-0000-0000-000068010000}"/>
    <cellStyle name="_적격(화산) _가실행" xfId="362" xr:uid="{00000000-0005-0000-0000-000069010000}"/>
    <cellStyle name="_적격(화산) _건축내역서(가경)" xfId="363" xr:uid="{00000000-0005-0000-0000-00006A010000}"/>
    <cellStyle name="_적격(화산) _검암2차사전공사(본사검토) " xfId="364" xr:uid="{00000000-0005-0000-0000-00006B010000}"/>
    <cellStyle name="_적격(화산) _검암2차사전공사(본사검토) _1차 기성 내역서 0612023" xfId="365" xr:uid="{00000000-0005-0000-0000-00006C010000}"/>
    <cellStyle name="_적격(화산) _검암2차사전공사(본사검토) _3차네고견적(061017-1)" xfId="366" xr:uid="{00000000-0005-0000-0000-00006D010000}"/>
    <cellStyle name="_적격(화산) _검암2차사전공사(본사검토) _문화센타" xfId="367" xr:uid="{00000000-0005-0000-0000-00006E010000}"/>
    <cellStyle name="_적격(화산) _문화센타" xfId="368" xr:uid="{00000000-0005-0000-0000-00006F010000}"/>
    <cellStyle name="_적격(화산) _부천소사점내역서" xfId="369" xr:uid="{00000000-0005-0000-0000-000070010000}"/>
    <cellStyle name="_적격(화산) _비교표(시화,청주)" xfId="370" xr:uid="{00000000-0005-0000-0000-000071010000}"/>
    <cellStyle name="_적격(화산) _비교표(청주가경점)" xfId="371" xr:uid="{00000000-0005-0000-0000-000072010000}"/>
    <cellStyle name="_적격(화산) _사전공사(토목본사검토) " xfId="372" xr:uid="{00000000-0005-0000-0000-000073010000}"/>
    <cellStyle name="_적격(화산) _사전공사(토목본사검토) _1차 기성 내역서 0612023" xfId="373" xr:uid="{00000000-0005-0000-0000-000074010000}"/>
    <cellStyle name="_적격(화산) _사전공사(토목본사검토) _3차네고견적(061017-1)" xfId="374" xr:uid="{00000000-0005-0000-0000-000075010000}"/>
    <cellStyle name="_적격(화산) _사전공사(토목본사검토) _문화센타" xfId="375" xr:uid="{00000000-0005-0000-0000-000076010000}"/>
    <cellStyle name="_적격(화산) _수원-가실행" xfId="376" xr:uid="{00000000-0005-0000-0000-000077010000}"/>
    <cellStyle name="_적격(화산) _순천점내역서" xfId="377" xr:uid="{00000000-0005-0000-0000-000078010000}"/>
    <cellStyle name="_적격(화산) _이행각서" xfId="378" xr:uid="{00000000-0005-0000-0000-000079010000}"/>
    <cellStyle name="_적격(화산) _포기각서" xfId="379" xr:uid="{00000000-0005-0000-0000-00007A010000}"/>
    <cellStyle name="_적격(화산) _현설양식" xfId="380" xr:uid="{00000000-0005-0000-0000-00007B010000}"/>
    <cellStyle name="_적격(화산) _현장설명" xfId="381" xr:uid="{00000000-0005-0000-0000-00007C010000}"/>
    <cellStyle name="_점수산정총괄(조달청)" xfId="382" xr:uid="{00000000-0005-0000-0000-00007D010000}"/>
    <cellStyle name="_정보통신미장(051115)" xfId="383" xr:uid="{00000000-0005-0000-0000-00007E010000}"/>
    <cellStyle name="_정보통신수장(바닥-051115)" xfId="384" xr:uid="{00000000-0005-0000-0000-00007F010000}"/>
    <cellStyle name="_정보통신수장(바닥-051115)_1차 기성 내역서 0612023" xfId="385" xr:uid="{00000000-0005-0000-0000-000080010000}"/>
    <cellStyle name="_정보통신수장(바닥-051115)_3차네고견적(061017-1)" xfId="386" xr:uid="{00000000-0005-0000-0000-000081010000}"/>
    <cellStyle name="_정보통신수장(바닥-051115)_문화센타" xfId="387" xr:uid="{00000000-0005-0000-0000-000082010000}"/>
    <cellStyle name="_정보통신수장(바닥-051122)" xfId="388" xr:uid="{00000000-0005-0000-0000-000083010000}"/>
    <cellStyle name="_정보통신수장(바닥-051122)_1차 기성 내역서 0612023" xfId="389" xr:uid="{00000000-0005-0000-0000-000084010000}"/>
    <cellStyle name="_정보통신수장(바닥-051122)_3차네고견적(061017-1)" xfId="390" xr:uid="{00000000-0005-0000-0000-000085010000}"/>
    <cellStyle name="_정보통신수장(바닥-051122)_문화센타" xfId="391" xr:uid="{00000000-0005-0000-0000-000086010000}"/>
    <cellStyle name="_정보통신수장(벽,천정-051122)" xfId="392" xr:uid="{00000000-0005-0000-0000-000087010000}"/>
    <cellStyle name="_정보통신수장(벽,천정-051122)_1차 기성 내역서 0612023" xfId="393" xr:uid="{00000000-0005-0000-0000-000088010000}"/>
    <cellStyle name="_정보통신수장(벽,천정-051122)_3차네고견적(061017-1)" xfId="394" xr:uid="{00000000-0005-0000-0000-000089010000}"/>
    <cellStyle name="_정보통신수장(벽,천정-051122)_문화센타" xfId="395" xr:uid="{00000000-0005-0000-0000-00008A010000}"/>
    <cellStyle name="_제출(2.25)" xfId="396" xr:uid="{00000000-0005-0000-0000-00008B010000}"/>
    <cellStyle name="_제출완료-공항운송가실행(0919)" xfId="397" xr:uid="{00000000-0005-0000-0000-00008C010000}"/>
    <cellStyle name="_조직표및인원투입" xfId="398" xr:uid="{00000000-0005-0000-0000-00008D010000}"/>
    <cellStyle name="_중동TC현설" xfId="399" xr:uid="{00000000-0005-0000-0000-00008E010000}"/>
    <cellStyle name="_중동골조현설" xfId="400" xr:uid="{00000000-0005-0000-0000-00008F010000}"/>
    <cellStyle name="_집계" xfId="401" xr:uid="{00000000-0005-0000-0000-000090010000}"/>
    <cellStyle name="_집행갑지 " xfId="402" xr:uid="{00000000-0005-0000-0000-000091010000}"/>
    <cellStyle name="_집행갑지 _1차 기성 내역서 0612023" xfId="403" xr:uid="{00000000-0005-0000-0000-000092010000}"/>
    <cellStyle name="_집행갑지 _3차네고견적(061017-1)" xfId="404" xr:uid="{00000000-0005-0000-0000-000093010000}"/>
    <cellStyle name="_집행갑지 _건축내역서(가경)" xfId="405" xr:uid="{00000000-0005-0000-0000-000094010000}"/>
    <cellStyle name="_집행갑지 _문화센타" xfId="406" xr:uid="{00000000-0005-0000-0000-000095010000}"/>
    <cellStyle name="_집행갑지 _부천소사점내역서" xfId="407" xr:uid="{00000000-0005-0000-0000-000096010000}"/>
    <cellStyle name="_집행갑지 _비교표(시화,청주)" xfId="408" xr:uid="{00000000-0005-0000-0000-000097010000}"/>
    <cellStyle name="_집행갑지 _비교표(청주가경점)" xfId="409" xr:uid="{00000000-0005-0000-0000-000098010000}"/>
    <cellStyle name="_집행갑지 _순천점내역서" xfId="410" xr:uid="{00000000-0005-0000-0000-000099010000}"/>
    <cellStyle name="_집행-유성" xfId="411" xr:uid="{00000000-0005-0000-0000-00009A010000}"/>
    <cellStyle name="_집행-유성_건축내역서(가경)" xfId="412" xr:uid="{00000000-0005-0000-0000-00009B010000}"/>
    <cellStyle name="_집행-유성_부천소사점내역서" xfId="413" xr:uid="{00000000-0005-0000-0000-00009C010000}"/>
    <cellStyle name="_집행-유성_비교표(시화,청주)" xfId="414" xr:uid="{00000000-0005-0000-0000-00009D010000}"/>
    <cellStyle name="_집행-유성_비교표(청주가경점)" xfId="415" xr:uid="{00000000-0005-0000-0000-00009E010000}"/>
    <cellStyle name="_집행-유성_순천점내역서" xfId="416" xr:uid="{00000000-0005-0000-0000-00009F010000}"/>
    <cellStyle name="_참고" xfId="417" xr:uid="{00000000-0005-0000-0000-0000A0010000}"/>
    <cellStyle name="_참고01-50억대안제시" xfId="418" xr:uid="{00000000-0005-0000-0000-0000A1010000}"/>
    <cellStyle name="_참고02-당초가실행" xfId="419" xr:uid="{00000000-0005-0000-0000-0000A2010000}"/>
    <cellStyle name="_철콘견적대비수정2(2002.12.10)" xfId="420" xr:uid="{00000000-0005-0000-0000-0000A3010000}"/>
    <cellStyle name="_철콘공내역서5" xfId="421" xr:uid="{00000000-0005-0000-0000-0000A4010000}"/>
    <cellStyle name="_최종보고-파주완료030401" xfId="422" xr:uid="{00000000-0005-0000-0000-0000A5010000}"/>
    <cellStyle name="_코레노2차-공내역-인테리어공사" xfId="423" xr:uid="{00000000-0005-0000-0000-0000A6010000}"/>
    <cellStyle name="_타일공사" xfId="424" xr:uid="{00000000-0005-0000-0000-0000A7010000}"/>
    <cellStyle name="_타일공사_강제창호 및 잡철공사" xfId="425" xr:uid="{00000000-0005-0000-0000-0000A8010000}"/>
    <cellStyle name="_타일공사_도곡동토공사사발주계획" xfId="426" xr:uid="{00000000-0005-0000-0000-0000A9010000}"/>
    <cellStyle name="_타일공사_인테리어공사 발주계획서" xfId="427" xr:uid="{00000000-0005-0000-0000-0000AA010000}"/>
    <cellStyle name="_타일공사_테라조공사" xfId="428" xr:uid="{00000000-0005-0000-0000-0000AB010000}"/>
    <cellStyle name="_타일공사_테라조공사_강제창호 및 잡철공사" xfId="429" xr:uid="{00000000-0005-0000-0000-0000AC010000}"/>
    <cellStyle name="_타일공사_테라조공사_도곡동토공사사발주계획" xfId="430" xr:uid="{00000000-0005-0000-0000-0000AD010000}"/>
    <cellStyle name="_타일공사_테라조공사_인테리어공사 발주계획서" xfId="431" xr:uid="{00000000-0005-0000-0000-0000AE010000}"/>
    <cellStyle name="_타일공사_테라조공사_토공사발주" xfId="432" xr:uid="{00000000-0005-0000-0000-0000AF010000}"/>
    <cellStyle name="_타일공사_토공사발주" xfId="433" xr:uid="{00000000-0005-0000-0000-0000B0010000}"/>
    <cellStyle name="_토공및흙막이공사" xfId="434" xr:uid="{00000000-0005-0000-0000-0000B1010000}"/>
    <cellStyle name="_토공사발주" xfId="435" xr:uid="{00000000-0005-0000-0000-0000B2010000}"/>
    <cellStyle name="_투팔양식" xfId="436" xr:uid="{00000000-0005-0000-0000-0000B3010000}"/>
    <cellStyle name="_파주출판물개략완료" xfId="437" xr:uid="{00000000-0005-0000-0000-0000B4010000}"/>
    <cellStyle name="_파주출판물개략완료Ⅲ" xfId="438" xr:uid="{00000000-0005-0000-0000-0000B5010000}"/>
    <cellStyle name="_평당공사비(05.26)" xfId="439" xr:uid="{00000000-0005-0000-0000-0000B6010000}"/>
    <cellStyle name="_평택화학중대(본실행)" xfId="440" xr:uid="{00000000-0005-0000-0000-0000B7010000}"/>
    <cellStyle name="_포기각서" xfId="441" xr:uid="{00000000-0005-0000-0000-0000B8010000}"/>
    <cellStyle name="_하나로정보센터 견적(각층별 최종)" xfId="442" xr:uid="{00000000-0005-0000-0000-0000B9010000}"/>
    <cellStyle name="_하도급승인요청(금속기와공사)" xfId="443" xr:uid="{00000000-0005-0000-0000-0000BA010000}"/>
    <cellStyle name="_한남정산" xfId="444" xr:uid="{00000000-0005-0000-0000-0000BB010000}"/>
    <cellStyle name="_현설양식" xfId="445" xr:uid="{00000000-0005-0000-0000-0000BC010000}"/>
    <cellStyle name="_현장설명" xfId="446" xr:uid="{00000000-0005-0000-0000-0000BD010000}"/>
    <cellStyle name="_현장설명서" xfId="447" xr:uid="{00000000-0005-0000-0000-0000BE010000}"/>
    <cellStyle name="_현장설명서-지하수개발" xfId="448" xr:uid="{00000000-0005-0000-0000-0000BF010000}"/>
    <cellStyle name="_현장완료" xfId="449" xr:uid="{00000000-0005-0000-0000-0000C0010000}"/>
    <cellStyle name="_호수건설내역서20040403" xfId="450" xr:uid="{00000000-0005-0000-0000-0000C1010000}"/>
    <cellStyle name="_홈플러스 대구칠성점 내역서 " xfId="451" xr:uid="{00000000-0005-0000-0000-0000C2010000}"/>
    <cellStyle name="_화성태안아파트" xfId="452" xr:uid="{00000000-0005-0000-0000-0000C3010000}"/>
    <cellStyle name="_황제의 실행0623최종결재용" xfId="453" xr:uid="{00000000-0005-0000-0000-0000C4010000}"/>
    <cellStyle name="¡¾¨u￠￢ⓒ÷A¨u," xfId="454" xr:uid="{00000000-0005-0000-0000-0000C5010000}"/>
    <cellStyle name="’E‰Y [0.00]_laroux" xfId="455" xr:uid="{00000000-0005-0000-0000-0000C6010000}"/>
    <cellStyle name="’E‰Y_laroux" xfId="456" xr:uid="{00000000-0005-0000-0000-0000C7010000}"/>
    <cellStyle name="¤@?e_TEST-1 " xfId="457" xr:uid="{00000000-0005-0000-0000-0000C8010000}"/>
    <cellStyle name="\MNPREF32.DLL&amp;" xfId="458" xr:uid="{00000000-0005-0000-0000-0000C9010000}"/>
    <cellStyle name="+,-,0" xfId="459" xr:uid="{00000000-0005-0000-0000-0000CA010000}"/>
    <cellStyle name="±a°e" xfId="460" xr:uid="{00000000-0005-0000-0000-0000CB010000}"/>
    <cellStyle name="△ []" xfId="461" xr:uid="{00000000-0005-0000-0000-0000CC010000}"/>
    <cellStyle name="△ [0]" xfId="462" xr:uid="{00000000-0005-0000-0000-0000CD010000}"/>
    <cellStyle name="△백분율" xfId="463" xr:uid="{00000000-0005-0000-0000-0000CE010000}"/>
    <cellStyle name="△콤마" xfId="464" xr:uid="{00000000-0005-0000-0000-0000CF010000}"/>
    <cellStyle name="°ßAu" xfId="465" xr:uid="{00000000-0005-0000-0000-0000D0010000}"/>
    <cellStyle name="µÚ¿¡ ¿À´Â ÇÏÀÌÆÛ¸µÅ©" xfId="466" xr:uid="{00000000-0005-0000-0000-0000D1010000}"/>
    <cellStyle name="æØè [0.00]_PRODUCT DETAIL Q1" xfId="467" xr:uid="{00000000-0005-0000-0000-0000D2010000}"/>
    <cellStyle name="æØè_PRODUCT DETAIL Q1" xfId="468" xr:uid="{00000000-0005-0000-0000-0000D3010000}"/>
    <cellStyle name="ÊÝ [0.00]_PRODUCT DETAIL Q1" xfId="469" xr:uid="{00000000-0005-0000-0000-0000D4010000}"/>
    <cellStyle name="ÊÝ_PRODUCT DETAIL Q1" xfId="470" xr:uid="{00000000-0005-0000-0000-0000D5010000}"/>
    <cellStyle name="W?_BOOKSHIP" xfId="471" xr:uid="{00000000-0005-0000-0000-0000D6010000}"/>
    <cellStyle name="0" xfId="472" xr:uid="{00000000-0005-0000-0000-0000D7010000}"/>
    <cellStyle name="0,0_x000d__x000a_NA_x000d__x000a_" xfId="473" xr:uid="{00000000-0005-0000-0000-0000D8010000}"/>
    <cellStyle name="0.0" xfId="474" xr:uid="{00000000-0005-0000-0000-0000D9010000}"/>
    <cellStyle name="0.00" xfId="475" xr:uid="{00000000-0005-0000-0000-0000DA010000}"/>
    <cellStyle name="00" xfId="476" xr:uid="{00000000-0005-0000-0000-0000DB010000}"/>
    <cellStyle name="1" xfId="477" xr:uid="{00000000-0005-0000-0000-0000DC010000}"/>
    <cellStyle name="1_total" xfId="478" xr:uid="{00000000-0005-0000-0000-0000DD010000}"/>
    <cellStyle name="1_total_1차 기성 내역서 0612023" xfId="479" xr:uid="{00000000-0005-0000-0000-0000DE010000}"/>
    <cellStyle name="1_total_3차네고견적(061017-1)" xfId="480" xr:uid="{00000000-0005-0000-0000-0000DF010000}"/>
    <cellStyle name="1_total_Sheet1" xfId="481" xr:uid="{00000000-0005-0000-0000-0000E0010000}"/>
    <cellStyle name="1_total_Sheet1_1차 기성 내역서 0612023" xfId="482" xr:uid="{00000000-0005-0000-0000-0000E1010000}"/>
    <cellStyle name="1_total_Sheet1_3차네고견적(061017-1)" xfId="483" xr:uid="{00000000-0005-0000-0000-0000E2010000}"/>
    <cellStyle name="1_total_갑지0601" xfId="484" xr:uid="{00000000-0005-0000-0000-0000E3010000}"/>
    <cellStyle name="1_total_갑지0601_00갑지" xfId="485" xr:uid="{00000000-0005-0000-0000-0000E4010000}"/>
    <cellStyle name="1_total_갑지0601_00갑지_1차 기성 내역서 0612023" xfId="486" xr:uid="{00000000-0005-0000-0000-0000E5010000}"/>
    <cellStyle name="1_total_갑지0601_00갑지_3차네고견적(061017-1)" xfId="487" xr:uid="{00000000-0005-0000-0000-0000E6010000}"/>
    <cellStyle name="1_total_갑지0601_00갑지_백화점화장실인테리어" xfId="488" xr:uid="{00000000-0005-0000-0000-0000E7010000}"/>
    <cellStyle name="1_total_갑지0601_00갑지_백화점화장실인테리어_1차 기성 내역서 0612023" xfId="489" xr:uid="{00000000-0005-0000-0000-0000E8010000}"/>
    <cellStyle name="1_total_갑지0601_00갑지_백화점화장실인테리어_3차네고견적(061017-1)" xfId="490" xr:uid="{00000000-0005-0000-0000-0000E9010000}"/>
    <cellStyle name="1_total_갑지0601_00갑지_설계내역서" xfId="491" xr:uid="{00000000-0005-0000-0000-0000EA010000}"/>
    <cellStyle name="1_total_갑지0601_00갑지_설계내역서_1차 기성 내역서 0612023" xfId="492" xr:uid="{00000000-0005-0000-0000-0000EB010000}"/>
    <cellStyle name="1_total_갑지0601_00갑지_설계내역서_3차네고견적(061017-1)" xfId="493" xr:uid="{00000000-0005-0000-0000-0000EC010000}"/>
    <cellStyle name="1_total_갑지0601_00갑지_설계내역서_백화점화장실인테리어" xfId="494" xr:uid="{00000000-0005-0000-0000-0000ED010000}"/>
    <cellStyle name="1_total_갑지0601_00갑지_설계내역서_백화점화장실인테리어_1차 기성 내역서 0612023" xfId="495" xr:uid="{00000000-0005-0000-0000-0000EE010000}"/>
    <cellStyle name="1_total_갑지0601_00갑지_설계내역서_백화점화장실인테리어_3차네고견적(061017-1)" xfId="496" xr:uid="{00000000-0005-0000-0000-0000EF010000}"/>
    <cellStyle name="1_total_갑지0601_00갑지_설계내역서_화명조경" xfId="497" xr:uid="{00000000-0005-0000-0000-0000F0010000}"/>
    <cellStyle name="1_total_갑지0601_00갑지_설계내역서_화명조경_1차 기성 내역서 0612023" xfId="498" xr:uid="{00000000-0005-0000-0000-0000F1010000}"/>
    <cellStyle name="1_total_갑지0601_00갑지_설계내역서_화명조경_3차네고견적(061017-1)" xfId="499" xr:uid="{00000000-0005-0000-0000-0000F2010000}"/>
    <cellStyle name="1_total_갑지0601_00갑지_설계내역서_화명조경_백화점화장실인테리어" xfId="500" xr:uid="{00000000-0005-0000-0000-0000F3010000}"/>
    <cellStyle name="1_total_갑지0601_00갑지_설계내역서_화명조경_백화점화장실인테리어_1차 기성 내역서 0612023" xfId="501" xr:uid="{00000000-0005-0000-0000-0000F4010000}"/>
    <cellStyle name="1_total_갑지0601_00갑지_설계내역서_화명조경_백화점화장실인테리어_3차네고견적(061017-1)" xfId="502" xr:uid="{00000000-0005-0000-0000-0000F5010000}"/>
    <cellStyle name="1_total_갑지0601_00갑지_설계내역서1월7일" xfId="503" xr:uid="{00000000-0005-0000-0000-0000F6010000}"/>
    <cellStyle name="1_total_갑지0601_00갑지_설계내역서1월7일_1차 기성 내역서 0612023" xfId="504" xr:uid="{00000000-0005-0000-0000-0000F7010000}"/>
    <cellStyle name="1_total_갑지0601_00갑지_설계내역서1월7일_3차네고견적(061017-1)" xfId="505" xr:uid="{00000000-0005-0000-0000-0000F8010000}"/>
    <cellStyle name="1_total_갑지0601_00갑지_설계내역서1월7일_백화점화장실인테리어" xfId="506" xr:uid="{00000000-0005-0000-0000-0000F9010000}"/>
    <cellStyle name="1_total_갑지0601_00갑지_설계내역서1월7일_백화점화장실인테리어_1차 기성 내역서 0612023" xfId="507" xr:uid="{00000000-0005-0000-0000-0000FA010000}"/>
    <cellStyle name="1_total_갑지0601_00갑지_설계내역서1월7일_백화점화장실인테리어_3차네고견적(061017-1)" xfId="508" xr:uid="{00000000-0005-0000-0000-0000FB010000}"/>
    <cellStyle name="1_total_갑지0601_00갑지_설계내역서1월7일_화명조경" xfId="509" xr:uid="{00000000-0005-0000-0000-0000FC010000}"/>
    <cellStyle name="1_total_갑지0601_00갑지_설계내역서1월7일_화명조경_1차 기성 내역서 0612023" xfId="510" xr:uid="{00000000-0005-0000-0000-0000FD010000}"/>
    <cellStyle name="1_total_갑지0601_00갑지_설계내역서1월7일_화명조경_3차네고견적(061017-1)" xfId="511" xr:uid="{00000000-0005-0000-0000-0000FE010000}"/>
    <cellStyle name="1_total_갑지0601_00갑지_설계내역서1월7일_화명조경_백화점화장실인테리어" xfId="512" xr:uid="{00000000-0005-0000-0000-0000FF010000}"/>
    <cellStyle name="1_total_갑지0601_00갑지_설계내역서1월7일_화명조경_백화점화장실인테리어_1차 기성 내역서 0612023" xfId="513" xr:uid="{00000000-0005-0000-0000-000000020000}"/>
    <cellStyle name="1_total_갑지0601_00갑지_설계내역서1월7일_화명조경_백화점화장실인테리어_3차네고견적(061017-1)" xfId="514" xr:uid="{00000000-0005-0000-0000-000001020000}"/>
    <cellStyle name="1_total_갑지0601_00갑지_화명조경" xfId="515" xr:uid="{00000000-0005-0000-0000-000002020000}"/>
    <cellStyle name="1_total_갑지0601_00갑지_화명조경_1차 기성 내역서 0612023" xfId="516" xr:uid="{00000000-0005-0000-0000-000003020000}"/>
    <cellStyle name="1_total_갑지0601_00갑지_화명조경_3차네고견적(061017-1)" xfId="517" xr:uid="{00000000-0005-0000-0000-000004020000}"/>
    <cellStyle name="1_total_갑지0601_00갑지_화명조경_백화점화장실인테리어" xfId="518" xr:uid="{00000000-0005-0000-0000-000005020000}"/>
    <cellStyle name="1_total_갑지0601_00갑지_화명조경_백화점화장실인테리어_1차 기성 내역서 0612023" xfId="519" xr:uid="{00000000-0005-0000-0000-000006020000}"/>
    <cellStyle name="1_total_갑지0601_00갑지_화명조경_백화점화장실인테리어_3차네고견적(061017-1)" xfId="520" xr:uid="{00000000-0005-0000-0000-000007020000}"/>
    <cellStyle name="1_total_갑지0601_1차 기성 내역서 0612023" xfId="521" xr:uid="{00000000-0005-0000-0000-000008020000}"/>
    <cellStyle name="1_total_갑지0601_3차네고견적(061017-1)" xfId="522" xr:uid="{00000000-0005-0000-0000-000009020000}"/>
    <cellStyle name="1_total_갑지0601_과천놀이터설계서" xfId="523" xr:uid="{00000000-0005-0000-0000-00000A020000}"/>
    <cellStyle name="1_total_갑지0601_과천놀이터설계서_1차 기성 내역서 0612023" xfId="524" xr:uid="{00000000-0005-0000-0000-00000B020000}"/>
    <cellStyle name="1_total_갑지0601_과천놀이터설계서_3차네고견적(061017-1)" xfId="525" xr:uid="{00000000-0005-0000-0000-00000C020000}"/>
    <cellStyle name="1_total_갑지0601_과천놀이터설계서_백화점화장실인테리어" xfId="526" xr:uid="{00000000-0005-0000-0000-00000D020000}"/>
    <cellStyle name="1_total_갑지0601_과천놀이터설계서_백화점화장실인테리어_1차 기성 내역서 0612023" xfId="527" xr:uid="{00000000-0005-0000-0000-00000E020000}"/>
    <cellStyle name="1_total_갑지0601_과천놀이터설계서_백화점화장실인테리어_3차네고견적(061017-1)" xfId="528" xr:uid="{00000000-0005-0000-0000-00000F020000}"/>
    <cellStyle name="1_total_갑지0601_과천놀이터설계서_설계내역서" xfId="529" xr:uid="{00000000-0005-0000-0000-000010020000}"/>
    <cellStyle name="1_total_갑지0601_과천놀이터설계서_설계내역서_1차 기성 내역서 0612023" xfId="530" xr:uid="{00000000-0005-0000-0000-000011020000}"/>
    <cellStyle name="1_total_갑지0601_과천놀이터설계서_설계내역서_3차네고견적(061017-1)" xfId="531" xr:uid="{00000000-0005-0000-0000-000012020000}"/>
    <cellStyle name="1_total_갑지0601_과천놀이터설계서_설계내역서_백화점화장실인테리어" xfId="532" xr:uid="{00000000-0005-0000-0000-000013020000}"/>
    <cellStyle name="1_total_갑지0601_과천놀이터설계서_설계내역서_백화점화장실인테리어_1차 기성 내역서 0612023" xfId="533" xr:uid="{00000000-0005-0000-0000-000014020000}"/>
    <cellStyle name="1_total_갑지0601_과천놀이터설계서_설계내역서_백화점화장실인테리어_3차네고견적(061017-1)" xfId="534" xr:uid="{00000000-0005-0000-0000-000015020000}"/>
    <cellStyle name="1_total_갑지0601_과천놀이터설계서_설계내역서_화명조경" xfId="535" xr:uid="{00000000-0005-0000-0000-000016020000}"/>
    <cellStyle name="1_total_갑지0601_과천놀이터설계서_설계내역서_화명조경_1차 기성 내역서 0612023" xfId="536" xr:uid="{00000000-0005-0000-0000-000017020000}"/>
    <cellStyle name="1_total_갑지0601_과천놀이터설계서_설계내역서_화명조경_3차네고견적(061017-1)" xfId="537" xr:uid="{00000000-0005-0000-0000-000018020000}"/>
    <cellStyle name="1_total_갑지0601_과천놀이터설계서_설계내역서_화명조경_백화점화장실인테리어" xfId="538" xr:uid="{00000000-0005-0000-0000-000019020000}"/>
    <cellStyle name="1_total_갑지0601_과천놀이터설계서_설계내역서_화명조경_백화점화장실인테리어_1차 기성 내역서 0612023" xfId="539" xr:uid="{00000000-0005-0000-0000-00001A020000}"/>
    <cellStyle name="1_total_갑지0601_과천놀이터설계서_설계내역서_화명조경_백화점화장실인테리어_3차네고견적(061017-1)" xfId="540" xr:uid="{00000000-0005-0000-0000-00001B020000}"/>
    <cellStyle name="1_total_갑지0601_과천놀이터설계서_설계내역서1월7일" xfId="541" xr:uid="{00000000-0005-0000-0000-00001C020000}"/>
    <cellStyle name="1_total_갑지0601_과천놀이터설계서_설계내역서1월7일_1차 기성 내역서 0612023" xfId="542" xr:uid="{00000000-0005-0000-0000-00001D020000}"/>
    <cellStyle name="1_total_갑지0601_과천놀이터설계서_설계내역서1월7일_3차네고견적(061017-1)" xfId="543" xr:uid="{00000000-0005-0000-0000-00001E020000}"/>
    <cellStyle name="1_total_갑지0601_과천놀이터설계서_설계내역서1월7일_백화점화장실인테리어" xfId="544" xr:uid="{00000000-0005-0000-0000-00001F020000}"/>
    <cellStyle name="1_total_갑지0601_과천놀이터설계서_설계내역서1월7일_백화점화장실인테리어_1차 기성 내역서 0612023" xfId="545" xr:uid="{00000000-0005-0000-0000-000020020000}"/>
    <cellStyle name="1_total_갑지0601_과천놀이터설계서_설계내역서1월7일_백화점화장실인테리어_3차네고견적(061017-1)" xfId="546" xr:uid="{00000000-0005-0000-0000-000021020000}"/>
    <cellStyle name="1_total_갑지0601_과천놀이터설계서_설계내역서1월7일_화명조경" xfId="547" xr:uid="{00000000-0005-0000-0000-000022020000}"/>
    <cellStyle name="1_total_갑지0601_과천놀이터설계서_설계내역서1월7일_화명조경_1차 기성 내역서 0612023" xfId="548" xr:uid="{00000000-0005-0000-0000-000023020000}"/>
    <cellStyle name="1_total_갑지0601_과천놀이터설계서_설계내역서1월7일_화명조경_3차네고견적(061017-1)" xfId="549" xr:uid="{00000000-0005-0000-0000-000024020000}"/>
    <cellStyle name="1_total_갑지0601_과천놀이터설계서_설계내역서1월7일_화명조경_백화점화장실인테리어" xfId="550" xr:uid="{00000000-0005-0000-0000-000025020000}"/>
    <cellStyle name="1_total_갑지0601_과천놀이터설계서_설계내역서1월7일_화명조경_백화점화장실인테리어_1차 기성 내역서 0612023" xfId="551" xr:uid="{00000000-0005-0000-0000-000026020000}"/>
    <cellStyle name="1_total_갑지0601_과천놀이터설계서_설계내역서1월7일_화명조경_백화점화장실인테리어_3차네고견적(061017-1)" xfId="552" xr:uid="{00000000-0005-0000-0000-000027020000}"/>
    <cellStyle name="1_total_갑지0601_과천놀이터설계서_화명조경" xfId="553" xr:uid="{00000000-0005-0000-0000-000028020000}"/>
    <cellStyle name="1_total_갑지0601_과천놀이터설계서_화명조경_1차 기성 내역서 0612023" xfId="554" xr:uid="{00000000-0005-0000-0000-000029020000}"/>
    <cellStyle name="1_total_갑지0601_과천놀이터설계서_화명조경_3차네고견적(061017-1)" xfId="555" xr:uid="{00000000-0005-0000-0000-00002A020000}"/>
    <cellStyle name="1_total_갑지0601_과천놀이터설계서_화명조경_백화점화장실인테리어" xfId="556" xr:uid="{00000000-0005-0000-0000-00002B020000}"/>
    <cellStyle name="1_total_갑지0601_과천놀이터설계서_화명조경_백화점화장실인테리어_1차 기성 내역서 0612023" xfId="557" xr:uid="{00000000-0005-0000-0000-00002C020000}"/>
    <cellStyle name="1_total_갑지0601_과천놀이터설계서_화명조경_백화점화장실인테리어_3차네고견적(061017-1)" xfId="558" xr:uid="{00000000-0005-0000-0000-00002D020000}"/>
    <cellStyle name="1_total_갑지0601_백화점화장실인테리어" xfId="559" xr:uid="{00000000-0005-0000-0000-00002E020000}"/>
    <cellStyle name="1_total_갑지0601_백화점화장실인테리어_1차 기성 내역서 0612023" xfId="560" xr:uid="{00000000-0005-0000-0000-00002F020000}"/>
    <cellStyle name="1_total_갑지0601_백화점화장실인테리어_3차네고견적(061017-1)" xfId="561" xr:uid="{00000000-0005-0000-0000-000030020000}"/>
    <cellStyle name="1_total_갑지0601_총괄갑지" xfId="562" xr:uid="{00000000-0005-0000-0000-000031020000}"/>
    <cellStyle name="1_total_갑지0601_총괄갑지_1차 기성 내역서 0612023" xfId="563" xr:uid="{00000000-0005-0000-0000-000032020000}"/>
    <cellStyle name="1_total_갑지0601_총괄갑지_3차네고견적(061017-1)" xfId="564" xr:uid="{00000000-0005-0000-0000-000033020000}"/>
    <cellStyle name="1_total_갑지0601_총괄갑지_백화점화장실인테리어" xfId="565" xr:uid="{00000000-0005-0000-0000-000034020000}"/>
    <cellStyle name="1_total_갑지0601_총괄갑지_백화점화장실인테리어_1차 기성 내역서 0612023" xfId="566" xr:uid="{00000000-0005-0000-0000-000035020000}"/>
    <cellStyle name="1_total_갑지0601_총괄갑지_백화점화장실인테리어_3차네고견적(061017-1)" xfId="567" xr:uid="{00000000-0005-0000-0000-000036020000}"/>
    <cellStyle name="1_total_갑지0601_총괄갑지_설계내역서" xfId="568" xr:uid="{00000000-0005-0000-0000-000037020000}"/>
    <cellStyle name="1_total_갑지0601_총괄갑지_설계내역서_1차 기성 내역서 0612023" xfId="569" xr:uid="{00000000-0005-0000-0000-000038020000}"/>
    <cellStyle name="1_total_갑지0601_총괄갑지_설계내역서_3차네고견적(061017-1)" xfId="570" xr:uid="{00000000-0005-0000-0000-000039020000}"/>
    <cellStyle name="1_total_갑지0601_총괄갑지_설계내역서_백화점화장실인테리어" xfId="571" xr:uid="{00000000-0005-0000-0000-00003A020000}"/>
    <cellStyle name="1_total_갑지0601_총괄갑지_설계내역서_백화점화장실인테리어_1차 기성 내역서 0612023" xfId="572" xr:uid="{00000000-0005-0000-0000-00003B020000}"/>
    <cellStyle name="1_total_갑지0601_총괄갑지_설계내역서_백화점화장실인테리어_3차네고견적(061017-1)" xfId="573" xr:uid="{00000000-0005-0000-0000-00003C020000}"/>
    <cellStyle name="1_total_갑지0601_총괄갑지_설계내역서_화명조경" xfId="574" xr:uid="{00000000-0005-0000-0000-00003D020000}"/>
    <cellStyle name="1_total_갑지0601_총괄갑지_설계내역서_화명조경_1차 기성 내역서 0612023" xfId="575" xr:uid="{00000000-0005-0000-0000-00003E020000}"/>
    <cellStyle name="1_total_갑지0601_총괄갑지_설계내역서_화명조경_3차네고견적(061017-1)" xfId="576" xr:uid="{00000000-0005-0000-0000-00003F020000}"/>
    <cellStyle name="1_total_갑지0601_총괄갑지_설계내역서_화명조경_백화점화장실인테리어" xfId="577" xr:uid="{00000000-0005-0000-0000-000040020000}"/>
    <cellStyle name="1_total_갑지0601_총괄갑지_설계내역서_화명조경_백화점화장실인테리어_1차 기성 내역서 0612023" xfId="578" xr:uid="{00000000-0005-0000-0000-000041020000}"/>
    <cellStyle name="1_total_갑지0601_총괄갑지_설계내역서_화명조경_백화점화장실인테리어_3차네고견적(061017-1)" xfId="579" xr:uid="{00000000-0005-0000-0000-000042020000}"/>
    <cellStyle name="1_total_갑지0601_총괄갑지_설계내역서1월7일" xfId="580" xr:uid="{00000000-0005-0000-0000-000043020000}"/>
    <cellStyle name="1_total_갑지0601_총괄갑지_설계내역서1월7일_1차 기성 내역서 0612023" xfId="581" xr:uid="{00000000-0005-0000-0000-000044020000}"/>
    <cellStyle name="1_total_갑지0601_총괄갑지_설계내역서1월7일_3차네고견적(061017-1)" xfId="582" xr:uid="{00000000-0005-0000-0000-000045020000}"/>
    <cellStyle name="1_total_갑지0601_총괄갑지_설계내역서1월7일_백화점화장실인테리어" xfId="583" xr:uid="{00000000-0005-0000-0000-000046020000}"/>
    <cellStyle name="1_total_갑지0601_총괄갑지_설계내역서1월7일_백화점화장실인테리어_1차 기성 내역서 0612023" xfId="584" xr:uid="{00000000-0005-0000-0000-000047020000}"/>
    <cellStyle name="1_total_갑지0601_총괄갑지_설계내역서1월7일_백화점화장실인테리어_3차네고견적(061017-1)" xfId="585" xr:uid="{00000000-0005-0000-0000-000048020000}"/>
    <cellStyle name="1_total_갑지0601_총괄갑지_설계내역서1월7일_화명조경" xfId="586" xr:uid="{00000000-0005-0000-0000-000049020000}"/>
    <cellStyle name="1_total_갑지0601_총괄갑지_설계내역서1월7일_화명조경_1차 기성 내역서 0612023" xfId="587" xr:uid="{00000000-0005-0000-0000-00004A020000}"/>
    <cellStyle name="1_total_갑지0601_총괄갑지_설계내역서1월7일_화명조경_3차네고견적(061017-1)" xfId="588" xr:uid="{00000000-0005-0000-0000-00004B020000}"/>
    <cellStyle name="1_total_갑지0601_총괄갑지_설계내역서1월7일_화명조경_백화점화장실인테리어" xfId="589" xr:uid="{00000000-0005-0000-0000-00004C020000}"/>
    <cellStyle name="1_total_갑지0601_총괄갑지_설계내역서1월7일_화명조경_백화점화장실인테리어_1차 기성 내역서 0612023" xfId="590" xr:uid="{00000000-0005-0000-0000-00004D020000}"/>
    <cellStyle name="1_total_갑지0601_총괄갑지_설계내역서1월7일_화명조경_백화점화장실인테리어_3차네고견적(061017-1)" xfId="591" xr:uid="{00000000-0005-0000-0000-00004E020000}"/>
    <cellStyle name="1_total_갑지0601_총괄갑지_화명조경" xfId="592" xr:uid="{00000000-0005-0000-0000-00004F020000}"/>
    <cellStyle name="1_total_갑지0601_총괄갑지_화명조경_1차 기성 내역서 0612023" xfId="593" xr:uid="{00000000-0005-0000-0000-000050020000}"/>
    <cellStyle name="1_total_갑지0601_총괄갑지_화명조경_3차네고견적(061017-1)" xfId="594" xr:uid="{00000000-0005-0000-0000-000051020000}"/>
    <cellStyle name="1_total_갑지0601_총괄갑지_화명조경_백화점화장실인테리어" xfId="595" xr:uid="{00000000-0005-0000-0000-000052020000}"/>
    <cellStyle name="1_total_갑지0601_총괄갑지_화명조경_백화점화장실인테리어_1차 기성 내역서 0612023" xfId="596" xr:uid="{00000000-0005-0000-0000-000053020000}"/>
    <cellStyle name="1_total_갑지0601_총괄갑지_화명조경_백화점화장실인테리어_3차네고견적(061017-1)" xfId="597" xr:uid="{00000000-0005-0000-0000-000054020000}"/>
    <cellStyle name="1_total_갑지0601_총괄내역서" xfId="598" xr:uid="{00000000-0005-0000-0000-000055020000}"/>
    <cellStyle name="1_total_갑지0601_총괄내역서_1차 기성 내역서 0612023" xfId="599" xr:uid="{00000000-0005-0000-0000-000056020000}"/>
    <cellStyle name="1_total_갑지0601_총괄내역서_3차네고견적(061017-1)" xfId="600" xr:uid="{00000000-0005-0000-0000-000057020000}"/>
    <cellStyle name="1_total_갑지0601_총괄내역서_백화점화장실인테리어" xfId="601" xr:uid="{00000000-0005-0000-0000-000058020000}"/>
    <cellStyle name="1_total_갑지0601_총괄내역서_백화점화장실인테리어_1차 기성 내역서 0612023" xfId="602" xr:uid="{00000000-0005-0000-0000-000059020000}"/>
    <cellStyle name="1_total_갑지0601_총괄내역서_백화점화장실인테리어_3차네고견적(061017-1)" xfId="603" xr:uid="{00000000-0005-0000-0000-00005A020000}"/>
    <cellStyle name="1_total_갑지0601_총괄내역서_설계내역서" xfId="604" xr:uid="{00000000-0005-0000-0000-00005B020000}"/>
    <cellStyle name="1_total_갑지0601_총괄내역서_설계내역서_1차 기성 내역서 0612023" xfId="605" xr:uid="{00000000-0005-0000-0000-00005C020000}"/>
    <cellStyle name="1_total_갑지0601_총괄내역서_설계내역서_3차네고견적(061017-1)" xfId="606" xr:uid="{00000000-0005-0000-0000-00005D020000}"/>
    <cellStyle name="1_total_갑지0601_총괄내역서_설계내역서_백화점화장실인테리어" xfId="607" xr:uid="{00000000-0005-0000-0000-00005E020000}"/>
    <cellStyle name="1_total_갑지0601_총괄내역서_설계내역서_백화점화장실인테리어_1차 기성 내역서 0612023" xfId="608" xr:uid="{00000000-0005-0000-0000-00005F020000}"/>
    <cellStyle name="1_total_갑지0601_총괄내역서_설계내역서_백화점화장실인테리어_3차네고견적(061017-1)" xfId="609" xr:uid="{00000000-0005-0000-0000-000060020000}"/>
    <cellStyle name="1_total_갑지0601_총괄내역서_설계내역서_화명조경" xfId="610" xr:uid="{00000000-0005-0000-0000-000061020000}"/>
    <cellStyle name="1_total_갑지0601_총괄내역서_설계내역서_화명조경_1차 기성 내역서 0612023" xfId="611" xr:uid="{00000000-0005-0000-0000-000062020000}"/>
    <cellStyle name="1_total_갑지0601_총괄내역서_설계내역서_화명조경_3차네고견적(061017-1)" xfId="612" xr:uid="{00000000-0005-0000-0000-000063020000}"/>
    <cellStyle name="1_total_갑지0601_총괄내역서_설계내역서_화명조경_백화점화장실인테리어" xfId="613" xr:uid="{00000000-0005-0000-0000-000064020000}"/>
    <cellStyle name="1_total_갑지0601_총괄내역서_설계내역서_화명조경_백화점화장실인테리어_1차 기성 내역서 0612023" xfId="614" xr:uid="{00000000-0005-0000-0000-000065020000}"/>
    <cellStyle name="1_total_갑지0601_총괄내역서_설계내역서_화명조경_백화점화장실인테리어_3차네고견적(061017-1)" xfId="615" xr:uid="{00000000-0005-0000-0000-000066020000}"/>
    <cellStyle name="1_total_갑지0601_총괄내역서_설계내역서1월7일" xfId="616" xr:uid="{00000000-0005-0000-0000-000067020000}"/>
    <cellStyle name="1_total_갑지0601_총괄내역서_설계내역서1월7일_1차 기성 내역서 0612023" xfId="617" xr:uid="{00000000-0005-0000-0000-000068020000}"/>
    <cellStyle name="1_total_갑지0601_총괄내역서_설계내역서1월7일_3차네고견적(061017-1)" xfId="618" xr:uid="{00000000-0005-0000-0000-000069020000}"/>
    <cellStyle name="1_total_갑지0601_총괄내역서_설계내역서1월7일_백화점화장실인테리어" xfId="619" xr:uid="{00000000-0005-0000-0000-00006A020000}"/>
    <cellStyle name="1_total_갑지0601_총괄내역서_설계내역서1월7일_백화점화장실인테리어_1차 기성 내역서 0612023" xfId="620" xr:uid="{00000000-0005-0000-0000-00006B020000}"/>
    <cellStyle name="1_total_갑지0601_총괄내역서_설계내역서1월7일_백화점화장실인테리어_3차네고견적(061017-1)" xfId="621" xr:uid="{00000000-0005-0000-0000-00006C020000}"/>
    <cellStyle name="1_total_갑지0601_총괄내역서_설계내역서1월7일_화명조경" xfId="622" xr:uid="{00000000-0005-0000-0000-00006D020000}"/>
    <cellStyle name="1_total_갑지0601_총괄내역서_설계내역서1월7일_화명조경_1차 기성 내역서 0612023" xfId="623" xr:uid="{00000000-0005-0000-0000-00006E020000}"/>
    <cellStyle name="1_total_갑지0601_총괄내역서_설계내역서1월7일_화명조경_3차네고견적(061017-1)" xfId="624" xr:uid="{00000000-0005-0000-0000-00006F020000}"/>
    <cellStyle name="1_total_갑지0601_총괄내역서_설계내역서1월7일_화명조경_백화점화장실인테리어" xfId="625" xr:uid="{00000000-0005-0000-0000-000070020000}"/>
    <cellStyle name="1_total_갑지0601_총괄내역서_설계내역서1월7일_화명조경_백화점화장실인테리어_1차 기성 내역서 0612023" xfId="626" xr:uid="{00000000-0005-0000-0000-000071020000}"/>
    <cellStyle name="1_total_갑지0601_총괄내역서_설계내역서1월7일_화명조경_백화점화장실인테리어_3차네고견적(061017-1)" xfId="627" xr:uid="{00000000-0005-0000-0000-000072020000}"/>
    <cellStyle name="1_total_갑지0601_총괄내역서_화명조경" xfId="628" xr:uid="{00000000-0005-0000-0000-000073020000}"/>
    <cellStyle name="1_total_갑지0601_총괄내역서_화명조경_1차 기성 내역서 0612023" xfId="629" xr:uid="{00000000-0005-0000-0000-000074020000}"/>
    <cellStyle name="1_total_갑지0601_총괄내역서_화명조경_3차네고견적(061017-1)" xfId="630" xr:uid="{00000000-0005-0000-0000-000075020000}"/>
    <cellStyle name="1_total_갑지0601_총괄내역서_화명조경_백화점화장실인테리어" xfId="631" xr:uid="{00000000-0005-0000-0000-000076020000}"/>
    <cellStyle name="1_total_갑지0601_총괄내역서_화명조경_백화점화장실인테리어_1차 기성 내역서 0612023" xfId="632" xr:uid="{00000000-0005-0000-0000-000077020000}"/>
    <cellStyle name="1_total_갑지0601_총괄내역서_화명조경_백화점화장실인테리어_3차네고견적(061017-1)" xfId="633" xr:uid="{00000000-0005-0000-0000-000078020000}"/>
    <cellStyle name="1_total_갑지0601_화명조경" xfId="634" xr:uid="{00000000-0005-0000-0000-000079020000}"/>
    <cellStyle name="1_total_갑지0601_화명조경_1차 기성 내역서 0612023" xfId="635" xr:uid="{00000000-0005-0000-0000-00007A020000}"/>
    <cellStyle name="1_total_갑지0601_화명조경_3차네고견적(061017-1)" xfId="636" xr:uid="{00000000-0005-0000-0000-00007B020000}"/>
    <cellStyle name="1_total_갑지0601_화명조경_백화점화장실인테리어" xfId="637" xr:uid="{00000000-0005-0000-0000-00007C020000}"/>
    <cellStyle name="1_total_갑지0601_화명조경_백화점화장실인테리어_1차 기성 내역서 0612023" xfId="638" xr:uid="{00000000-0005-0000-0000-00007D020000}"/>
    <cellStyle name="1_total_갑지0601_화명조경_백화점화장실인테리어_3차네고견적(061017-1)" xfId="639" xr:uid="{00000000-0005-0000-0000-00007E020000}"/>
    <cellStyle name="1_total_백화점화장실인테리어" xfId="640" xr:uid="{00000000-0005-0000-0000-00007F020000}"/>
    <cellStyle name="1_total_백화점화장실인테리어_1차 기성 내역서 0612023" xfId="641" xr:uid="{00000000-0005-0000-0000-000080020000}"/>
    <cellStyle name="1_total_백화점화장실인테리어_3차네고견적(061017-1)" xfId="642" xr:uid="{00000000-0005-0000-0000-000081020000}"/>
    <cellStyle name="1_total_설계내역서" xfId="643" xr:uid="{00000000-0005-0000-0000-000082020000}"/>
    <cellStyle name="1_total_설계내역서_1차 기성 내역서 0612023" xfId="644" xr:uid="{00000000-0005-0000-0000-000083020000}"/>
    <cellStyle name="1_total_설계내역서_3차네고견적(061017-1)" xfId="645" xr:uid="{00000000-0005-0000-0000-000084020000}"/>
    <cellStyle name="1_total_설계내역서_백화점화장실인테리어" xfId="646" xr:uid="{00000000-0005-0000-0000-000085020000}"/>
    <cellStyle name="1_total_설계내역서_백화점화장실인테리어_1차 기성 내역서 0612023" xfId="647" xr:uid="{00000000-0005-0000-0000-000086020000}"/>
    <cellStyle name="1_total_설계내역서_백화점화장실인테리어_3차네고견적(061017-1)" xfId="648" xr:uid="{00000000-0005-0000-0000-000087020000}"/>
    <cellStyle name="1_total_설계내역서_화명조경" xfId="649" xr:uid="{00000000-0005-0000-0000-000088020000}"/>
    <cellStyle name="1_total_설계내역서_화명조경_1차 기성 내역서 0612023" xfId="650" xr:uid="{00000000-0005-0000-0000-000089020000}"/>
    <cellStyle name="1_total_설계내역서_화명조경_3차네고견적(061017-1)" xfId="651" xr:uid="{00000000-0005-0000-0000-00008A020000}"/>
    <cellStyle name="1_total_설계내역서_화명조경_백화점화장실인테리어" xfId="652" xr:uid="{00000000-0005-0000-0000-00008B020000}"/>
    <cellStyle name="1_total_설계내역서_화명조경_백화점화장실인테리어_1차 기성 내역서 0612023" xfId="653" xr:uid="{00000000-0005-0000-0000-00008C020000}"/>
    <cellStyle name="1_total_설계내역서_화명조경_백화점화장실인테리어_3차네고견적(061017-1)" xfId="654" xr:uid="{00000000-0005-0000-0000-00008D020000}"/>
    <cellStyle name="1_total_설계내역서1월7일" xfId="655" xr:uid="{00000000-0005-0000-0000-00008E020000}"/>
    <cellStyle name="1_total_설계내역서1월7일_1차 기성 내역서 0612023" xfId="656" xr:uid="{00000000-0005-0000-0000-00008F020000}"/>
    <cellStyle name="1_total_설계내역서1월7일_3차네고견적(061017-1)" xfId="657" xr:uid="{00000000-0005-0000-0000-000090020000}"/>
    <cellStyle name="1_total_설계내역서1월7일_백화점화장실인테리어" xfId="658" xr:uid="{00000000-0005-0000-0000-000091020000}"/>
    <cellStyle name="1_total_설계내역서1월7일_백화점화장실인테리어_1차 기성 내역서 0612023" xfId="659" xr:uid="{00000000-0005-0000-0000-000092020000}"/>
    <cellStyle name="1_total_설계내역서1월7일_백화점화장실인테리어_3차네고견적(061017-1)" xfId="660" xr:uid="{00000000-0005-0000-0000-000093020000}"/>
    <cellStyle name="1_total_설계내역서1월7일_화명조경" xfId="661" xr:uid="{00000000-0005-0000-0000-000094020000}"/>
    <cellStyle name="1_total_설계내역서1월7일_화명조경_1차 기성 내역서 0612023" xfId="662" xr:uid="{00000000-0005-0000-0000-000095020000}"/>
    <cellStyle name="1_total_설계내역서1월7일_화명조경_3차네고견적(061017-1)" xfId="663" xr:uid="{00000000-0005-0000-0000-000096020000}"/>
    <cellStyle name="1_total_설계내역서1월7일_화명조경_백화점화장실인테리어" xfId="664" xr:uid="{00000000-0005-0000-0000-000097020000}"/>
    <cellStyle name="1_total_설계내역서1월7일_화명조경_백화점화장실인테리어_1차 기성 내역서 0612023" xfId="665" xr:uid="{00000000-0005-0000-0000-000098020000}"/>
    <cellStyle name="1_total_설계내역서1월7일_화명조경_백화점화장실인테리어_3차네고견적(061017-1)" xfId="666" xr:uid="{00000000-0005-0000-0000-000099020000}"/>
    <cellStyle name="1_total_수원변경수량산출" xfId="667" xr:uid="{00000000-0005-0000-0000-00009A020000}"/>
    <cellStyle name="1_total_수원변경수량산출_1차 기성 내역서 0612023" xfId="668" xr:uid="{00000000-0005-0000-0000-00009B020000}"/>
    <cellStyle name="1_total_수원변경수량산출_3차네고견적(061017-1)" xfId="669" xr:uid="{00000000-0005-0000-0000-00009C020000}"/>
    <cellStyle name="1_total_수원변경수량산출_백화점화장실인테리어" xfId="670" xr:uid="{00000000-0005-0000-0000-00009D020000}"/>
    <cellStyle name="1_total_수원변경수량산출_백화점화장실인테리어_1차 기성 내역서 0612023" xfId="671" xr:uid="{00000000-0005-0000-0000-00009E020000}"/>
    <cellStyle name="1_total_수원변경수량산출_백화점화장실인테리어_3차네고견적(061017-1)" xfId="672" xr:uid="{00000000-0005-0000-0000-00009F020000}"/>
    <cellStyle name="1_total_수원변경수량산출_설계내역서" xfId="673" xr:uid="{00000000-0005-0000-0000-0000A0020000}"/>
    <cellStyle name="1_total_수원변경수량산출_설계내역서_1차 기성 내역서 0612023" xfId="674" xr:uid="{00000000-0005-0000-0000-0000A1020000}"/>
    <cellStyle name="1_total_수원변경수량산출_설계내역서_3차네고견적(061017-1)" xfId="675" xr:uid="{00000000-0005-0000-0000-0000A2020000}"/>
    <cellStyle name="1_total_수원변경수량산출_설계내역서_백화점화장실인테리어" xfId="676" xr:uid="{00000000-0005-0000-0000-0000A3020000}"/>
    <cellStyle name="1_total_수원변경수량산출_설계내역서_백화점화장실인테리어_1차 기성 내역서 0612023" xfId="677" xr:uid="{00000000-0005-0000-0000-0000A4020000}"/>
    <cellStyle name="1_total_수원변경수량산출_설계내역서_백화점화장실인테리어_3차네고견적(061017-1)" xfId="678" xr:uid="{00000000-0005-0000-0000-0000A5020000}"/>
    <cellStyle name="1_total_수원변경수량산출_설계내역서_화명조경" xfId="679" xr:uid="{00000000-0005-0000-0000-0000A6020000}"/>
    <cellStyle name="1_total_수원변경수량산출_설계내역서_화명조경_1차 기성 내역서 0612023" xfId="680" xr:uid="{00000000-0005-0000-0000-0000A7020000}"/>
    <cellStyle name="1_total_수원변경수량산출_설계내역서_화명조경_3차네고견적(061017-1)" xfId="681" xr:uid="{00000000-0005-0000-0000-0000A8020000}"/>
    <cellStyle name="1_total_수원변경수량산출_설계내역서_화명조경_백화점화장실인테리어" xfId="682" xr:uid="{00000000-0005-0000-0000-0000A9020000}"/>
    <cellStyle name="1_total_수원변경수량산출_설계내역서_화명조경_백화점화장실인테리어_1차 기성 내역서 0612023" xfId="683" xr:uid="{00000000-0005-0000-0000-0000AA020000}"/>
    <cellStyle name="1_total_수원변경수량산출_설계내역서_화명조경_백화점화장실인테리어_3차네고견적(061017-1)" xfId="684" xr:uid="{00000000-0005-0000-0000-0000AB020000}"/>
    <cellStyle name="1_total_수원변경수량산출_설계내역서1월7일" xfId="685" xr:uid="{00000000-0005-0000-0000-0000AC020000}"/>
    <cellStyle name="1_total_수원변경수량산출_설계내역서1월7일_1차 기성 내역서 0612023" xfId="686" xr:uid="{00000000-0005-0000-0000-0000AD020000}"/>
    <cellStyle name="1_total_수원변경수량산출_설계내역서1월7일_3차네고견적(061017-1)" xfId="687" xr:uid="{00000000-0005-0000-0000-0000AE020000}"/>
    <cellStyle name="1_total_수원변경수량산출_설계내역서1월7일_백화점화장실인테리어" xfId="688" xr:uid="{00000000-0005-0000-0000-0000AF020000}"/>
    <cellStyle name="1_total_수원변경수량산출_설계내역서1월7일_백화점화장실인테리어_1차 기성 내역서 0612023" xfId="689" xr:uid="{00000000-0005-0000-0000-0000B0020000}"/>
    <cellStyle name="1_total_수원변경수량산출_설계내역서1월7일_백화점화장실인테리어_3차네고견적(061017-1)" xfId="690" xr:uid="{00000000-0005-0000-0000-0000B1020000}"/>
    <cellStyle name="1_total_수원변경수량산출_설계내역서1월7일_화명조경" xfId="691" xr:uid="{00000000-0005-0000-0000-0000B2020000}"/>
    <cellStyle name="1_total_수원변경수량산출_설계내역서1월7일_화명조경_1차 기성 내역서 0612023" xfId="692" xr:uid="{00000000-0005-0000-0000-0000B3020000}"/>
    <cellStyle name="1_total_수원변경수량산출_설계내역서1월7일_화명조경_3차네고견적(061017-1)" xfId="693" xr:uid="{00000000-0005-0000-0000-0000B4020000}"/>
    <cellStyle name="1_total_수원변경수량산출_설계내역서1월7일_화명조경_백화점화장실인테리어" xfId="694" xr:uid="{00000000-0005-0000-0000-0000B5020000}"/>
    <cellStyle name="1_total_수원변경수량산출_설계내역서1월7일_화명조경_백화점화장실인테리어_1차 기성 내역서 0612023" xfId="695" xr:uid="{00000000-0005-0000-0000-0000B6020000}"/>
    <cellStyle name="1_total_수원변경수량산출_설계내역서1월7일_화명조경_백화점화장실인테리어_3차네고견적(061017-1)" xfId="696" xr:uid="{00000000-0005-0000-0000-0000B7020000}"/>
    <cellStyle name="1_total_수원변경수량산출_화명조경" xfId="697" xr:uid="{00000000-0005-0000-0000-0000B8020000}"/>
    <cellStyle name="1_total_수원변경수량산출_화명조경_1차 기성 내역서 0612023" xfId="698" xr:uid="{00000000-0005-0000-0000-0000B9020000}"/>
    <cellStyle name="1_total_수원변경수량산출_화명조경_3차네고견적(061017-1)" xfId="699" xr:uid="{00000000-0005-0000-0000-0000BA020000}"/>
    <cellStyle name="1_total_수원변경수량산출_화명조경_백화점화장실인테리어" xfId="700" xr:uid="{00000000-0005-0000-0000-0000BB020000}"/>
    <cellStyle name="1_total_수원변경수량산출_화명조경_백화점화장실인테리어_1차 기성 내역서 0612023" xfId="701" xr:uid="{00000000-0005-0000-0000-0000BC020000}"/>
    <cellStyle name="1_total_수원변경수량산출_화명조경_백화점화장실인테리어_3차네고견적(061017-1)" xfId="702" xr:uid="{00000000-0005-0000-0000-0000BD020000}"/>
    <cellStyle name="1_total_쌍용수량0905" xfId="703" xr:uid="{00000000-0005-0000-0000-0000BE020000}"/>
    <cellStyle name="1_total_쌍용수량0905_1차 기성 내역서 0612023" xfId="704" xr:uid="{00000000-0005-0000-0000-0000BF020000}"/>
    <cellStyle name="1_total_쌍용수량0905_3차네고견적(061017-1)" xfId="705" xr:uid="{00000000-0005-0000-0000-0000C0020000}"/>
    <cellStyle name="1_total_쌍용수량0905_백화점화장실인테리어" xfId="706" xr:uid="{00000000-0005-0000-0000-0000C1020000}"/>
    <cellStyle name="1_total_쌍용수량0905_백화점화장실인테리어_1차 기성 내역서 0612023" xfId="707" xr:uid="{00000000-0005-0000-0000-0000C2020000}"/>
    <cellStyle name="1_total_쌍용수량0905_백화점화장실인테리어_3차네고견적(061017-1)" xfId="708" xr:uid="{00000000-0005-0000-0000-0000C3020000}"/>
    <cellStyle name="1_total_쌍용수량0905_설계내역서" xfId="709" xr:uid="{00000000-0005-0000-0000-0000C4020000}"/>
    <cellStyle name="1_total_쌍용수량0905_설계내역서_1차 기성 내역서 0612023" xfId="710" xr:uid="{00000000-0005-0000-0000-0000C5020000}"/>
    <cellStyle name="1_total_쌍용수량0905_설계내역서_3차네고견적(061017-1)" xfId="711" xr:uid="{00000000-0005-0000-0000-0000C6020000}"/>
    <cellStyle name="1_total_쌍용수량0905_설계내역서_백화점화장실인테리어" xfId="712" xr:uid="{00000000-0005-0000-0000-0000C7020000}"/>
    <cellStyle name="1_total_쌍용수량0905_설계내역서_백화점화장실인테리어_1차 기성 내역서 0612023" xfId="713" xr:uid="{00000000-0005-0000-0000-0000C8020000}"/>
    <cellStyle name="1_total_쌍용수량0905_설계내역서_백화점화장실인테리어_3차네고견적(061017-1)" xfId="714" xr:uid="{00000000-0005-0000-0000-0000C9020000}"/>
    <cellStyle name="1_total_쌍용수량0905_설계내역서_화명조경" xfId="715" xr:uid="{00000000-0005-0000-0000-0000CA020000}"/>
    <cellStyle name="1_total_쌍용수량0905_설계내역서_화명조경_1차 기성 내역서 0612023" xfId="716" xr:uid="{00000000-0005-0000-0000-0000CB020000}"/>
    <cellStyle name="1_total_쌍용수량0905_설계내역서_화명조경_3차네고견적(061017-1)" xfId="717" xr:uid="{00000000-0005-0000-0000-0000CC020000}"/>
    <cellStyle name="1_total_쌍용수량0905_설계내역서_화명조경_백화점화장실인테리어" xfId="718" xr:uid="{00000000-0005-0000-0000-0000CD020000}"/>
    <cellStyle name="1_total_쌍용수량0905_설계내역서_화명조경_백화점화장실인테리어_1차 기성 내역서 0612023" xfId="719" xr:uid="{00000000-0005-0000-0000-0000CE020000}"/>
    <cellStyle name="1_total_쌍용수량0905_설계내역서_화명조경_백화점화장실인테리어_3차네고견적(061017-1)" xfId="720" xr:uid="{00000000-0005-0000-0000-0000CF020000}"/>
    <cellStyle name="1_total_쌍용수량0905_설계내역서1월7일" xfId="721" xr:uid="{00000000-0005-0000-0000-0000D0020000}"/>
    <cellStyle name="1_total_쌍용수량0905_설계내역서1월7일_1차 기성 내역서 0612023" xfId="722" xr:uid="{00000000-0005-0000-0000-0000D1020000}"/>
    <cellStyle name="1_total_쌍용수량0905_설계내역서1월7일_3차네고견적(061017-1)" xfId="723" xr:uid="{00000000-0005-0000-0000-0000D2020000}"/>
    <cellStyle name="1_total_쌍용수량0905_설계내역서1월7일_백화점화장실인테리어" xfId="724" xr:uid="{00000000-0005-0000-0000-0000D3020000}"/>
    <cellStyle name="1_total_쌍용수량0905_설계내역서1월7일_백화점화장실인테리어_1차 기성 내역서 0612023" xfId="725" xr:uid="{00000000-0005-0000-0000-0000D4020000}"/>
    <cellStyle name="1_total_쌍용수량0905_설계내역서1월7일_백화점화장실인테리어_3차네고견적(061017-1)" xfId="726" xr:uid="{00000000-0005-0000-0000-0000D5020000}"/>
    <cellStyle name="1_total_쌍용수량0905_설계내역서1월7일_화명조경" xfId="727" xr:uid="{00000000-0005-0000-0000-0000D6020000}"/>
    <cellStyle name="1_total_쌍용수량0905_설계내역서1월7일_화명조경_1차 기성 내역서 0612023" xfId="728" xr:uid="{00000000-0005-0000-0000-0000D7020000}"/>
    <cellStyle name="1_total_쌍용수량0905_설계내역서1월7일_화명조경_3차네고견적(061017-1)" xfId="729" xr:uid="{00000000-0005-0000-0000-0000D8020000}"/>
    <cellStyle name="1_total_쌍용수량0905_설계내역서1월7일_화명조경_백화점화장실인테리어" xfId="730" xr:uid="{00000000-0005-0000-0000-0000D9020000}"/>
    <cellStyle name="1_total_쌍용수량0905_설계내역서1월7일_화명조경_백화점화장실인테리어_1차 기성 내역서 0612023" xfId="731" xr:uid="{00000000-0005-0000-0000-0000DA020000}"/>
    <cellStyle name="1_total_쌍용수량0905_설계내역서1월7일_화명조경_백화점화장실인테리어_3차네고견적(061017-1)" xfId="732" xr:uid="{00000000-0005-0000-0000-0000DB020000}"/>
    <cellStyle name="1_total_쌍용수량0905_화명조경" xfId="733" xr:uid="{00000000-0005-0000-0000-0000DC020000}"/>
    <cellStyle name="1_total_쌍용수량0905_화명조경_1차 기성 내역서 0612023" xfId="734" xr:uid="{00000000-0005-0000-0000-0000DD020000}"/>
    <cellStyle name="1_total_쌍용수량0905_화명조경_3차네고견적(061017-1)" xfId="735" xr:uid="{00000000-0005-0000-0000-0000DE020000}"/>
    <cellStyle name="1_total_쌍용수량0905_화명조경_백화점화장실인테리어" xfId="736" xr:uid="{00000000-0005-0000-0000-0000DF020000}"/>
    <cellStyle name="1_total_쌍용수량0905_화명조경_백화점화장실인테리어_1차 기성 내역서 0612023" xfId="737" xr:uid="{00000000-0005-0000-0000-0000E0020000}"/>
    <cellStyle name="1_total_쌍용수량0905_화명조경_백화점화장실인테리어_3차네고견적(061017-1)" xfId="738" xr:uid="{00000000-0005-0000-0000-0000E1020000}"/>
    <cellStyle name="1_total_은파수량집계" xfId="739" xr:uid="{00000000-0005-0000-0000-0000E2020000}"/>
    <cellStyle name="1_total_은파수량집계_1차 기성 내역서 0612023" xfId="740" xr:uid="{00000000-0005-0000-0000-0000E3020000}"/>
    <cellStyle name="1_total_은파수량집계_3차네고견적(061017-1)" xfId="741" xr:uid="{00000000-0005-0000-0000-0000E4020000}"/>
    <cellStyle name="1_total_은파수량집계_백화점화장실인테리어" xfId="742" xr:uid="{00000000-0005-0000-0000-0000E5020000}"/>
    <cellStyle name="1_total_은파수량집계_백화점화장실인테리어_1차 기성 내역서 0612023" xfId="743" xr:uid="{00000000-0005-0000-0000-0000E6020000}"/>
    <cellStyle name="1_total_은파수량집계_백화점화장실인테리어_3차네고견적(061017-1)" xfId="744" xr:uid="{00000000-0005-0000-0000-0000E7020000}"/>
    <cellStyle name="1_total_은파수량집계_설계내역서" xfId="745" xr:uid="{00000000-0005-0000-0000-0000E8020000}"/>
    <cellStyle name="1_total_은파수량집계_설계내역서_1차 기성 내역서 0612023" xfId="746" xr:uid="{00000000-0005-0000-0000-0000E9020000}"/>
    <cellStyle name="1_total_은파수량집계_설계내역서_3차네고견적(061017-1)" xfId="747" xr:uid="{00000000-0005-0000-0000-0000EA020000}"/>
    <cellStyle name="1_total_은파수량집계_설계내역서_백화점화장실인테리어" xfId="748" xr:uid="{00000000-0005-0000-0000-0000EB020000}"/>
    <cellStyle name="1_total_은파수량집계_설계내역서_백화점화장실인테리어_1차 기성 내역서 0612023" xfId="749" xr:uid="{00000000-0005-0000-0000-0000EC020000}"/>
    <cellStyle name="1_total_은파수량집계_설계내역서_백화점화장실인테리어_3차네고견적(061017-1)" xfId="750" xr:uid="{00000000-0005-0000-0000-0000ED020000}"/>
    <cellStyle name="1_total_은파수량집계_설계내역서_화명조경" xfId="751" xr:uid="{00000000-0005-0000-0000-0000EE020000}"/>
    <cellStyle name="1_total_은파수량집계_설계내역서_화명조경_1차 기성 내역서 0612023" xfId="752" xr:uid="{00000000-0005-0000-0000-0000EF020000}"/>
    <cellStyle name="1_total_은파수량집계_설계내역서_화명조경_3차네고견적(061017-1)" xfId="753" xr:uid="{00000000-0005-0000-0000-0000F0020000}"/>
    <cellStyle name="1_total_은파수량집계_설계내역서_화명조경_백화점화장실인테리어" xfId="754" xr:uid="{00000000-0005-0000-0000-0000F1020000}"/>
    <cellStyle name="1_total_은파수량집계_설계내역서_화명조경_백화점화장실인테리어_1차 기성 내역서 0612023" xfId="755" xr:uid="{00000000-0005-0000-0000-0000F2020000}"/>
    <cellStyle name="1_total_은파수량집계_설계내역서_화명조경_백화점화장실인테리어_3차네고견적(061017-1)" xfId="756" xr:uid="{00000000-0005-0000-0000-0000F3020000}"/>
    <cellStyle name="1_total_은파수량집계_설계내역서1월7일" xfId="757" xr:uid="{00000000-0005-0000-0000-0000F4020000}"/>
    <cellStyle name="1_total_은파수량집계_설계내역서1월7일_1차 기성 내역서 0612023" xfId="758" xr:uid="{00000000-0005-0000-0000-0000F5020000}"/>
    <cellStyle name="1_total_은파수량집계_설계내역서1월7일_3차네고견적(061017-1)" xfId="759" xr:uid="{00000000-0005-0000-0000-0000F6020000}"/>
    <cellStyle name="1_total_은파수량집계_설계내역서1월7일_백화점화장실인테리어" xfId="760" xr:uid="{00000000-0005-0000-0000-0000F7020000}"/>
    <cellStyle name="1_total_은파수량집계_설계내역서1월7일_백화점화장실인테리어_1차 기성 내역서 0612023" xfId="761" xr:uid="{00000000-0005-0000-0000-0000F8020000}"/>
    <cellStyle name="1_total_은파수량집계_설계내역서1월7일_백화점화장실인테리어_3차네고견적(061017-1)" xfId="762" xr:uid="{00000000-0005-0000-0000-0000F9020000}"/>
    <cellStyle name="1_total_은파수량집계_설계내역서1월7일_화명조경" xfId="763" xr:uid="{00000000-0005-0000-0000-0000FA020000}"/>
    <cellStyle name="1_total_은파수량집계_설계내역서1월7일_화명조경_1차 기성 내역서 0612023" xfId="764" xr:uid="{00000000-0005-0000-0000-0000FB020000}"/>
    <cellStyle name="1_total_은파수량집계_설계내역서1월7일_화명조경_3차네고견적(061017-1)" xfId="765" xr:uid="{00000000-0005-0000-0000-0000FC020000}"/>
    <cellStyle name="1_total_은파수량집계_설계내역서1월7일_화명조경_백화점화장실인테리어" xfId="766" xr:uid="{00000000-0005-0000-0000-0000FD020000}"/>
    <cellStyle name="1_total_은파수량집계_설계내역서1월7일_화명조경_백화점화장실인테리어_1차 기성 내역서 0612023" xfId="767" xr:uid="{00000000-0005-0000-0000-0000FE020000}"/>
    <cellStyle name="1_total_은파수량집계_설계내역서1월7일_화명조경_백화점화장실인테리어_3차네고견적(061017-1)" xfId="768" xr:uid="{00000000-0005-0000-0000-0000FF020000}"/>
    <cellStyle name="1_total_은파수량집계_화명조경" xfId="769" xr:uid="{00000000-0005-0000-0000-000000030000}"/>
    <cellStyle name="1_total_은파수량집계_화명조경_1차 기성 내역서 0612023" xfId="770" xr:uid="{00000000-0005-0000-0000-000001030000}"/>
    <cellStyle name="1_total_은파수량집계_화명조경_3차네고견적(061017-1)" xfId="771" xr:uid="{00000000-0005-0000-0000-000002030000}"/>
    <cellStyle name="1_total_은파수량집계_화명조경_백화점화장실인테리어" xfId="772" xr:uid="{00000000-0005-0000-0000-000003030000}"/>
    <cellStyle name="1_total_은파수량집계_화명조경_백화점화장실인테리어_1차 기성 내역서 0612023" xfId="773" xr:uid="{00000000-0005-0000-0000-000004030000}"/>
    <cellStyle name="1_total_은파수량집계_화명조경_백화점화장실인테리어_3차네고견적(061017-1)" xfId="774" xr:uid="{00000000-0005-0000-0000-000005030000}"/>
    <cellStyle name="1_total_터미널1-0" xfId="775" xr:uid="{00000000-0005-0000-0000-000006030000}"/>
    <cellStyle name="1_total_터미널1-0_1차 기성 내역서 0612023" xfId="776" xr:uid="{00000000-0005-0000-0000-000007030000}"/>
    <cellStyle name="1_total_터미널1-0_3차네고견적(061017-1)" xfId="777" xr:uid="{00000000-0005-0000-0000-000008030000}"/>
    <cellStyle name="1_total_터미널1-0_백화점화장실인테리어" xfId="778" xr:uid="{00000000-0005-0000-0000-000009030000}"/>
    <cellStyle name="1_total_터미널1-0_백화점화장실인테리어_1차 기성 내역서 0612023" xfId="779" xr:uid="{00000000-0005-0000-0000-00000A030000}"/>
    <cellStyle name="1_total_터미널1-0_백화점화장실인테리어_3차네고견적(061017-1)" xfId="780" xr:uid="{00000000-0005-0000-0000-00000B030000}"/>
    <cellStyle name="1_total_터미널1-0_화명조경" xfId="781" xr:uid="{00000000-0005-0000-0000-00000C030000}"/>
    <cellStyle name="1_total_터미널1-0_화명조경_1차 기성 내역서 0612023" xfId="782" xr:uid="{00000000-0005-0000-0000-00000D030000}"/>
    <cellStyle name="1_total_터미널1-0_화명조경_3차네고견적(061017-1)" xfId="783" xr:uid="{00000000-0005-0000-0000-00000E030000}"/>
    <cellStyle name="1_total_터미널1-0_화명조경_백화점화장실인테리어" xfId="784" xr:uid="{00000000-0005-0000-0000-00000F030000}"/>
    <cellStyle name="1_total_터미널1-0_화명조경_백화점화장실인테리어_1차 기성 내역서 0612023" xfId="785" xr:uid="{00000000-0005-0000-0000-000010030000}"/>
    <cellStyle name="1_total_터미널1-0_화명조경_백화점화장실인테리어_3차네고견적(061017-1)" xfId="786" xr:uid="{00000000-0005-0000-0000-000011030000}"/>
    <cellStyle name="1_total_화명조경" xfId="787" xr:uid="{00000000-0005-0000-0000-000012030000}"/>
    <cellStyle name="1_total_화명조경_1차 기성 내역서 0612023" xfId="788" xr:uid="{00000000-0005-0000-0000-000013030000}"/>
    <cellStyle name="1_total_화명조경_3차네고견적(061017-1)" xfId="789" xr:uid="{00000000-0005-0000-0000-000014030000}"/>
    <cellStyle name="1_total_화명조경_백화점화장실인테리어" xfId="790" xr:uid="{00000000-0005-0000-0000-000015030000}"/>
    <cellStyle name="1_total_화명조경_백화점화장실인테리어_1차 기성 내역서 0612023" xfId="791" xr:uid="{00000000-0005-0000-0000-000016030000}"/>
    <cellStyle name="1_total_화명조경_백화점화장실인테리어_3차네고견적(061017-1)" xfId="792" xr:uid="{00000000-0005-0000-0000-000017030000}"/>
    <cellStyle name="1_tree" xfId="793" xr:uid="{00000000-0005-0000-0000-000018030000}"/>
    <cellStyle name="1_tree_1차 기성 내역서 0612023" xfId="794" xr:uid="{00000000-0005-0000-0000-000019030000}"/>
    <cellStyle name="1_tree_3차네고견적(061017-1)" xfId="795" xr:uid="{00000000-0005-0000-0000-00001A030000}"/>
    <cellStyle name="1_tree_Sheet1" xfId="796" xr:uid="{00000000-0005-0000-0000-00001B030000}"/>
    <cellStyle name="1_tree_Sheet1_1차 기성 내역서 0612023" xfId="797" xr:uid="{00000000-0005-0000-0000-00001C030000}"/>
    <cellStyle name="1_tree_Sheet1_3차네고견적(061017-1)" xfId="798" xr:uid="{00000000-0005-0000-0000-00001D030000}"/>
    <cellStyle name="1_tree_갑지0601" xfId="799" xr:uid="{00000000-0005-0000-0000-00001E030000}"/>
    <cellStyle name="1_tree_갑지0601_00갑지" xfId="800" xr:uid="{00000000-0005-0000-0000-00001F030000}"/>
    <cellStyle name="1_tree_갑지0601_00갑지_1차 기성 내역서 0612023" xfId="801" xr:uid="{00000000-0005-0000-0000-000020030000}"/>
    <cellStyle name="1_tree_갑지0601_00갑지_3차네고견적(061017-1)" xfId="802" xr:uid="{00000000-0005-0000-0000-000021030000}"/>
    <cellStyle name="1_tree_갑지0601_00갑지_백화점화장실인테리어" xfId="803" xr:uid="{00000000-0005-0000-0000-000022030000}"/>
    <cellStyle name="1_tree_갑지0601_00갑지_백화점화장실인테리어_1차 기성 내역서 0612023" xfId="804" xr:uid="{00000000-0005-0000-0000-000023030000}"/>
    <cellStyle name="1_tree_갑지0601_00갑지_백화점화장실인테리어_3차네고견적(061017-1)" xfId="805" xr:uid="{00000000-0005-0000-0000-000024030000}"/>
    <cellStyle name="1_tree_갑지0601_00갑지_설계내역서" xfId="806" xr:uid="{00000000-0005-0000-0000-000025030000}"/>
    <cellStyle name="1_tree_갑지0601_00갑지_설계내역서_1차 기성 내역서 0612023" xfId="807" xr:uid="{00000000-0005-0000-0000-000026030000}"/>
    <cellStyle name="1_tree_갑지0601_00갑지_설계내역서_3차네고견적(061017-1)" xfId="808" xr:uid="{00000000-0005-0000-0000-000027030000}"/>
    <cellStyle name="1_tree_갑지0601_00갑지_설계내역서_백화점화장실인테리어" xfId="809" xr:uid="{00000000-0005-0000-0000-000028030000}"/>
    <cellStyle name="1_tree_갑지0601_00갑지_설계내역서_백화점화장실인테리어_1차 기성 내역서 0612023" xfId="810" xr:uid="{00000000-0005-0000-0000-000029030000}"/>
    <cellStyle name="1_tree_갑지0601_00갑지_설계내역서_백화점화장실인테리어_3차네고견적(061017-1)" xfId="811" xr:uid="{00000000-0005-0000-0000-00002A030000}"/>
    <cellStyle name="1_tree_갑지0601_00갑지_설계내역서_화명조경" xfId="812" xr:uid="{00000000-0005-0000-0000-00002B030000}"/>
    <cellStyle name="1_tree_갑지0601_00갑지_설계내역서_화명조경_1차 기성 내역서 0612023" xfId="813" xr:uid="{00000000-0005-0000-0000-00002C030000}"/>
    <cellStyle name="1_tree_갑지0601_00갑지_설계내역서_화명조경_3차네고견적(061017-1)" xfId="814" xr:uid="{00000000-0005-0000-0000-00002D030000}"/>
    <cellStyle name="1_tree_갑지0601_00갑지_설계내역서_화명조경_백화점화장실인테리어" xfId="815" xr:uid="{00000000-0005-0000-0000-00002E030000}"/>
    <cellStyle name="1_tree_갑지0601_00갑지_설계내역서_화명조경_백화점화장실인테리어_1차 기성 내역서 0612023" xfId="816" xr:uid="{00000000-0005-0000-0000-00002F030000}"/>
    <cellStyle name="1_tree_갑지0601_00갑지_설계내역서_화명조경_백화점화장실인테리어_3차네고견적(061017-1)" xfId="817" xr:uid="{00000000-0005-0000-0000-000030030000}"/>
    <cellStyle name="1_tree_갑지0601_00갑지_설계내역서1월7일" xfId="818" xr:uid="{00000000-0005-0000-0000-000031030000}"/>
    <cellStyle name="1_tree_갑지0601_00갑지_설계내역서1월7일_1차 기성 내역서 0612023" xfId="819" xr:uid="{00000000-0005-0000-0000-000032030000}"/>
    <cellStyle name="1_tree_갑지0601_00갑지_설계내역서1월7일_3차네고견적(061017-1)" xfId="820" xr:uid="{00000000-0005-0000-0000-000033030000}"/>
    <cellStyle name="1_tree_갑지0601_00갑지_설계내역서1월7일_백화점화장실인테리어" xfId="821" xr:uid="{00000000-0005-0000-0000-000034030000}"/>
    <cellStyle name="1_tree_갑지0601_00갑지_설계내역서1월7일_백화점화장실인테리어_1차 기성 내역서 0612023" xfId="822" xr:uid="{00000000-0005-0000-0000-000035030000}"/>
    <cellStyle name="1_tree_갑지0601_00갑지_설계내역서1월7일_백화점화장실인테리어_3차네고견적(061017-1)" xfId="823" xr:uid="{00000000-0005-0000-0000-000036030000}"/>
    <cellStyle name="1_tree_갑지0601_00갑지_설계내역서1월7일_화명조경" xfId="824" xr:uid="{00000000-0005-0000-0000-000037030000}"/>
    <cellStyle name="1_tree_갑지0601_00갑지_설계내역서1월7일_화명조경_1차 기성 내역서 0612023" xfId="825" xr:uid="{00000000-0005-0000-0000-000038030000}"/>
    <cellStyle name="1_tree_갑지0601_00갑지_설계내역서1월7일_화명조경_3차네고견적(061017-1)" xfId="826" xr:uid="{00000000-0005-0000-0000-000039030000}"/>
    <cellStyle name="1_tree_갑지0601_00갑지_설계내역서1월7일_화명조경_백화점화장실인테리어" xfId="827" xr:uid="{00000000-0005-0000-0000-00003A030000}"/>
    <cellStyle name="1_tree_갑지0601_00갑지_설계내역서1월7일_화명조경_백화점화장실인테리어_1차 기성 내역서 0612023" xfId="828" xr:uid="{00000000-0005-0000-0000-00003B030000}"/>
    <cellStyle name="1_tree_갑지0601_00갑지_설계내역서1월7일_화명조경_백화점화장실인테리어_3차네고견적(061017-1)" xfId="829" xr:uid="{00000000-0005-0000-0000-00003C030000}"/>
    <cellStyle name="1_tree_갑지0601_00갑지_화명조경" xfId="830" xr:uid="{00000000-0005-0000-0000-00003D030000}"/>
    <cellStyle name="1_tree_갑지0601_00갑지_화명조경_1차 기성 내역서 0612023" xfId="831" xr:uid="{00000000-0005-0000-0000-00003E030000}"/>
    <cellStyle name="1_tree_갑지0601_00갑지_화명조경_3차네고견적(061017-1)" xfId="832" xr:uid="{00000000-0005-0000-0000-00003F030000}"/>
    <cellStyle name="1_tree_갑지0601_00갑지_화명조경_백화점화장실인테리어" xfId="833" xr:uid="{00000000-0005-0000-0000-000040030000}"/>
    <cellStyle name="1_tree_갑지0601_00갑지_화명조경_백화점화장실인테리어_1차 기성 내역서 0612023" xfId="834" xr:uid="{00000000-0005-0000-0000-000041030000}"/>
    <cellStyle name="1_tree_갑지0601_00갑지_화명조경_백화점화장실인테리어_3차네고견적(061017-1)" xfId="835" xr:uid="{00000000-0005-0000-0000-000042030000}"/>
    <cellStyle name="1_tree_갑지0601_1차 기성 내역서 0612023" xfId="836" xr:uid="{00000000-0005-0000-0000-000043030000}"/>
    <cellStyle name="1_tree_갑지0601_3차네고견적(061017-1)" xfId="837" xr:uid="{00000000-0005-0000-0000-000044030000}"/>
    <cellStyle name="1_tree_갑지0601_과천놀이터설계서" xfId="838" xr:uid="{00000000-0005-0000-0000-000045030000}"/>
    <cellStyle name="1_tree_갑지0601_과천놀이터설계서_1차 기성 내역서 0612023" xfId="839" xr:uid="{00000000-0005-0000-0000-000046030000}"/>
    <cellStyle name="1_tree_갑지0601_과천놀이터설계서_3차네고견적(061017-1)" xfId="840" xr:uid="{00000000-0005-0000-0000-000047030000}"/>
    <cellStyle name="1_tree_갑지0601_과천놀이터설계서_백화점화장실인테리어" xfId="841" xr:uid="{00000000-0005-0000-0000-000048030000}"/>
    <cellStyle name="1_tree_갑지0601_과천놀이터설계서_백화점화장실인테리어_1차 기성 내역서 0612023" xfId="842" xr:uid="{00000000-0005-0000-0000-000049030000}"/>
    <cellStyle name="1_tree_갑지0601_과천놀이터설계서_백화점화장실인테리어_3차네고견적(061017-1)" xfId="843" xr:uid="{00000000-0005-0000-0000-00004A030000}"/>
    <cellStyle name="1_tree_갑지0601_과천놀이터설계서_설계내역서" xfId="844" xr:uid="{00000000-0005-0000-0000-00004B030000}"/>
    <cellStyle name="1_tree_갑지0601_과천놀이터설계서_설계내역서_1차 기성 내역서 0612023" xfId="845" xr:uid="{00000000-0005-0000-0000-00004C030000}"/>
    <cellStyle name="1_tree_갑지0601_과천놀이터설계서_설계내역서_3차네고견적(061017-1)" xfId="846" xr:uid="{00000000-0005-0000-0000-00004D030000}"/>
    <cellStyle name="1_tree_갑지0601_과천놀이터설계서_설계내역서_백화점화장실인테리어" xfId="847" xr:uid="{00000000-0005-0000-0000-00004E030000}"/>
    <cellStyle name="1_tree_갑지0601_과천놀이터설계서_설계내역서_백화점화장실인테리어_1차 기성 내역서 0612023" xfId="848" xr:uid="{00000000-0005-0000-0000-00004F030000}"/>
    <cellStyle name="1_tree_갑지0601_과천놀이터설계서_설계내역서_백화점화장실인테리어_3차네고견적(061017-1)" xfId="849" xr:uid="{00000000-0005-0000-0000-000050030000}"/>
    <cellStyle name="1_tree_갑지0601_과천놀이터설계서_설계내역서_화명조경" xfId="850" xr:uid="{00000000-0005-0000-0000-000051030000}"/>
    <cellStyle name="1_tree_갑지0601_과천놀이터설계서_설계내역서_화명조경_1차 기성 내역서 0612023" xfId="851" xr:uid="{00000000-0005-0000-0000-000052030000}"/>
    <cellStyle name="1_tree_갑지0601_과천놀이터설계서_설계내역서_화명조경_3차네고견적(061017-1)" xfId="852" xr:uid="{00000000-0005-0000-0000-000053030000}"/>
    <cellStyle name="1_tree_갑지0601_과천놀이터설계서_설계내역서_화명조경_백화점화장실인테리어" xfId="853" xr:uid="{00000000-0005-0000-0000-000054030000}"/>
    <cellStyle name="1_tree_갑지0601_과천놀이터설계서_설계내역서_화명조경_백화점화장실인테리어_1차 기성 내역서 0612023" xfId="854" xr:uid="{00000000-0005-0000-0000-000055030000}"/>
    <cellStyle name="1_tree_갑지0601_과천놀이터설계서_설계내역서_화명조경_백화점화장실인테리어_3차네고견적(061017-1)" xfId="855" xr:uid="{00000000-0005-0000-0000-000056030000}"/>
    <cellStyle name="1_tree_갑지0601_과천놀이터설계서_설계내역서1월7일" xfId="856" xr:uid="{00000000-0005-0000-0000-000057030000}"/>
    <cellStyle name="1_tree_갑지0601_과천놀이터설계서_설계내역서1월7일_1차 기성 내역서 0612023" xfId="857" xr:uid="{00000000-0005-0000-0000-000058030000}"/>
    <cellStyle name="1_tree_갑지0601_과천놀이터설계서_설계내역서1월7일_3차네고견적(061017-1)" xfId="858" xr:uid="{00000000-0005-0000-0000-000059030000}"/>
    <cellStyle name="1_tree_갑지0601_과천놀이터설계서_설계내역서1월7일_백화점화장실인테리어" xfId="859" xr:uid="{00000000-0005-0000-0000-00005A030000}"/>
    <cellStyle name="1_tree_갑지0601_과천놀이터설계서_설계내역서1월7일_백화점화장실인테리어_1차 기성 내역서 0612023" xfId="860" xr:uid="{00000000-0005-0000-0000-00005B030000}"/>
    <cellStyle name="1_tree_갑지0601_과천놀이터설계서_설계내역서1월7일_백화점화장실인테리어_3차네고견적(061017-1)" xfId="861" xr:uid="{00000000-0005-0000-0000-00005C030000}"/>
    <cellStyle name="1_tree_갑지0601_과천놀이터설계서_설계내역서1월7일_화명조경" xfId="862" xr:uid="{00000000-0005-0000-0000-00005D030000}"/>
    <cellStyle name="1_tree_갑지0601_과천놀이터설계서_설계내역서1월7일_화명조경_1차 기성 내역서 0612023" xfId="863" xr:uid="{00000000-0005-0000-0000-00005E030000}"/>
    <cellStyle name="1_tree_갑지0601_과천놀이터설계서_설계내역서1월7일_화명조경_3차네고견적(061017-1)" xfId="864" xr:uid="{00000000-0005-0000-0000-00005F030000}"/>
    <cellStyle name="1_tree_갑지0601_과천놀이터설계서_설계내역서1월7일_화명조경_백화점화장실인테리어" xfId="865" xr:uid="{00000000-0005-0000-0000-000060030000}"/>
    <cellStyle name="1_tree_갑지0601_과천놀이터설계서_설계내역서1월7일_화명조경_백화점화장실인테리어_1차 기성 내역서 0612023" xfId="866" xr:uid="{00000000-0005-0000-0000-000061030000}"/>
    <cellStyle name="1_tree_갑지0601_과천놀이터설계서_설계내역서1월7일_화명조경_백화점화장실인테리어_3차네고견적(061017-1)" xfId="867" xr:uid="{00000000-0005-0000-0000-000062030000}"/>
    <cellStyle name="1_tree_갑지0601_과천놀이터설계서_화명조경" xfId="868" xr:uid="{00000000-0005-0000-0000-000063030000}"/>
    <cellStyle name="1_tree_갑지0601_과천놀이터설계서_화명조경_1차 기성 내역서 0612023" xfId="869" xr:uid="{00000000-0005-0000-0000-000064030000}"/>
    <cellStyle name="1_tree_갑지0601_과천놀이터설계서_화명조경_3차네고견적(061017-1)" xfId="870" xr:uid="{00000000-0005-0000-0000-000065030000}"/>
    <cellStyle name="1_tree_갑지0601_과천놀이터설계서_화명조경_백화점화장실인테리어" xfId="871" xr:uid="{00000000-0005-0000-0000-000066030000}"/>
    <cellStyle name="1_tree_갑지0601_과천놀이터설계서_화명조경_백화점화장실인테리어_1차 기성 내역서 0612023" xfId="872" xr:uid="{00000000-0005-0000-0000-000067030000}"/>
    <cellStyle name="1_tree_갑지0601_과천놀이터설계서_화명조경_백화점화장실인테리어_3차네고견적(061017-1)" xfId="873" xr:uid="{00000000-0005-0000-0000-000068030000}"/>
    <cellStyle name="1_tree_갑지0601_백화점화장실인테리어" xfId="874" xr:uid="{00000000-0005-0000-0000-000069030000}"/>
    <cellStyle name="1_tree_갑지0601_백화점화장실인테리어_1차 기성 내역서 0612023" xfId="875" xr:uid="{00000000-0005-0000-0000-00006A030000}"/>
    <cellStyle name="1_tree_갑지0601_백화점화장실인테리어_3차네고견적(061017-1)" xfId="876" xr:uid="{00000000-0005-0000-0000-00006B030000}"/>
    <cellStyle name="1_tree_갑지0601_총괄갑지" xfId="877" xr:uid="{00000000-0005-0000-0000-00006C030000}"/>
    <cellStyle name="1_tree_갑지0601_총괄갑지_1차 기성 내역서 0612023" xfId="878" xr:uid="{00000000-0005-0000-0000-00006D030000}"/>
    <cellStyle name="1_tree_갑지0601_총괄갑지_3차네고견적(061017-1)" xfId="879" xr:uid="{00000000-0005-0000-0000-00006E030000}"/>
    <cellStyle name="1_tree_갑지0601_총괄갑지_백화점화장실인테리어" xfId="880" xr:uid="{00000000-0005-0000-0000-00006F030000}"/>
    <cellStyle name="1_tree_갑지0601_총괄갑지_백화점화장실인테리어_1차 기성 내역서 0612023" xfId="881" xr:uid="{00000000-0005-0000-0000-000070030000}"/>
    <cellStyle name="1_tree_갑지0601_총괄갑지_백화점화장실인테리어_3차네고견적(061017-1)" xfId="882" xr:uid="{00000000-0005-0000-0000-000071030000}"/>
    <cellStyle name="1_tree_갑지0601_총괄갑지_설계내역서" xfId="883" xr:uid="{00000000-0005-0000-0000-000072030000}"/>
    <cellStyle name="1_tree_갑지0601_총괄갑지_설계내역서_1차 기성 내역서 0612023" xfId="884" xr:uid="{00000000-0005-0000-0000-000073030000}"/>
    <cellStyle name="1_tree_갑지0601_총괄갑지_설계내역서_3차네고견적(061017-1)" xfId="885" xr:uid="{00000000-0005-0000-0000-000074030000}"/>
    <cellStyle name="1_tree_갑지0601_총괄갑지_설계내역서_백화점화장실인테리어" xfId="886" xr:uid="{00000000-0005-0000-0000-000075030000}"/>
    <cellStyle name="1_tree_갑지0601_총괄갑지_설계내역서_백화점화장실인테리어_1차 기성 내역서 0612023" xfId="887" xr:uid="{00000000-0005-0000-0000-000076030000}"/>
    <cellStyle name="1_tree_갑지0601_총괄갑지_설계내역서_백화점화장실인테리어_3차네고견적(061017-1)" xfId="888" xr:uid="{00000000-0005-0000-0000-000077030000}"/>
    <cellStyle name="1_tree_갑지0601_총괄갑지_설계내역서_화명조경" xfId="889" xr:uid="{00000000-0005-0000-0000-000078030000}"/>
    <cellStyle name="1_tree_갑지0601_총괄갑지_설계내역서_화명조경_1차 기성 내역서 0612023" xfId="890" xr:uid="{00000000-0005-0000-0000-000079030000}"/>
    <cellStyle name="1_tree_갑지0601_총괄갑지_설계내역서_화명조경_3차네고견적(061017-1)" xfId="891" xr:uid="{00000000-0005-0000-0000-00007A030000}"/>
    <cellStyle name="1_tree_갑지0601_총괄갑지_설계내역서_화명조경_백화점화장실인테리어" xfId="892" xr:uid="{00000000-0005-0000-0000-00007B030000}"/>
    <cellStyle name="1_tree_갑지0601_총괄갑지_설계내역서_화명조경_백화점화장실인테리어_1차 기성 내역서 0612023" xfId="893" xr:uid="{00000000-0005-0000-0000-00007C030000}"/>
    <cellStyle name="1_tree_갑지0601_총괄갑지_설계내역서_화명조경_백화점화장실인테리어_3차네고견적(061017-1)" xfId="894" xr:uid="{00000000-0005-0000-0000-00007D030000}"/>
    <cellStyle name="1_tree_갑지0601_총괄갑지_설계내역서1월7일" xfId="895" xr:uid="{00000000-0005-0000-0000-00007E030000}"/>
    <cellStyle name="1_tree_갑지0601_총괄갑지_설계내역서1월7일_1차 기성 내역서 0612023" xfId="896" xr:uid="{00000000-0005-0000-0000-00007F030000}"/>
    <cellStyle name="1_tree_갑지0601_총괄갑지_설계내역서1월7일_3차네고견적(061017-1)" xfId="897" xr:uid="{00000000-0005-0000-0000-000080030000}"/>
    <cellStyle name="1_tree_갑지0601_총괄갑지_설계내역서1월7일_백화점화장실인테리어" xfId="898" xr:uid="{00000000-0005-0000-0000-000081030000}"/>
    <cellStyle name="1_tree_갑지0601_총괄갑지_설계내역서1월7일_백화점화장실인테리어_1차 기성 내역서 0612023" xfId="899" xr:uid="{00000000-0005-0000-0000-000082030000}"/>
    <cellStyle name="1_tree_갑지0601_총괄갑지_설계내역서1월7일_백화점화장실인테리어_3차네고견적(061017-1)" xfId="900" xr:uid="{00000000-0005-0000-0000-000083030000}"/>
    <cellStyle name="1_tree_갑지0601_총괄갑지_설계내역서1월7일_화명조경" xfId="901" xr:uid="{00000000-0005-0000-0000-000084030000}"/>
    <cellStyle name="1_tree_갑지0601_총괄갑지_설계내역서1월7일_화명조경_1차 기성 내역서 0612023" xfId="902" xr:uid="{00000000-0005-0000-0000-000085030000}"/>
    <cellStyle name="1_tree_갑지0601_총괄갑지_설계내역서1월7일_화명조경_3차네고견적(061017-1)" xfId="903" xr:uid="{00000000-0005-0000-0000-000086030000}"/>
    <cellStyle name="1_tree_갑지0601_총괄갑지_설계내역서1월7일_화명조경_백화점화장실인테리어" xfId="904" xr:uid="{00000000-0005-0000-0000-000087030000}"/>
    <cellStyle name="1_tree_갑지0601_총괄갑지_설계내역서1월7일_화명조경_백화점화장실인테리어_1차 기성 내역서 0612023" xfId="905" xr:uid="{00000000-0005-0000-0000-000088030000}"/>
    <cellStyle name="1_tree_갑지0601_총괄갑지_설계내역서1월7일_화명조경_백화점화장실인테리어_3차네고견적(061017-1)" xfId="906" xr:uid="{00000000-0005-0000-0000-000089030000}"/>
    <cellStyle name="1_tree_갑지0601_총괄갑지_화명조경" xfId="907" xr:uid="{00000000-0005-0000-0000-00008A030000}"/>
    <cellStyle name="1_tree_갑지0601_총괄갑지_화명조경_1차 기성 내역서 0612023" xfId="908" xr:uid="{00000000-0005-0000-0000-00008B030000}"/>
    <cellStyle name="1_tree_갑지0601_총괄갑지_화명조경_3차네고견적(061017-1)" xfId="909" xr:uid="{00000000-0005-0000-0000-00008C030000}"/>
    <cellStyle name="1_tree_갑지0601_총괄갑지_화명조경_백화점화장실인테리어" xfId="910" xr:uid="{00000000-0005-0000-0000-00008D030000}"/>
    <cellStyle name="1_tree_갑지0601_총괄갑지_화명조경_백화점화장실인테리어_1차 기성 내역서 0612023" xfId="911" xr:uid="{00000000-0005-0000-0000-00008E030000}"/>
    <cellStyle name="1_tree_갑지0601_총괄갑지_화명조경_백화점화장실인테리어_3차네고견적(061017-1)" xfId="912" xr:uid="{00000000-0005-0000-0000-00008F030000}"/>
    <cellStyle name="1_tree_갑지0601_총괄내역서" xfId="913" xr:uid="{00000000-0005-0000-0000-000090030000}"/>
    <cellStyle name="1_tree_갑지0601_총괄내역서_1차 기성 내역서 0612023" xfId="914" xr:uid="{00000000-0005-0000-0000-000091030000}"/>
    <cellStyle name="1_tree_갑지0601_총괄내역서_3차네고견적(061017-1)" xfId="915" xr:uid="{00000000-0005-0000-0000-000092030000}"/>
    <cellStyle name="1_tree_갑지0601_총괄내역서_백화점화장실인테리어" xfId="916" xr:uid="{00000000-0005-0000-0000-000093030000}"/>
    <cellStyle name="1_tree_갑지0601_총괄내역서_백화점화장실인테리어_1차 기성 내역서 0612023" xfId="917" xr:uid="{00000000-0005-0000-0000-000094030000}"/>
    <cellStyle name="1_tree_갑지0601_총괄내역서_백화점화장실인테리어_3차네고견적(061017-1)" xfId="918" xr:uid="{00000000-0005-0000-0000-000095030000}"/>
    <cellStyle name="1_tree_갑지0601_총괄내역서_설계내역서" xfId="919" xr:uid="{00000000-0005-0000-0000-000096030000}"/>
    <cellStyle name="1_tree_갑지0601_총괄내역서_설계내역서_1차 기성 내역서 0612023" xfId="920" xr:uid="{00000000-0005-0000-0000-000097030000}"/>
    <cellStyle name="1_tree_갑지0601_총괄내역서_설계내역서_3차네고견적(061017-1)" xfId="921" xr:uid="{00000000-0005-0000-0000-000098030000}"/>
    <cellStyle name="1_tree_갑지0601_총괄내역서_설계내역서_백화점화장실인테리어" xfId="922" xr:uid="{00000000-0005-0000-0000-000099030000}"/>
    <cellStyle name="1_tree_갑지0601_총괄내역서_설계내역서_백화점화장실인테리어_1차 기성 내역서 0612023" xfId="923" xr:uid="{00000000-0005-0000-0000-00009A030000}"/>
    <cellStyle name="1_tree_갑지0601_총괄내역서_설계내역서_백화점화장실인테리어_3차네고견적(061017-1)" xfId="924" xr:uid="{00000000-0005-0000-0000-00009B030000}"/>
    <cellStyle name="1_tree_갑지0601_총괄내역서_설계내역서_화명조경" xfId="925" xr:uid="{00000000-0005-0000-0000-00009C030000}"/>
    <cellStyle name="1_tree_갑지0601_총괄내역서_설계내역서_화명조경_1차 기성 내역서 0612023" xfId="926" xr:uid="{00000000-0005-0000-0000-00009D030000}"/>
    <cellStyle name="1_tree_갑지0601_총괄내역서_설계내역서_화명조경_3차네고견적(061017-1)" xfId="927" xr:uid="{00000000-0005-0000-0000-00009E030000}"/>
    <cellStyle name="1_tree_갑지0601_총괄내역서_설계내역서_화명조경_백화점화장실인테리어" xfId="928" xr:uid="{00000000-0005-0000-0000-00009F030000}"/>
    <cellStyle name="1_tree_갑지0601_총괄내역서_설계내역서_화명조경_백화점화장실인테리어_1차 기성 내역서 0612023" xfId="929" xr:uid="{00000000-0005-0000-0000-0000A0030000}"/>
    <cellStyle name="1_tree_갑지0601_총괄내역서_설계내역서_화명조경_백화점화장실인테리어_3차네고견적(061017-1)" xfId="930" xr:uid="{00000000-0005-0000-0000-0000A1030000}"/>
    <cellStyle name="1_tree_갑지0601_총괄내역서_설계내역서1월7일" xfId="931" xr:uid="{00000000-0005-0000-0000-0000A2030000}"/>
    <cellStyle name="1_tree_갑지0601_총괄내역서_설계내역서1월7일_1차 기성 내역서 0612023" xfId="932" xr:uid="{00000000-0005-0000-0000-0000A3030000}"/>
    <cellStyle name="1_tree_갑지0601_총괄내역서_설계내역서1월7일_3차네고견적(061017-1)" xfId="933" xr:uid="{00000000-0005-0000-0000-0000A4030000}"/>
    <cellStyle name="1_tree_갑지0601_총괄내역서_설계내역서1월7일_백화점화장실인테리어" xfId="934" xr:uid="{00000000-0005-0000-0000-0000A5030000}"/>
    <cellStyle name="1_tree_갑지0601_총괄내역서_설계내역서1월7일_백화점화장실인테리어_1차 기성 내역서 0612023" xfId="935" xr:uid="{00000000-0005-0000-0000-0000A6030000}"/>
    <cellStyle name="1_tree_갑지0601_총괄내역서_설계내역서1월7일_백화점화장실인테리어_3차네고견적(061017-1)" xfId="936" xr:uid="{00000000-0005-0000-0000-0000A7030000}"/>
    <cellStyle name="1_tree_갑지0601_총괄내역서_설계내역서1월7일_화명조경" xfId="937" xr:uid="{00000000-0005-0000-0000-0000A8030000}"/>
    <cellStyle name="1_tree_갑지0601_총괄내역서_설계내역서1월7일_화명조경_1차 기성 내역서 0612023" xfId="938" xr:uid="{00000000-0005-0000-0000-0000A9030000}"/>
    <cellStyle name="1_tree_갑지0601_총괄내역서_설계내역서1월7일_화명조경_3차네고견적(061017-1)" xfId="939" xr:uid="{00000000-0005-0000-0000-0000AA030000}"/>
    <cellStyle name="1_tree_갑지0601_총괄내역서_설계내역서1월7일_화명조경_백화점화장실인테리어" xfId="940" xr:uid="{00000000-0005-0000-0000-0000AB030000}"/>
    <cellStyle name="1_tree_갑지0601_총괄내역서_설계내역서1월7일_화명조경_백화점화장실인테리어_1차 기성 내역서 0612023" xfId="941" xr:uid="{00000000-0005-0000-0000-0000AC030000}"/>
    <cellStyle name="1_tree_갑지0601_총괄내역서_설계내역서1월7일_화명조경_백화점화장실인테리어_3차네고견적(061017-1)" xfId="942" xr:uid="{00000000-0005-0000-0000-0000AD030000}"/>
    <cellStyle name="1_tree_갑지0601_총괄내역서_화명조경" xfId="943" xr:uid="{00000000-0005-0000-0000-0000AE030000}"/>
    <cellStyle name="1_tree_갑지0601_총괄내역서_화명조경_1차 기성 내역서 0612023" xfId="944" xr:uid="{00000000-0005-0000-0000-0000AF030000}"/>
    <cellStyle name="1_tree_갑지0601_총괄내역서_화명조경_3차네고견적(061017-1)" xfId="945" xr:uid="{00000000-0005-0000-0000-0000B0030000}"/>
    <cellStyle name="1_tree_갑지0601_총괄내역서_화명조경_백화점화장실인테리어" xfId="946" xr:uid="{00000000-0005-0000-0000-0000B1030000}"/>
    <cellStyle name="1_tree_갑지0601_총괄내역서_화명조경_백화점화장실인테리어_1차 기성 내역서 0612023" xfId="947" xr:uid="{00000000-0005-0000-0000-0000B2030000}"/>
    <cellStyle name="1_tree_갑지0601_총괄내역서_화명조경_백화점화장실인테리어_3차네고견적(061017-1)" xfId="948" xr:uid="{00000000-0005-0000-0000-0000B3030000}"/>
    <cellStyle name="1_tree_갑지0601_화명조경" xfId="949" xr:uid="{00000000-0005-0000-0000-0000B4030000}"/>
    <cellStyle name="1_tree_갑지0601_화명조경_1차 기성 내역서 0612023" xfId="950" xr:uid="{00000000-0005-0000-0000-0000B5030000}"/>
    <cellStyle name="1_tree_갑지0601_화명조경_3차네고견적(061017-1)" xfId="951" xr:uid="{00000000-0005-0000-0000-0000B6030000}"/>
    <cellStyle name="1_tree_갑지0601_화명조경_백화점화장실인테리어" xfId="952" xr:uid="{00000000-0005-0000-0000-0000B7030000}"/>
    <cellStyle name="1_tree_갑지0601_화명조경_백화점화장실인테리어_1차 기성 내역서 0612023" xfId="953" xr:uid="{00000000-0005-0000-0000-0000B8030000}"/>
    <cellStyle name="1_tree_갑지0601_화명조경_백화점화장실인테리어_3차네고견적(061017-1)" xfId="954" xr:uid="{00000000-0005-0000-0000-0000B9030000}"/>
    <cellStyle name="1_tree_남해총괄표" xfId="955" xr:uid="{00000000-0005-0000-0000-0000BA030000}"/>
    <cellStyle name="1_tree_남해총괄표_1차 기성 내역서 0612023" xfId="956" xr:uid="{00000000-0005-0000-0000-0000BB030000}"/>
    <cellStyle name="1_tree_남해총괄표_3차네고견적(061017-1)" xfId="957" xr:uid="{00000000-0005-0000-0000-0000BC030000}"/>
    <cellStyle name="1_tree_남해총괄표_백화점화장실인테리어" xfId="958" xr:uid="{00000000-0005-0000-0000-0000BD030000}"/>
    <cellStyle name="1_tree_남해총괄표_백화점화장실인테리어_1차 기성 내역서 0612023" xfId="959" xr:uid="{00000000-0005-0000-0000-0000BE030000}"/>
    <cellStyle name="1_tree_남해총괄표_백화점화장실인테리어_3차네고견적(061017-1)" xfId="960" xr:uid="{00000000-0005-0000-0000-0000BF030000}"/>
    <cellStyle name="1_tree_남해총괄표_설계내역서" xfId="961" xr:uid="{00000000-0005-0000-0000-0000C0030000}"/>
    <cellStyle name="1_tree_남해총괄표_설계내역서_1차 기성 내역서 0612023" xfId="962" xr:uid="{00000000-0005-0000-0000-0000C1030000}"/>
    <cellStyle name="1_tree_남해총괄표_설계내역서_3차네고견적(061017-1)" xfId="963" xr:uid="{00000000-0005-0000-0000-0000C2030000}"/>
    <cellStyle name="1_tree_남해총괄표_설계내역서_백화점화장실인테리어" xfId="964" xr:uid="{00000000-0005-0000-0000-0000C3030000}"/>
    <cellStyle name="1_tree_남해총괄표_설계내역서_백화점화장실인테리어_1차 기성 내역서 0612023" xfId="965" xr:uid="{00000000-0005-0000-0000-0000C4030000}"/>
    <cellStyle name="1_tree_남해총괄표_설계내역서_백화점화장실인테리어_3차네고견적(061017-1)" xfId="966" xr:uid="{00000000-0005-0000-0000-0000C5030000}"/>
    <cellStyle name="1_tree_남해총괄표_설계내역서_화명조경" xfId="967" xr:uid="{00000000-0005-0000-0000-0000C6030000}"/>
    <cellStyle name="1_tree_남해총괄표_설계내역서_화명조경_1차 기성 내역서 0612023" xfId="968" xr:uid="{00000000-0005-0000-0000-0000C7030000}"/>
    <cellStyle name="1_tree_남해총괄표_설계내역서_화명조경_3차네고견적(061017-1)" xfId="969" xr:uid="{00000000-0005-0000-0000-0000C8030000}"/>
    <cellStyle name="1_tree_남해총괄표_설계내역서_화명조경_백화점화장실인테리어" xfId="970" xr:uid="{00000000-0005-0000-0000-0000C9030000}"/>
    <cellStyle name="1_tree_남해총괄표_설계내역서_화명조경_백화점화장실인테리어_1차 기성 내역서 0612023" xfId="971" xr:uid="{00000000-0005-0000-0000-0000CA030000}"/>
    <cellStyle name="1_tree_남해총괄표_설계내역서_화명조경_백화점화장실인테리어_3차네고견적(061017-1)" xfId="972" xr:uid="{00000000-0005-0000-0000-0000CB030000}"/>
    <cellStyle name="1_tree_남해총괄표_설계내역서1월7일" xfId="973" xr:uid="{00000000-0005-0000-0000-0000CC030000}"/>
    <cellStyle name="1_tree_남해총괄표_설계내역서1월7일_1차 기성 내역서 0612023" xfId="974" xr:uid="{00000000-0005-0000-0000-0000CD030000}"/>
    <cellStyle name="1_tree_남해총괄표_설계내역서1월7일_3차네고견적(061017-1)" xfId="975" xr:uid="{00000000-0005-0000-0000-0000CE030000}"/>
    <cellStyle name="1_tree_남해총괄표_설계내역서1월7일_백화점화장실인테리어" xfId="976" xr:uid="{00000000-0005-0000-0000-0000CF030000}"/>
    <cellStyle name="1_tree_남해총괄표_설계내역서1월7일_백화점화장실인테리어_1차 기성 내역서 0612023" xfId="977" xr:uid="{00000000-0005-0000-0000-0000D0030000}"/>
    <cellStyle name="1_tree_남해총괄표_설계내역서1월7일_백화점화장실인테리어_3차네고견적(061017-1)" xfId="978" xr:uid="{00000000-0005-0000-0000-0000D1030000}"/>
    <cellStyle name="1_tree_남해총괄표_설계내역서1월7일_화명조경" xfId="979" xr:uid="{00000000-0005-0000-0000-0000D2030000}"/>
    <cellStyle name="1_tree_남해총괄표_설계내역서1월7일_화명조경_1차 기성 내역서 0612023" xfId="980" xr:uid="{00000000-0005-0000-0000-0000D3030000}"/>
    <cellStyle name="1_tree_남해총괄표_설계내역서1월7일_화명조경_3차네고견적(061017-1)" xfId="981" xr:uid="{00000000-0005-0000-0000-0000D4030000}"/>
    <cellStyle name="1_tree_남해총괄표_설계내역서1월7일_화명조경_백화점화장실인테리어" xfId="982" xr:uid="{00000000-0005-0000-0000-0000D5030000}"/>
    <cellStyle name="1_tree_남해총괄표_설계내역서1월7일_화명조경_백화점화장실인테리어_1차 기성 내역서 0612023" xfId="983" xr:uid="{00000000-0005-0000-0000-0000D6030000}"/>
    <cellStyle name="1_tree_남해총괄표_설계내역서1월7일_화명조경_백화점화장실인테리어_3차네고견적(061017-1)" xfId="984" xr:uid="{00000000-0005-0000-0000-0000D7030000}"/>
    <cellStyle name="1_tree_남해총괄표_화명조경" xfId="985" xr:uid="{00000000-0005-0000-0000-0000D8030000}"/>
    <cellStyle name="1_tree_남해총괄표_화명조경_1차 기성 내역서 0612023" xfId="986" xr:uid="{00000000-0005-0000-0000-0000D9030000}"/>
    <cellStyle name="1_tree_남해총괄표_화명조경_3차네고견적(061017-1)" xfId="987" xr:uid="{00000000-0005-0000-0000-0000DA030000}"/>
    <cellStyle name="1_tree_남해총괄표_화명조경_백화점화장실인테리어" xfId="988" xr:uid="{00000000-0005-0000-0000-0000DB030000}"/>
    <cellStyle name="1_tree_남해총괄표_화명조경_백화점화장실인테리어_1차 기성 내역서 0612023" xfId="989" xr:uid="{00000000-0005-0000-0000-0000DC030000}"/>
    <cellStyle name="1_tree_남해총괄표_화명조경_백화점화장실인테리어_3차네고견적(061017-1)" xfId="990" xr:uid="{00000000-0005-0000-0000-0000DD030000}"/>
    <cellStyle name="1_tree_마운딩수량" xfId="991" xr:uid="{00000000-0005-0000-0000-0000DE030000}"/>
    <cellStyle name="1_tree_마운딩수량_1차 기성 내역서 0612023" xfId="992" xr:uid="{00000000-0005-0000-0000-0000DF030000}"/>
    <cellStyle name="1_tree_마운딩수량_3차네고견적(061017-1)" xfId="993" xr:uid="{00000000-0005-0000-0000-0000E0030000}"/>
    <cellStyle name="1_tree_마운딩수량_갑지0601" xfId="994" xr:uid="{00000000-0005-0000-0000-0000E1030000}"/>
    <cellStyle name="1_tree_마운딩수량_갑지0601_00갑지" xfId="995" xr:uid="{00000000-0005-0000-0000-0000E2030000}"/>
    <cellStyle name="1_tree_마운딩수량_갑지0601_00갑지_1차 기성 내역서 0612023" xfId="996" xr:uid="{00000000-0005-0000-0000-0000E3030000}"/>
    <cellStyle name="1_tree_마운딩수량_갑지0601_00갑지_3차네고견적(061017-1)" xfId="997" xr:uid="{00000000-0005-0000-0000-0000E4030000}"/>
    <cellStyle name="1_tree_마운딩수량_갑지0601_00갑지_백화점화장실인테리어" xfId="998" xr:uid="{00000000-0005-0000-0000-0000E5030000}"/>
    <cellStyle name="1_tree_마운딩수량_갑지0601_00갑지_백화점화장실인테리어_1차 기성 내역서 0612023" xfId="999" xr:uid="{00000000-0005-0000-0000-0000E6030000}"/>
    <cellStyle name="1_tree_마운딩수량_갑지0601_00갑지_백화점화장실인테리어_3차네고견적(061017-1)" xfId="1000" xr:uid="{00000000-0005-0000-0000-0000E7030000}"/>
    <cellStyle name="1_tree_마운딩수량_갑지0601_00갑지_설계내역서" xfId="1001" xr:uid="{00000000-0005-0000-0000-0000E8030000}"/>
    <cellStyle name="1_tree_마운딩수량_갑지0601_00갑지_설계내역서_1차 기성 내역서 0612023" xfId="1002" xr:uid="{00000000-0005-0000-0000-0000E9030000}"/>
    <cellStyle name="1_tree_마운딩수량_갑지0601_00갑지_설계내역서_3차네고견적(061017-1)" xfId="1003" xr:uid="{00000000-0005-0000-0000-0000EA030000}"/>
    <cellStyle name="1_tree_마운딩수량_갑지0601_00갑지_설계내역서_백화점화장실인테리어" xfId="1004" xr:uid="{00000000-0005-0000-0000-0000EB030000}"/>
    <cellStyle name="1_tree_마운딩수량_갑지0601_00갑지_설계내역서_백화점화장실인테리어_1차 기성 내역서 0612023" xfId="1005" xr:uid="{00000000-0005-0000-0000-0000EC030000}"/>
    <cellStyle name="1_tree_마운딩수량_갑지0601_00갑지_설계내역서_백화점화장실인테리어_3차네고견적(061017-1)" xfId="1006" xr:uid="{00000000-0005-0000-0000-0000ED030000}"/>
    <cellStyle name="1_tree_마운딩수량_갑지0601_00갑지_설계내역서_화명조경" xfId="1007" xr:uid="{00000000-0005-0000-0000-0000EE030000}"/>
    <cellStyle name="1_tree_마운딩수량_갑지0601_00갑지_설계내역서_화명조경_1차 기성 내역서 0612023" xfId="1008" xr:uid="{00000000-0005-0000-0000-0000EF030000}"/>
    <cellStyle name="1_tree_마운딩수량_갑지0601_00갑지_설계내역서_화명조경_3차네고견적(061017-1)" xfId="1009" xr:uid="{00000000-0005-0000-0000-0000F0030000}"/>
    <cellStyle name="1_tree_마운딩수량_갑지0601_00갑지_설계내역서_화명조경_백화점화장실인테리어" xfId="1010" xr:uid="{00000000-0005-0000-0000-0000F1030000}"/>
    <cellStyle name="1_tree_마운딩수량_갑지0601_00갑지_설계내역서_화명조경_백화점화장실인테리어_1차 기성 내역서 0612023" xfId="1011" xr:uid="{00000000-0005-0000-0000-0000F2030000}"/>
    <cellStyle name="1_tree_마운딩수량_갑지0601_00갑지_설계내역서_화명조경_백화점화장실인테리어_3차네고견적(061017-1)" xfId="1012" xr:uid="{00000000-0005-0000-0000-0000F3030000}"/>
    <cellStyle name="1_tree_마운딩수량_갑지0601_00갑지_설계내역서1월7일" xfId="1013" xr:uid="{00000000-0005-0000-0000-0000F4030000}"/>
    <cellStyle name="1_tree_마운딩수량_갑지0601_00갑지_설계내역서1월7일_1차 기성 내역서 0612023" xfId="1014" xr:uid="{00000000-0005-0000-0000-0000F5030000}"/>
    <cellStyle name="1_tree_마운딩수량_갑지0601_00갑지_설계내역서1월7일_3차네고견적(061017-1)" xfId="1015" xr:uid="{00000000-0005-0000-0000-0000F6030000}"/>
    <cellStyle name="1_tree_마운딩수량_갑지0601_00갑지_설계내역서1월7일_백화점화장실인테리어" xfId="1016" xr:uid="{00000000-0005-0000-0000-0000F7030000}"/>
    <cellStyle name="1_tree_마운딩수량_갑지0601_00갑지_설계내역서1월7일_백화점화장실인테리어_1차 기성 내역서 0612023" xfId="1017" xr:uid="{00000000-0005-0000-0000-0000F8030000}"/>
    <cellStyle name="1_tree_마운딩수량_갑지0601_00갑지_설계내역서1월7일_백화점화장실인테리어_3차네고견적(061017-1)" xfId="1018" xr:uid="{00000000-0005-0000-0000-0000F9030000}"/>
    <cellStyle name="1_tree_마운딩수량_갑지0601_00갑지_설계내역서1월7일_화명조경" xfId="1019" xr:uid="{00000000-0005-0000-0000-0000FA030000}"/>
    <cellStyle name="1_tree_마운딩수량_갑지0601_00갑지_설계내역서1월7일_화명조경_1차 기성 내역서 0612023" xfId="1020" xr:uid="{00000000-0005-0000-0000-0000FB030000}"/>
    <cellStyle name="1_tree_마운딩수량_갑지0601_00갑지_설계내역서1월7일_화명조경_3차네고견적(061017-1)" xfId="1021" xr:uid="{00000000-0005-0000-0000-0000FC030000}"/>
    <cellStyle name="1_tree_마운딩수량_갑지0601_00갑지_설계내역서1월7일_화명조경_백화점화장실인테리어" xfId="1022" xr:uid="{00000000-0005-0000-0000-0000FD030000}"/>
    <cellStyle name="1_tree_마운딩수량_갑지0601_00갑지_설계내역서1월7일_화명조경_백화점화장실인테리어_1차 기성 내역서 0612023" xfId="1023" xr:uid="{00000000-0005-0000-0000-0000FE030000}"/>
    <cellStyle name="1_tree_마운딩수량_갑지0601_00갑지_설계내역서1월7일_화명조경_백화점화장실인테리어_3차네고견적(061017-1)" xfId="1024" xr:uid="{00000000-0005-0000-0000-0000FF030000}"/>
    <cellStyle name="1_tree_마운딩수량_갑지0601_00갑지_화명조경" xfId="1025" xr:uid="{00000000-0005-0000-0000-000000040000}"/>
    <cellStyle name="1_tree_마운딩수량_갑지0601_00갑지_화명조경_1차 기성 내역서 0612023" xfId="1026" xr:uid="{00000000-0005-0000-0000-000001040000}"/>
    <cellStyle name="1_tree_마운딩수량_갑지0601_00갑지_화명조경_3차네고견적(061017-1)" xfId="1027" xr:uid="{00000000-0005-0000-0000-000002040000}"/>
    <cellStyle name="1_tree_마운딩수량_갑지0601_00갑지_화명조경_백화점화장실인테리어" xfId="1028" xr:uid="{00000000-0005-0000-0000-000003040000}"/>
    <cellStyle name="1_tree_마운딩수량_갑지0601_00갑지_화명조경_백화점화장실인테리어_1차 기성 내역서 0612023" xfId="1029" xr:uid="{00000000-0005-0000-0000-000004040000}"/>
    <cellStyle name="1_tree_마운딩수량_갑지0601_00갑지_화명조경_백화점화장실인테리어_3차네고견적(061017-1)" xfId="1030" xr:uid="{00000000-0005-0000-0000-000005040000}"/>
    <cellStyle name="1_tree_마운딩수량_갑지0601_1차 기성 내역서 0612023" xfId="1031" xr:uid="{00000000-0005-0000-0000-000006040000}"/>
    <cellStyle name="1_tree_마운딩수량_갑지0601_3차네고견적(061017-1)" xfId="1032" xr:uid="{00000000-0005-0000-0000-000007040000}"/>
    <cellStyle name="1_tree_마운딩수량_갑지0601_과천놀이터설계서" xfId="1033" xr:uid="{00000000-0005-0000-0000-000008040000}"/>
    <cellStyle name="1_tree_마운딩수량_갑지0601_과천놀이터설계서_1차 기성 내역서 0612023" xfId="1034" xr:uid="{00000000-0005-0000-0000-000009040000}"/>
    <cellStyle name="1_tree_마운딩수량_갑지0601_과천놀이터설계서_3차네고견적(061017-1)" xfId="1035" xr:uid="{00000000-0005-0000-0000-00000A040000}"/>
    <cellStyle name="1_tree_마운딩수량_갑지0601_과천놀이터설계서_백화점화장실인테리어" xfId="1036" xr:uid="{00000000-0005-0000-0000-00000B040000}"/>
    <cellStyle name="1_tree_마운딩수량_갑지0601_과천놀이터설계서_백화점화장실인테리어_1차 기성 내역서 0612023" xfId="1037" xr:uid="{00000000-0005-0000-0000-00000C040000}"/>
    <cellStyle name="1_tree_마운딩수량_갑지0601_과천놀이터설계서_백화점화장실인테리어_3차네고견적(061017-1)" xfId="1038" xr:uid="{00000000-0005-0000-0000-00000D040000}"/>
    <cellStyle name="1_tree_마운딩수량_갑지0601_과천놀이터설계서_설계내역서" xfId="1039" xr:uid="{00000000-0005-0000-0000-00000E040000}"/>
    <cellStyle name="1_tree_마운딩수량_갑지0601_과천놀이터설계서_설계내역서_1차 기성 내역서 0612023" xfId="1040" xr:uid="{00000000-0005-0000-0000-00000F040000}"/>
    <cellStyle name="1_tree_마운딩수량_갑지0601_과천놀이터설계서_설계내역서_3차네고견적(061017-1)" xfId="1041" xr:uid="{00000000-0005-0000-0000-000010040000}"/>
    <cellStyle name="1_tree_마운딩수량_갑지0601_과천놀이터설계서_설계내역서_백화점화장실인테리어" xfId="1042" xr:uid="{00000000-0005-0000-0000-000011040000}"/>
    <cellStyle name="1_tree_마운딩수량_갑지0601_과천놀이터설계서_설계내역서_백화점화장실인테리어_1차 기성 내역서 0612023" xfId="1043" xr:uid="{00000000-0005-0000-0000-000012040000}"/>
    <cellStyle name="1_tree_마운딩수량_갑지0601_과천놀이터설계서_설계내역서_백화점화장실인테리어_3차네고견적(061017-1)" xfId="1044" xr:uid="{00000000-0005-0000-0000-000013040000}"/>
    <cellStyle name="1_tree_마운딩수량_갑지0601_과천놀이터설계서_설계내역서_화명조경" xfId="1045" xr:uid="{00000000-0005-0000-0000-000014040000}"/>
    <cellStyle name="1_tree_마운딩수량_갑지0601_과천놀이터설계서_설계내역서_화명조경_1차 기성 내역서 0612023" xfId="1046" xr:uid="{00000000-0005-0000-0000-000015040000}"/>
    <cellStyle name="1_tree_마운딩수량_갑지0601_과천놀이터설계서_설계내역서_화명조경_3차네고견적(061017-1)" xfId="1047" xr:uid="{00000000-0005-0000-0000-000016040000}"/>
    <cellStyle name="1_tree_마운딩수량_갑지0601_과천놀이터설계서_설계내역서_화명조경_백화점화장실인테리어" xfId="1048" xr:uid="{00000000-0005-0000-0000-000017040000}"/>
    <cellStyle name="1_tree_마운딩수량_갑지0601_과천놀이터설계서_설계내역서_화명조경_백화점화장실인테리어_1차 기성 내역서 0612023" xfId="1049" xr:uid="{00000000-0005-0000-0000-000018040000}"/>
    <cellStyle name="1_tree_마운딩수량_갑지0601_과천놀이터설계서_설계내역서_화명조경_백화점화장실인테리어_3차네고견적(061017-1)" xfId="1050" xr:uid="{00000000-0005-0000-0000-000019040000}"/>
    <cellStyle name="1_tree_마운딩수량_갑지0601_과천놀이터설계서_설계내역서1월7일" xfId="1051" xr:uid="{00000000-0005-0000-0000-00001A040000}"/>
    <cellStyle name="1_tree_마운딩수량_갑지0601_과천놀이터설계서_설계내역서1월7일_1차 기성 내역서 0612023" xfId="1052" xr:uid="{00000000-0005-0000-0000-00001B040000}"/>
    <cellStyle name="1_tree_마운딩수량_갑지0601_과천놀이터설계서_설계내역서1월7일_3차네고견적(061017-1)" xfId="1053" xr:uid="{00000000-0005-0000-0000-00001C040000}"/>
    <cellStyle name="1_tree_마운딩수량_갑지0601_과천놀이터설계서_설계내역서1월7일_백화점화장실인테리어" xfId="1054" xr:uid="{00000000-0005-0000-0000-00001D040000}"/>
    <cellStyle name="1_tree_마운딩수량_갑지0601_과천놀이터설계서_설계내역서1월7일_백화점화장실인테리어_1차 기성 내역서 0612023" xfId="1055" xr:uid="{00000000-0005-0000-0000-00001E040000}"/>
    <cellStyle name="1_tree_마운딩수량_갑지0601_과천놀이터설계서_설계내역서1월7일_백화점화장실인테리어_3차네고견적(061017-1)" xfId="1056" xr:uid="{00000000-0005-0000-0000-00001F040000}"/>
    <cellStyle name="1_tree_마운딩수량_갑지0601_과천놀이터설계서_설계내역서1월7일_화명조경" xfId="1057" xr:uid="{00000000-0005-0000-0000-000020040000}"/>
    <cellStyle name="1_tree_마운딩수량_갑지0601_과천놀이터설계서_설계내역서1월7일_화명조경_1차 기성 내역서 0612023" xfId="1058" xr:uid="{00000000-0005-0000-0000-000021040000}"/>
    <cellStyle name="1_tree_마운딩수량_갑지0601_과천놀이터설계서_설계내역서1월7일_화명조경_3차네고견적(061017-1)" xfId="1059" xr:uid="{00000000-0005-0000-0000-000022040000}"/>
    <cellStyle name="1_tree_마운딩수량_갑지0601_과천놀이터설계서_설계내역서1월7일_화명조경_백화점화장실인테리어" xfId="1060" xr:uid="{00000000-0005-0000-0000-000023040000}"/>
    <cellStyle name="1_tree_마운딩수량_갑지0601_과천놀이터설계서_설계내역서1월7일_화명조경_백화점화장실인테리어_1차 기성 내역서 0612023" xfId="1061" xr:uid="{00000000-0005-0000-0000-000024040000}"/>
    <cellStyle name="1_tree_마운딩수량_갑지0601_과천놀이터설계서_설계내역서1월7일_화명조경_백화점화장실인테리어_3차네고견적(061017-1)" xfId="1062" xr:uid="{00000000-0005-0000-0000-000025040000}"/>
    <cellStyle name="1_tree_마운딩수량_갑지0601_과천놀이터설계서_화명조경" xfId="1063" xr:uid="{00000000-0005-0000-0000-000026040000}"/>
    <cellStyle name="1_tree_마운딩수량_갑지0601_과천놀이터설계서_화명조경_1차 기성 내역서 0612023" xfId="1064" xr:uid="{00000000-0005-0000-0000-000027040000}"/>
    <cellStyle name="1_tree_마운딩수량_갑지0601_과천놀이터설계서_화명조경_3차네고견적(061017-1)" xfId="1065" xr:uid="{00000000-0005-0000-0000-000028040000}"/>
    <cellStyle name="1_tree_마운딩수량_갑지0601_과천놀이터설계서_화명조경_백화점화장실인테리어" xfId="1066" xr:uid="{00000000-0005-0000-0000-000029040000}"/>
    <cellStyle name="1_tree_마운딩수량_갑지0601_과천놀이터설계서_화명조경_백화점화장실인테리어_1차 기성 내역서 0612023" xfId="1067" xr:uid="{00000000-0005-0000-0000-00002A040000}"/>
    <cellStyle name="1_tree_마운딩수량_갑지0601_과천놀이터설계서_화명조경_백화점화장실인테리어_3차네고견적(061017-1)" xfId="1068" xr:uid="{00000000-0005-0000-0000-00002B040000}"/>
    <cellStyle name="1_tree_마운딩수량_갑지0601_백화점화장실인테리어" xfId="1069" xr:uid="{00000000-0005-0000-0000-00002C040000}"/>
    <cellStyle name="1_tree_마운딩수량_갑지0601_백화점화장실인테리어_1차 기성 내역서 0612023" xfId="1070" xr:uid="{00000000-0005-0000-0000-00002D040000}"/>
    <cellStyle name="1_tree_마운딩수량_갑지0601_백화점화장실인테리어_3차네고견적(061017-1)" xfId="1071" xr:uid="{00000000-0005-0000-0000-00002E040000}"/>
    <cellStyle name="1_tree_마운딩수량_갑지0601_총괄갑지" xfId="1072" xr:uid="{00000000-0005-0000-0000-00002F040000}"/>
    <cellStyle name="1_tree_마운딩수량_갑지0601_총괄갑지_1차 기성 내역서 0612023" xfId="1073" xr:uid="{00000000-0005-0000-0000-000030040000}"/>
    <cellStyle name="1_tree_마운딩수량_갑지0601_총괄갑지_3차네고견적(061017-1)" xfId="1074" xr:uid="{00000000-0005-0000-0000-000031040000}"/>
    <cellStyle name="1_tree_마운딩수량_갑지0601_총괄갑지_백화점화장실인테리어" xfId="1075" xr:uid="{00000000-0005-0000-0000-000032040000}"/>
    <cellStyle name="1_tree_마운딩수량_갑지0601_총괄갑지_백화점화장실인테리어_1차 기성 내역서 0612023" xfId="1076" xr:uid="{00000000-0005-0000-0000-000033040000}"/>
    <cellStyle name="1_tree_마운딩수량_갑지0601_총괄갑지_백화점화장실인테리어_3차네고견적(061017-1)" xfId="1077" xr:uid="{00000000-0005-0000-0000-000034040000}"/>
    <cellStyle name="1_tree_마운딩수량_갑지0601_총괄갑지_설계내역서" xfId="1078" xr:uid="{00000000-0005-0000-0000-000035040000}"/>
    <cellStyle name="1_tree_마운딩수량_갑지0601_총괄갑지_설계내역서_1차 기성 내역서 0612023" xfId="1079" xr:uid="{00000000-0005-0000-0000-000036040000}"/>
    <cellStyle name="1_tree_마운딩수량_갑지0601_총괄갑지_설계내역서_3차네고견적(061017-1)" xfId="1080" xr:uid="{00000000-0005-0000-0000-000037040000}"/>
    <cellStyle name="1_tree_마운딩수량_갑지0601_총괄갑지_설계내역서_백화점화장실인테리어" xfId="1081" xr:uid="{00000000-0005-0000-0000-000038040000}"/>
    <cellStyle name="1_tree_마운딩수량_갑지0601_총괄갑지_설계내역서_백화점화장실인테리어_1차 기성 내역서 0612023" xfId="1082" xr:uid="{00000000-0005-0000-0000-000039040000}"/>
    <cellStyle name="1_tree_마운딩수량_갑지0601_총괄갑지_설계내역서_백화점화장실인테리어_3차네고견적(061017-1)" xfId="1083" xr:uid="{00000000-0005-0000-0000-00003A040000}"/>
    <cellStyle name="1_tree_마운딩수량_갑지0601_총괄갑지_설계내역서_화명조경" xfId="1084" xr:uid="{00000000-0005-0000-0000-00003B040000}"/>
    <cellStyle name="1_tree_마운딩수량_갑지0601_총괄갑지_설계내역서_화명조경_1차 기성 내역서 0612023" xfId="1085" xr:uid="{00000000-0005-0000-0000-00003C040000}"/>
    <cellStyle name="1_tree_마운딩수량_갑지0601_총괄갑지_설계내역서_화명조경_3차네고견적(061017-1)" xfId="1086" xr:uid="{00000000-0005-0000-0000-00003D040000}"/>
    <cellStyle name="1_tree_마운딩수량_갑지0601_총괄갑지_설계내역서_화명조경_백화점화장실인테리어" xfId="1087" xr:uid="{00000000-0005-0000-0000-00003E040000}"/>
    <cellStyle name="1_tree_마운딩수량_갑지0601_총괄갑지_설계내역서_화명조경_백화점화장실인테리어_1차 기성 내역서 0612023" xfId="1088" xr:uid="{00000000-0005-0000-0000-00003F040000}"/>
    <cellStyle name="1_tree_마운딩수량_갑지0601_총괄갑지_설계내역서_화명조경_백화점화장실인테리어_3차네고견적(061017-1)" xfId="1089" xr:uid="{00000000-0005-0000-0000-000040040000}"/>
    <cellStyle name="1_tree_마운딩수량_갑지0601_총괄갑지_설계내역서1월7일" xfId="1090" xr:uid="{00000000-0005-0000-0000-000041040000}"/>
    <cellStyle name="1_tree_마운딩수량_갑지0601_총괄갑지_설계내역서1월7일_1차 기성 내역서 0612023" xfId="1091" xr:uid="{00000000-0005-0000-0000-000042040000}"/>
    <cellStyle name="1_tree_마운딩수량_갑지0601_총괄갑지_설계내역서1월7일_3차네고견적(061017-1)" xfId="1092" xr:uid="{00000000-0005-0000-0000-000043040000}"/>
    <cellStyle name="1_tree_마운딩수량_갑지0601_총괄갑지_설계내역서1월7일_백화점화장실인테리어" xfId="1093" xr:uid="{00000000-0005-0000-0000-000044040000}"/>
    <cellStyle name="1_tree_마운딩수량_갑지0601_총괄갑지_설계내역서1월7일_백화점화장실인테리어_1차 기성 내역서 0612023" xfId="1094" xr:uid="{00000000-0005-0000-0000-000045040000}"/>
    <cellStyle name="1_tree_마운딩수량_갑지0601_총괄갑지_설계내역서1월7일_백화점화장실인테리어_3차네고견적(061017-1)" xfId="1095" xr:uid="{00000000-0005-0000-0000-000046040000}"/>
    <cellStyle name="1_tree_마운딩수량_갑지0601_총괄갑지_설계내역서1월7일_화명조경" xfId="1096" xr:uid="{00000000-0005-0000-0000-000047040000}"/>
    <cellStyle name="1_tree_마운딩수량_갑지0601_총괄갑지_설계내역서1월7일_화명조경_1차 기성 내역서 0612023" xfId="1097" xr:uid="{00000000-0005-0000-0000-000048040000}"/>
    <cellStyle name="1_tree_마운딩수량_갑지0601_총괄갑지_설계내역서1월7일_화명조경_3차네고견적(061017-1)" xfId="1098" xr:uid="{00000000-0005-0000-0000-000049040000}"/>
    <cellStyle name="1_tree_마운딩수량_갑지0601_총괄갑지_설계내역서1월7일_화명조경_백화점화장실인테리어" xfId="1099" xr:uid="{00000000-0005-0000-0000-00004A040000}"/>
    <cellStyle name="1_tree_마운딩수량_갑지0601_총괄갑지_설계내역서1월7일_화명조경_백화점화장실인테리어_1차 기성 내역서 0612023" xfId="1100" xr:uid="{00000000-0005-0000-0000-00004B040000}"/>
    <cellStyle name="1_tree_마운딩수량_갑지0601_총괄갑지_설계내역서1월7일_화명조경_백화점화장실인테리어_3차네고견적(061017-1)" xfId="1101" xr:uid="{00000000-0005-0000-0000-00004C040000}"/>
    <cellStyle name="1_tree_마운딩수량_갑지0601_총괄갑지_화명조경" xfId="1102" xr:uid="{00000000-0005-0000-0000-00004D040000}"/>
    <cellStyle name="1_tree_마운딩수량_갑지0601_총괄갑지_화명조경_1차 기성 내역서 0612023" xfId="1103" xr:uid="{00000000-0005-0000-0000-00004E040000}"/>
    <cellStyle name="1_tree_마운딩수량_갑지0601_총괄갑지_화명조경_3차네고견적(061017-1)" xfId="1104" xr:uid="{00000000-0005-0000-0000-00004F040000}"/>
    <cellStyle name="1_tree_마운딩수량_갑지0601_총괄갑지_화명조경_백화점화장실인테리어" xfId="1105" xr:uid="{00000000-0005-0000-0000-000050040000}"/>
    <cellStyle name="1_tree_마운딩수량_갑지0601_총괄갑지_화명조경_백화점화장실인테리어_1차 기성 내역서 0612023" xfId="1106" xr:uid="{00000000-0005-0000-0000-000051040000}"/>
    <cellStyle name="1_tree_마운딩수량_갑지0601_총괄갑지_화명조경_백화점화장실인테리어_3차네고견적(061017-1)" xfId="1107" xr:uid="{00000000-0005-0000-0000-000052040000}"/>
    <cellStyle name="1_tree_마운딩수량_갑지0601_총괄내역서" xfId="1108" xr:uid="{00000000-0005-0000-0000-000053040000}"/>
    <cellStyle name="1_tree_마운딩수량_갑지0601_총괄내역서_1차 기성 내역서 0612023" xfId="1109" xr:uid="{00000000-0005-0000-0000-000054040000}"/>
    <cellStyle name="1_tree_마운딩수량_갑지0601_총괄내역서_3차네고견적(061017-1)" xfId="1110" xr:uid="{00000000-0005-0000-0000-000055040000}"/>
    <cellStyle name="1_tree_마운딩수량_갑지0601_총괄내역서_백화점화장실인테리어" xfId="1111" xr:uid="{00000000-0005-0000-0000-000056040000}"/>
    <cellStyle name="1_tree_마운딩수량_갑지0601_총괄내역서_백화점화장실인테리어_1차 기성 내역서 0612023" xfId="1112" xr:uid="{00000000-0005-0000-0000-000057040000}"/>
    <cellStyle name="1_tree_마운딩수량_갑지0601_총괄내역서_백화점화장실인테리어_3차네고견적(061017-1)" xfId="1113" xr:uid="{00000000-0005-0000-0000-000058040000}"/>
    <cellStyle name="1_tree_마운딩수량_갑지0601_총괄내역서_설계내역서" xfId="1114" xr:uid="{00000000-0005-0000-0000-000059040000}"/>
    <cellStyle name="1_tree_마운딩수량_갑지0601_총괄내역서_설계내역서_1차 기성 내역서 0612023" xfId="1115" xr:uid="{00000000-0005-0000-0000-00005A040000}"/>
    <cellStyle name="1_tree_마운딩수량_갑지0601_총괄내역서_설계내역서_3차네고견적(061017-1)" xfId="1116" xr:uid="{00000000-0005-0000-0000-00005B040000}"/>
    <cellStyle name="1_tree_마운딩수량_갑지0601_총괄내역서_설계내역서_백화점화장실인테리어" xfId="1117" xr:uid="{00000000-0005-0000-0000-00005C040000}"/>
    <cellStyle name="1_tree_마운딩수량_갑지0601_총괄내역서_설계내역서_백화점화장실인테리어_1차 기성 내역서 0612023" xfId="1118" xr:uid="{00000000-0005-0000-0000-00005D040000}"/>
    <cellStyle name="1_tree_마운딩수량_갑지0601_총괄내역서_설계내역서_백화점화장실인테리어_3차네고견적(061017-1)" xfId="1119" xr:uid="{00000000-0005-0000-0000-00005E040000}"/>
    <cellStyle name="1_tree_마운딩수량_갑지0601_총괄내역서_설계내역서_화명조경" xfId="1120" xr:uid="{00000000-0005-0000-0000-00005F040000}"/>
    <cellStyle name="1_tree_마운딩수량_갑지0601_총괄내역서_설계내역서_화명조경_1차 기성 내역서 0612023" xfId="1121" xr:uid="{00000000-0005-0000-0000-000060040000}"/>
    <cellStyle name="1_tree_마운딩수량_갑지0601_총괄내역서_설계내역서_화명조경_3차네고견적(061017-1)" xfId="1122" xr:uid="{00000000-0005-0000-0000-000061040000}"/>
    <cellStyle name="1_tree_마운딩수량_갑지0601_총괄내역서_설계내역서_화명조경_백화점화장실인테리어" xfId="1123" xr:uid="{00000000-0005-0000-0000-000062040000}"/>
    <cellStyle name="1_tree_마운딩수량_갑지0601_총괄내역서_설계내역서_화명조경_백화점화장실인테리어_1차 기성 내역서 0612023" xfId="1124" xr:uid="{00000000-0005-0000-0000-000063040000}"/>
    <cellStyle name="1_tree_마운딩수량_갑지0601_총괄내역서_설계내역서_화명조경_백화점화장실인테리어_3차네고견적(061017-1)" xfId="1125" xr:uid="{00000000-0005-0000-0000-000064040000}"/>
    <cellStyle name="1_tree_마운딩수량_갑지0601_총괄내역서_설계내역서1월7일" xfId="1126" xr:uid="{00000000-0005-0000-0000-000065040000}"/>
    <cellStyle name="1_tree_마운딩수량_갑지0601_총괄내역서_설계내역서1월7일_1차 기성 내역서 0612023" xfId="1127" xr:uid="{00000000-0005-0000-0000-000066040000}"/>
    <cellStyle name="1_tree_마운딩수량_갑지0601_총괄내역서_설계내역서1월7일_3차네고견적(061017-1)" xfId="1128" xr:uid="{00000000-0005-0000-0000-000067040000}"/>
    <cellStyle name="1_tree_마운딩수량_갑지0601_총괄내역서_설계내역서1월7일_백화점화장실인테리어" xfId="1129" xr:uid="{00000000-0005-0000-0000-000068040000}"/>
    <cellStyle name="1_tree_마운딩수량_갑지0601_총괄내역서_설계내역서1월7일_백화점화장실인테리어_1차 기성 내역서 0612023" xfId="1130" xr:uid="{00000000-0005-0000-0000-000069040000}"/>
    <cellStyle name="1_tree_마운딩수량_갑지0601_총괄내역서_설계내역서1월7일_백화점화장실인테리어_3차네고견적(061017-1)" xfId="1131" xr:uid="{00000000-0005-0000-0000-00006A040000}"/>
    <cellStyle name="1_tree_마운딩수량_갑지0601_총괄내역서_설계내역서1월7일_화명조경" xfId="1132" xr:uid="{00000000-0005-0000-0000-00006B040000}"/>
    <cellStyle name="1_tree_마운딩수량_갑지0601_총괄내역서_설계내역서1월7일_화명조경_1차 기성 내역서 0612023" xfId="1133" xr:uid="{00000000-0005-0000-0000-00006C040000}"/>
    <cellStyle name="1_tree_마운딩수량_갑지0601_총괄내역서_설계내역서1월7일_화명조경_3차네고견적(061017-1)" xfId="1134" xr:uid="{00000000-0005-0000-0000-00006D040000}"/>
    <cellStyle name="1_tree_마운딩수량_갑지0601_총괄내역서_설계내역서1월7일_화명조경_백화점화장실인테리어" xfId="1135" xr:uid="{00000000-0005-0000-0000-00006E040000}"/>
    <cellStyle name="1_tree_마운딩수량_갑지0601_총괄내역서_설계내역서1월7일_화명조경_백화점화장실인테리어_1차 기성 내역서 0612023" xfId="1136" xr:uid="{00000000-0005-0000-0000-00006F040000}"/>
    <cellStyle name="1_tree_마운딩수량_갑지0601_총괄내역서_설계내역서1월7일_화명조경_백화점화장실인테리어_3차네고견적(061017-1)" xfId="1137" xr:uid="{00000000-0005-0000-0000-000070040000}"/>
    <cellStyle name="1_tree_마운딩수량_갑지0601_총괄내역서_화명조경" xfId="1138" xr:uid="{00000000-0005-0000-0000-000071040000}"/>
    <cellStyle name="1_tree_마운딩수량_갑지0601_총괄내역서_화명조경_1차 기성 내역서 0612023" xfId="1139" xr:uid="{00000000-0005-0000-0000-000072040000}"/>
    <cellStyle name="1_tree_마운딩수량_갑지0601_총괄내역서_화명조경_3차네고견적(061017-1)" xfId="1140" xr:uid="{00000000-0005-0000-0000-000073040000}"/>
    <cellStyle name="1_tree_마운딩수량_갑지0601_총괄내역서_화명조경_백화점화장실인테리어" xfId="1141" xr:uid="{00000000-0005-0000-0000-000074040000}"/>
    <cellStyle name="1_tree_마운딩수량_갑지0601_총괄내역서_화명조경_백화점화장실인테리어_1차 기성 내역서 0612023" xfId="1142" xr:uid="{00000000-0005-0000-0000-000075040000}"/>
    <cellStyle name="1_tree_마운딩수량_갑지0601_총괄내역서_화명조경_백화점화장실인테리어_3차네고견적(061017-1)" xfId="1143" xr:uid="{00000000-0005-0000-0000-000076040000}"/>
    <cellStyle name="1_tree_마운딩수량_갑지0601_화명조경" xfId="1144" xr:uid="{00000000-0005-0000-0000-000077040000}"/>
    <cellStyle name="1_tree_마운딩수량_갑지0601_화명조경_1차 기성 내역서 0612023" xfId="1145" xr:uid="{00000000-0005-0000-0000-000078040000}"/>
    <cellStyle name="1_tree_마운딩수량_갑지0601_화명조경_3차네고견적(061017-1)" xfId="1146" xr:uid="{00000000-0005-0000-0000-000079040000}"/>
    <cellStyle name="1_tree_마운딩수량_갑지0601_화명조경_백화점화장실인테리어" xfId="1147" xr:uid="{00000000-0005-0000-0000-00007A040000}"/>
    <cellStyle name="1_tree_마운딩수량_갑지0601_화명조경_백화점화장실인테리어_1차 기성 내역서 0612023" xfId="1148" xr:uid="{00000000-0005-0000-0000-00007B040000}"/>
    <cellStyle name="1_tree_마운딩수량_갑지0601_화명조경_백화점화장실인테리어_3차네고견적(061017-1)" xfId="1149" xr:uid="{00000000-0005-0000-0000-00007C040000}"/>
    <cellStyle name="1_tree_마운딩수량_백화점화장실인테리어" xfId="1150" xr:uid="{00000000-0005-0000-0000-00007D040000}"/>
    <cellStyle name="1_tree_마운딩수량_백화점화장실인테리어_1차 기성 내역서 0612023" xfId="1151" xr:uid="{00000000-0005-0000-0000-00007E040000}"/>
    <cellStyle name="1_tree_마운딩수량_백화점화장실인테리어_3차네고견적(061017-1)" xfId="1152" xr:uid="{00000000-0005-0000-0000-00007F040000}"/>
    <cellStyle name="1_tree_마운딩수량_설계내역서" xfId="1153" xr:uid="{00000000-0005-0000-0000-000080040000}"/>
    <cellStyle name="1_tree_마운딩수량_설계내역서_1차 기성 내역서 0612023" xfId="1154" xr:uid="{00000000-0005-0000-0000-000081040000}"/>
    <cellStyle name="1_tree_마운딩수량_설계내역서_3차네고견적(061017-1)" xfId="1155" xr:uid="{00000000-0005-0000-0000-000082040000}"/>
    <cellStyle name="1_tree_마운딩수량_설계내역서_백화점화장실인테리어" xfId="1156" xr:uid="{00000000-0005-0000-0000-000083040000}"/>
    <cellStyle name="1_tree_마운딩수량_설계내역서_백화점화장실인테리어_1차 기성 내역서 0612023" xfId="1157" xr:uid="{00000000-0005-0000-0000-000084040000}"/>
    <cellStyle name="1_tree_마운딩수량_설계내역서_백화점화장실인테리어_3차네고견적(061017-1)" xfId="1158" xr:uid="{00000000-0005-0000-0000-000085040000}"/>
    <cellStyle name="1_tree_마운딩수량_설계내역서_화명조경" xfId="1159" xr:uid="{00000000-0005-0000-0000-000086040000}"/>
    <cellStyle name="1_tree_마운딩수량_설계내역서_화명조경_1차 기성 내역서 0612023" xfId="1160" xr:uid="{00000000-0005-0000-0000-000087040000}"/>
    <cellStyle name="1_tree_마운딩수량_설계내역서_화명조경_3차네고견적(061017-1)" xfId="1161" xr:uid="{00000000-0005-0000-0000-000088040000}"/>
    <cellStyle name="1_tree_마운딩수량_설계내역서_화명조경_백화점화장실인테리어" xfId="1162" xr:uid="{00000000-0005-0000-0000-000089040000}"/>
    <cellStyle name="1_tree_마운딩수량_설계내역서_화명조경_백화점화장실인테리어_1차 기성 내역서 0612023" xfId="1163" xr:uid="{00000000-0005-0000-0000-00008A040000}"/>
    <cellStyle name="1_tree_마운딩수량_설계내역서_화명조경_백화점화장실인테리어_3차네고견적(061017-1)" xfId="1164" xr:uid="{00000000-0005-0000-0000-00008B040000}"/>
    <cellStyle name="1_tree_마운딩수량_설계내역서1월7일" xfId="1165" xr:uid="{00000000-0005-0000-0000-00008C040000}"/>
    <cellStyle name="1_tree_마운딩수량_설계내역서1월7일_1차 기성 내역서 0612023" xfId="1166" xr:uid="{00000000-0005-0000-0000-00008D040000}"/>
    <cellStyle name="1_tree_마운딩수량_설계내역서1월7일_3차네고견적(061017-1)" xfId="1167" xr:uid="{00000000-0005-0000-0000-00008E040000}"/>
    <cellStyle name="1_tree_마운딩수량_설계내역서1월7일_백화점화장실인테리어" xfId="1168" xr:uid="{00000000-0005-0000-0000-00008F040000}"/>
    <cellStyle name="1_tree_마운딩수량_설계내역서1월7일_백화점화장실인테리어_1차 기성 내역서 0612023" xfId="1169" xr:uid="{00000000-0005-0000-0000-000090040000}"/>
    <cellStyle name="1_tree_마운딩수량_설계내역서1월7일_백화점화장실인테리어_3차네고견적(061017-1)" xfId="1170" xr:uid="{00000000-0005-0000-0000-000091040000}"/>
    <cellStyle name="1_tree_마운딩수량_설계내역서1월7일_화명조경" xfId="1171" xr:uid="{00000000-0005-0000-0000-000092040000}"/>
    <cellStyle name="1_tree_마운딩수량_설계내역서1월7일_화명조경_1차 기성 내역서 0612023" xfId="1172" xr:uid="{00000000-0005-0000-0000-000093040000}"/>
    <cellStyle name="1_tree_마운딩수량_설계내역서1월7일_화명조경_3차네고견적(061017-1)" xfId="1173" xr:uid="{00000000-0005-0000-0000-000094040000}"/>
    <cellStyle name="1_tree_마운딩수량_설계내역서1월7일_화명조경_백화점화장실인테리어" xfId="1174" xr:uid="{00000000-0005-0000-0000-000095040000}"/>
    <cellStyle name="1_tree_마운딩수량_설계내역서1월7일_화명조경_백화점화장실인테리어_1차 기성 내역서 0612023" xfId="1175" xr:uid="{00000000-0005-0000-0000-000096040000}"/>
    <cellStyle name="1_tree_마운딩수량_설계내역서1월7일_화명조경_백화점화장실인테리어_3차네고견적(061017-1)" xfId="1176" xr:uid="{00000000-0005-0000-0000-000097040000}"/>
    <cellStyle name="1_tree_마운딩수량_화명조경" xfId="1177" xr:uid="{00000000-0005-0000-0000-000098040000}"/>
    <cellStyle name="1_tree_마운딩수량_화명조경_1차 기성 내역서 0612023" xfId="1178" xr:uid="{00000000-0005-0000-0000-000099040000}"/>
    <cellStyle name="1_tree_마운딩수량_화명조경_3차네고견적(061017-1)" xfId="1179" xr:uid="{00000000-0005-0000-0000-00009A040000}"/>
    <cellStyle name="1_tree_마운딩수량_화명조경_백화점화장실인테리어" xfId="1180" xr:uid="{00000000-0005-0000-0000-00009B040000}"/>
    <cellStyle name="1_tree_마운딩수량_화명조경_백화점화장실인테리어_1차 기성 내역서 0612023" xfId="1181" xr:uid="{00000000-0005-0000-0000-00009C040000}"/>
    <cellStyle name="1_tree_마운딩수량_화명조경_백화점화장실인테리어_3차네고견적(061017-1)" xfId="1182" xr:uid="{00000000-0005-0000-0000-00009D040000}"/>
    <cellStyle name="1_tree_백화점화장실인테리어" xfId="1183" xr:uid="{00000000-0005-0000-0000-00009E040000}"/>
    <cellStyle name="1_tree_백화점화장실인테리어_1차 기성 내역서 0612023" xfId="1184" xr:uid="{00000000-0005-0000-0000-00009F040000}"/>
    <cellStyle name="1_tree_백화점화장실인테리어_3차네고견적(061017-1)" xfId="1185" xr:uid="{00000000-0005-0000-0000-0000A0040000}"/>
    <cellStyle name="1_tree_설계내역서" xfId="1186" xr:uid="{00000000-0005-0000-0000-0000A1040000}"/>
    <cellStyle name="1_tree_설계내역서_1차 기성 내역서 0612023" xfId="1187" xr:uid="{00000000-0005-0000-0000-0000A2040000}"/>
    <cellStyle name="1_tree_설계내역서_3차네고견적(061017-1)" xfId="1188" xr:uid="{00000000-0005-0000-0000-0000A3040000}"/>
    <cellStyle name="1_tree_설계내역서_백화점화장실인테리어" xfId="1189" xr:uid="{00000000-0005-0000-0000-0000A4040000}"/>
    <cellStyle name="1_tree_설계내역서_백화점화장실인테리어_1차 기성 내역서 0612023" xfId="1190" xr:uid="{00000000-0005-0000-0000-0000A5040000}"/>
    <cellStyle name="1_tree_설계내역서_백화점화장실인테리어_3차네고견적(061017-1)" xfId="1191" xr:uid="{00000000-0005-0000-0000-0000A6040000}"/>
    <cellStyle name="1_tree_설계내역서_화명조경" xfId="1192" xr:uid="{00000000-0005-0000-0000-0000A7040000}"/>
    <cellStyle name="1_tree_설계내역서_화명조경_1차 기성 내역서 0612023" xfId="1193" xr:uid="{00000000-0005-0000-0000-0000A8040000}"/>
    <cellStyle name="1_tree_설계내역서_화명조경_3차네고견적(061017-1)" xfId="1194" xr:uid="{00000000-0005-0000-0000-0000A9040000}"/>
    <cellStyle name="1_tree_설계내역서_화명조경_백화점화장실인테리어" xfId="1195" xr:uid="{00000000-0005-0000-0000-0000AA040000}"/>
    <cellStyle name="1_tree_설계내역서_화명조경_백화점화장실인테리어_1차 기성 내역서 0612023" xfId="1196" xr:uid="{00000000-0005-0000-0000-0000AB040000}"/>
    <cellStyle name="1_tree_설계내역서_화명조경_백화점화장실인테리어_3차네고견적(061017-1)" xfId="1197" xr:uid="{00000000-0005-0000-0000-0000AC040000}"/>
    <cellStyle name="1_tree_설계내역서1월7일" xfId="1198" xr:uid="{00000000-0005-0000-0000-0000AD040000}"/>
    <cellStyle name="1_tree_설계내역서1월7일_1차 기성 내역서 0612023" xfId="1199" xr:uid="{00000000-0005-0000-0000-0000AE040000}"/>
    <cellStyle name="1_tree_설계내역서1월7일_3차네고견적(061017-1)" xfId="1200" xr:uid="{00000000-0005-0000-0000-0000AF040000}"/>
    <cellStyle name="1_tree_설계내역서1월7일_백화점화장실인테리어" xfId="1201" xr:uid="{00000000-0005-0000-0000-0000B0040000}"/>
    <cellStyle name="1_tree_설계내역서1월7일_백화점화장실인테리어_1차 기성 내역서 0612023" xfId="1202" xr:uid="{00000000-0005-0000-0000-0000B1040000}"/>
    <cellStyle name="1_tree_설계내역서1월7일_백화점화장실인테리어_3차네고견적(061017-1)" xfId="1203" xr:uid="{00000000-0005-0000-0000-0000B2040000}"/>
    <cellStyle name="1_tree_설계내역서1월7일_화명조경" xfId="1204" xr:uid="{00000000-0005-0000-0000-0000B3040000}"/>
    <cellStyle name="1_tree_설계내역서1월7일_화명조경_1차 기성 내역서 0612023" xfId="1205" xr:uid="{00000000-0005-0000-0000-0000B4040000}"/>
    <cellStyle name="1_tree_설계내역서1월7일_화명조경_3차네고견적(061017-1)" xfId="1206" xr:uid="{00000000-0005-0000-0000-0000B5040000}"/>
    <cellStyle name="1_tree_설계내역서1월7일_화명조경_백화점화장실인테리어" xfId="1207" xr:uid="{00000000-0005-0000-0000-0000B6040000}"/>
    <cellStyle name="1_tree_설계내역서1월7일_화명조경_백화점화장실인테리어_1차 기성 내역서 0612023" xfId="1208" xr:uid="{00000000-0005-0000-0000-0000B7040000}"/>
    <cellStyle name="1_tree_설계내역서1월7일_화명조경_백화점화장실인테리어_3차네고견적(061017-1)" xfId="1209" xr:uid="{00000000-0005-0000-0000-0000B8040000}"/>
    <cellStyle name="1_tree_수원변경수량산출" xfId="1210" xr:uid="{00000000-0005-0000-0000-0000B9040000}"/>
    <cellStyle name="1_tree_수원변경수량산출_1차 기성 내역서 0612023" xfId="1211" xr:uid="{00000000-0005-0000-0000-0000BA040000}"/>
    <cellStyle name="1_tree_수원변경수량산출_3차네고견적(061017-1)" xfId="1212" xr:uid="{00000000-0005-0000-0000-0000BB040000}"/>
    <cellStyle name="1_tree_수원변경수량산출_백화점화장실인테리어" xfId="1213" xr:uid="{00000000-0005-0000-0000-0000BC040000}"/>
    <cellStyle name="1_tree_수원변경수량산출_백화점화장실인테리어_1차 기성 내역서 0612023" xfId="1214" xr:uid="{00000000-0005-0000-0000-0000BD040000}"/>
    <cellStyle name="1_tree_수원변경수량산출_백화점화장실인테리어_3차네고견적(061017-1)" xfId="1215" xr:uid="{00000000-0005-0000-0000-0000BE040000}"/>
    <cellStyle name="1_tree_수원변경수량산출_설계내역서" xfId="1216" xr:uid="{00000000-0005-0000-0000-0000BF040000}"/>
    <cellStyle name="1_tree_수원변경수량산출_설계내역서_1차 기성 내역서 0612023" xfId="1217" xr:uid="{00000000-0005-0000-0000-0000C0040000}"/>
    <cellStyle name="1_tree_수원변경수량산출_설계내역서_3차네고견적(061017-1)" xfId="1218" xr:uid="{00000000-0005-0000-0000-0000C1040000}"/>
    <cellStyle name="1_tree_수원변경수량산출_설계내역서_백화점화장실인테리어" xfId="1219" xr:uid="{00000000-0005-0000-0000-0000C2040000}"/>
    <cellStyle name="1_tree_수원변경수량산출_설계내역서_백화점화장실인테리어_1차 기성 내역서 0612023" xfId="1220" xr:uid="{00000000-0005-0000-0000-0000C3040000}"/>
    <cellStyle name="1_tree_수원변경수량산출_설계내역서_백화점화장실인테리어_3차네고견적(061017-1)" xfId="1221" xr:uid="{00000000-0005-0000-0000-0000C4040000}"/>
    <cellStyle name="1_tree_수원변경수량산출_설계내역서_화명조경" xfId="1222" xr:uid="{00000000-0005-0000-0000-0000C5040000}"/>
    <cellStyle name="1_tree_수원변경수량산출_설계내역서_화명조경_1차 기성 내역서 0612023" xfId="1223" xr:uid="{00000000-0005-0000-0000-0000C6040000}"/>
    <cellStyle name="1_tree_수원변경수량산출_설계내역서_화명조경_3차네고견적(061017-1)" xfId="1224" xr:uid="{00000000-0005-0000-0000-0000C7040000}"/>
    <cellStyle name="1_tree_수원변경수량산출_설계내역서_화명조경_백화점화장실인테리어" xfId="1225" xr:uid="{00000000-0005-0000-0000-0000C8040000}"/>
    <cellStyle name="1_tree_수원변경수량산출_설계내역서_화명조경_백화점화장실인테리어_1차 기성 내역서 0612023" xfId="1226" xr:uid="{00000000-0005-0000-0000-0000C9040000}"/>
    <cellStyle name="1_tree_수원변경수량산출_설계내역서_화명조경_백화점화장실인테리어_3차네고견적(061017-1)" xfId="1227" xr:uid="{00000000-0005-0000-0000-0000CA040000}"/>
    <cellStyle name="1_tree_수원변경수량산출_설계내역서1월7일" xfId="1228" xr:uid="{00000000-0005-0000-0000-0000CB040000}"/>
    <cellStyle name="1_tree_수원변경수량산출_설계내역서1월7일_1차 기성 내역서 0612023" xfId="1229" xr:uid="{00000000-0005-0000-0000-0000CC040000}"/>
    <cellStyle name="1_tree_수원변경수량산출_설계내역서1월7일_3차네고견적(061017-1)" xfId="1230" xr:uid="{00000000-0005-0000-0000-0000CD040000}"/>
    <cellStyle name="1_tree_수원변경수량산출_설계내역서1월7일_백화점화장실인테리어" xfId="1231" xr:uid="{00000000-0005-0000-0000-0000CE040000}"/>
    <cellStyle name="1_tree_수원변경수량산출_설계내역서1월7일_백화점화장실인테리어_1차 기성 내역서 0612023" xfId="1232" xr:uid="{00000000-0005-0000-0000-0000CF040000}"/>
    <cellStyle name="1_tree_수원변경수량산출_설계내역서1월7일_백화점화장실인테리어_3차네고견적(061017-1)" xfId="1233" xr:uid="{00000000-0005-0000-0000-0000D0040000}"/>
    <cellStyle name="1_tree_수원변경수량산출_설계내역서1월7일_화명조경" xfId="1234" xr:uid="{00000000-0005-0000-0000-0000D1040000}"/>
    <cellStyle name="1_tree_수원변경수량산출_설계내역서1월7일_화명조경_1차 기성 내역서 0612023" xfId="1235" xr:uid="{00000000-0005-0000-0000-0000D2040000}"/>
    <cellStyle name="1_tree_수원변경수량산출_설계내역서1월7일_화명조경_3차네고견적(061017-1)" xfId="1236" xr:uid="{00000000-0005-0000-0000-0000D3040000}"/>
    <cellStyle name="1_tree_수원변경수량산출_설계내역서1월7일_화명조경_백화점화장실인테리어" xfId="1237" xr:uid="{00000000-0005-0000-0000-0000D4040000}"/>
    <cellStyle name="1_tree_수원변경수량산출_설계내역서1월7일_화명조경_백화점화장실인테리어_1차 기성 내역서 0612023" xfId="1238" xr:uid="{00000000-0005-0000-0000-0000D5040000}"/>
    <cellStyle name="1_tree_수원변경수량산출_설계내역서1월7일_화명조경_백화점화장실인테리어_3차네고견적(061017-1)" xfId="1239" xr:uid="{00000000-0005-0000-0000-0000D6040000}"/>
    <cellStyle name="1_tree_수원변경수량산출_화명조경" xfId="1240" xr:uid="{00000000-0005-0000-0000-0000D7040000}"/>
    <cellStyle name="1_tree_수원변경수량산출_화명조경_1차 기성 내역서 0612023" xfId="1241" xr:uid="{00000000-0005-0000-0000-0000D8040000}"/>
    <cellStyle name="1_tree_수원변경수량산출_화명조경_3차네고견적(061017-1)" xfId="1242" xr:uid="{00000000-0005-0000-0000-0000D9040000}"/>
    <cellStyle name="1_tree_수원변경수량산출_화명조경_백화점화장실인테리어" xfId="1243" xr:uid="{00000000-0005-0000-0000-0000DA040000}"/>
    <cellStyle name="1_tree_수원변경수량산출_화명조경_백화점화장실인테리어_1차 기성 내역서 0612023" xfId="1244" xr:uid="{00000000-0005-0000-0000-0000DB040000}"/>
    <cellStyle name="1_tree_수원변경수량산출_화명조경_백화점화장실인테리어_3차네고견적(061017-1)" xfId="1245" xr:uid="{00000000-0005-0000-0000-0000DC040000}"/>
    <cellStyle name="1_tree_쌍용수량0905" xfId="1246" xr:uid="{00000000-0005-0000-0000-0000DD040000}"/>
    <cellStyle name="1_tree_쌍용수량0905_1차 기성 내역서 0612023" xfId="1247" xr:uid="{00000000-0005-0000-0000-0000DE040000}"/>
    <cellStyle name="1_tree_쌍용수량0905_3차네고견적(061017-1)" xfId="1248" xr:uid="{00000000-0005-0000-0000-0000DF040000}"/>
    <cellStyle name="1_tree_쌍용수량0905_백화점화장실인테리어" xfId="1249" xr:uid="{00000000-0005-0000-0000-0000E0040000}"/>
    <cellStyle name="1_tree_쌍용수량0905_백화점화장실인테리어_1차 기성 내역서 0612023" xfId="1250" xr:uid="{00000000-0005-0000-0000-0000E1040000}"/>
    <cellStyle name="1_tree_쌍용수량0905_백화점화장실인테리어_3차네고견적(061017-1)" xfId="1251" xr:uid="{00000000-0005-0000-0000-0000E2040000}"/>
    <cellStyle name="1_tree_쌍용수량0905_설계내역서" xfId="1252" xr:uid="{00000000-0005-0000-0000-0000E3040000}"/>
    <cellStyle name="1_tree_쌍용수량0905_설계내역서_1차 기성 내역서 0612023" xfId="1253" xr:uid="{00000000-0005-0000-0000-0000E4040000}"/>
    <cellStyle name="1_tree_쌍용수량0905_설계내역서_3차네고견적(061017-1)" xfId="1254" xr:uid="{00000000-0005-0000-0000-0000E5040000}"/>
    <cellStyle name="1_tree_쌍용수량0905_설계내역서_백화점화장실인테리어" xfId="1255" xr:uid="{00000000-0005-0000-0000-0000E6040000}"/>
    <cellStyle name="1_tree_쌍용수량0905_설계내역서_백화점화장실인테리어_1차 기성 내역서 0612023" xfId="1256" xr:uid="{00000000-0005-0000-0000-0000E7040000}"/>
    <cellStyle name="1_tree_쌍용수량0905_설계내역서_백화점화장실인테리어_3차네고견적(061017-1)" xfId="1257" xr:uid="{00000000-0005-0000-0000-0000E8040000}"/>
    <cellStyle name="1_tree_쌍용수량0905_설계내역서_화명조경" xfId="1258" xr:uid="{00000000-0005-0000-0000-0000E9040000}"/>
    <cellStyle name="1_tree_쌍용수량0905_설계내역서_화명조경_1차 기성 내역서 0612023" xfId="1259" xr:uid="{00000000-0005-0000-0000-0000EA040000}"/>
    <cellStyle name="1_tree_쌍용수량0905_설계내역서_화명조경_3차네고견적(061017-1)" xfId="1260" xr:uid="{00000000-0005-0000-0000-0000EB040000}"/>
    <cellStyle name="1_tree_쌍용수량0905_설계내역서_화명조경_백화점화장실인테리어" xfId="1261" xr:uid="{00000000-0005-0000-0000-0000EC040000}"/>
    <cellStyle name="1_tree_쌍용수량0905_설계내역서_화명조경_백화점화장실인테리어_1차 기성 내역서 0612023" xfId="1262" xr:uid="{00000000-0005-0000-0000-0000ED040000}"/>
    <cellStyle name="1_tree_쌍용수량0905_설계내역서_화명조경_백화점화장실인테리어_3차네고견적(061017-1)" xfId="1263" xr:uid="{00000000-0005-0000-0000-0000EE040000}"/>
    <cellStyle name="1_tree_쌍용수량0905_설계내역서1월7일" xfId="1264" xr:uid="{00000000-0005-0000-0000-0000EF040000}"/>
    <cellStyle name="1_tree_쌍용수량0905_설계내역서1월7일_1차 기성 내역서 0612023" xfId="1265" xr:uid="{00000000-0005-0000-0000-0000F0040000}"/>
    <cellStyle name="1_tree_쌍용수량0905_설계내역서1월7일_3차네고견적(061017-1)" xfId="1266" xr:uid="{00000000-0005-0000-0000-0000F1040000}"/>
    <cellStyle name="1_tree_쌍용수량0905_설계내역서1월7일_백화점화장실인테리어" xfId="1267" xr:uid="{00000000-0005-0000-0000-0000F2040000}"/>
    <cellStyle name="1_tree_쌍용수량0905_설계내역서1월7일_백화점화장실인테리어_1차 기성 내역서 0612023" xfId="1268" xr:uid="{00000000-0005-0000-0000-0000F3040000}"/>
    <cellStyle name="1_tree_쌍용수량0905_설계내역서1월7일_백화점화장실인테리어_3차네고견적(061017-1)" xfId="1269" xr:uid="{00000000-0005-0000-0000-0000F4040000}"/>
    <cellStyle name="1_tree_쌍용수량0905_설계내역서1월7일_화명조경" xfId="1270" xr:uid="{00000000-0005-0000-0000-0000F5040000}"/>
    <cellStyle name="1_tree_쌍용수량0905_설계내역서1월7일_화명조경_1차 기성 내역서 0612023" xfId="1271" xr:uid="{00000000-0005-0000-0000-0000F6040000}"/>
    <cellStyle name="1_tree_쌍용수량0905_설계내역서1월7일_화명조경_3차네고견적(061017-1)" xfId="1272" xr:uid="{00000000-0005-0000-0000-0000F7040000}"/>
    <cellStyle name="1_tree_쌍용수량0905_설계내역서1월7일_화명조경_백화점화장실인테리어" xfId="1273" xr:uid="{00000000-0005-0000-0000-0000F8040000}"/>
    <cellStyle name="1_tree_쌍용수량0905_설계내역서1월7일_화명조경_백화점화장실인테리어_1차 기성 내역서 0612023" xfId="1274" xr:uid="{00000000-0005-0000-0000-0000F9040000}"/>
    <cellStyle name="1_tree_쌍용수량0905_설계내역서1월7일_화명조경_백화점화장실인테리어_3차네고견적(061017-1)" xfId="1275" xr:uid="{00000000-0005-0000-0000-0000FA040000}"/>
    <cellStyle name="1_tree_쌍용수량0905_화명조경" xfId="1276" xr:uid="{00000000-0005-0000-0000-0000FB040000}"/>
    <cellStyle name="1_tree_쌍용수량0905_화명조경_1차 기성 내역서 0612023" xfId="1277" xr:uid="{00000000-0005-0000-0000-0000FC040000}"/>
    <cellStyle name="1_tree_쌍용수량0905_화명조경_3차네고견적(061017-1)" xfId="1278" xr:uid="{00000000-0005-0000-0000-0000FD040000}"/>
    <cellStyle name="1_tree_쌍용수량0905_화명조경_백화점화장실인테리어" xfId="1279" xr:uid="{00000000-0005-0000-0000-0000FE040000}"/>
    <cellStyle name="1_tree_쌍용수량0905_화명조경_백화점화장실인테리어_1차 기성 내역서 0612023" xfId="1280" xr:uid="{00000000-0005-0000-0000-0000FF040000}"/>
    <cellStyle name="1_tree_쌍용수량0905_화명조경_백화점화장실인테리어_3차네고견적(061017-1)" xfId="1281" xr:uid="{00000000-0005-0000-0000-000000050000}"/>
    <cellStyle name="1_tree_원가계산서" xfId="1282" xr:uid="{00000000-0005-0000-0000-000001050000}"/>
    <cellStyle name="1_tree_원가계산서_00갑지" xfId="1283" xr:uid="{00000000-0005-0000-0000-000002050000}"/>
    <cellStyle name="1_tree_원가계산서_00갑지_1차 기성 내역서 0612023" xfId="1284" xr:uid="{00000000-0005-0000-0000-000003050000}"/>
    <cellStyle name="1_tree_원가계산서_00갑지_3차네고견적(061017-1)" xfId="1285" xr:uid="{00000000-0005-0000-0000-000004050000}"/>
    <cellStyle name="1_tree_원가계산서_00갑지_백화점화장실인테리어" xfId="1286" xr:uid="{00000000-0005-0000-0000-000005050000}"/>
    <cellStyle name="1_tree_원가계산서_00갑지_백화점화장실인테리어_1차 기성 내역서 0612023" xfId="1287" xr:uid="{00000000-0005-0000-0000-000006050000}"/>
    <cellStyle name="1_tree_원가계산서_00갑지_백화점화장실인테리어_3차네고견적(061017-1)" xfId="1288" xr:uid="{00000000-0005-0000-0000-000007050000}"/>
    <cellStyle name="1_tree_원가계산서_00갑지_설계내역서" xfId="1289" xr:uid="{00000000-0005-0000-0000-000008050000}"/>
    <cellStyle name="1_tree_원가계산서_00갑지_설계내역서_1차 기성 내역서 0612023" xfId="1290" xr:uid="{00000000-0005-0000-0000-000009050000}"/>
    <cellStyle name="1_tree_원가계산서_00갑지_설계내역서_3차네고견적(061017-1)" xfId="1291" xr:uid="{00000000-0005-0000-0000-00000A050000}"/>
    <cellStyle name="1_tree_원가계산서_00갑지_설계내역서_백화점화장실인테리어" xfId="1292" xr:uid="{00000000-0005-0000-0000-00000B050000}"/>
    <cellStyle name="1_tree_원가계산서_00갑지_설계내역서_백화점화장실인테리어_1차 기성 내역서 0612023" xfId="1293" xr:uid="{00000000-0005-0000-0000-00000C050000}"/>
    <cellStyle name="1_tree_원가계산서_00갑지_설계내역서_백화점화장실인테리어_3차네고견적(061017-1)" xfId="1294" xr:uid="{00000000-0005-0000-0000-00000D050000}"/>
    <cellStyle name="1_tree_원가계산서_00갑지_설계내역서_화명조경" xfId="1295" xr:uid="{00000000-0005-0000-0000-00000E050000}"/>
    <cellStyle name="1_tree_원가계산서_00갑지_설계내역서_화명조경_1차 기성 내역서 0612023" xfId="1296" xr:uid="{00000000-0005-0000-0000-00000F050000}"/>
    <cellStyle name="1_tree_원가계산서_00갑지_설계내역서_화명조경_3차네고견적(061017-1)" xfId="1297" xr:uid="{00000000-0005-0000-0000-000010050000}"/>
    <cellStyle name="1_tree_원가계산서_00갑지_설계내역서_화명조경_백화점화장실인테리어" xfId="1298" xr:uid="{00000000-0005-0000-0000-000011050000}"/>
    <cellStyle name="1_tree_원가계산서_00갑지_설계내역서_화명조경_백화점화장실인테리어_1차 기성 내역서 0612023" xfId="1299" xr:uid="{00000000-0005-0000-0000-000012050000}"/>
    <cellStyle name="1_tree_원가계산서_00갑지_설계내역서_화명조경_백화점화장실인테리어_3차네고견적(061017-1)" xfId="1300" xr:uid="{00000000-0005-0000-0000-000013050000}"/>
    <cellStyle name="1_tree_원가계산서_00갑지_설계내역서1월7일" xfId="1301" xr:uid="{00000000-0005-0000-0000-000014050000}"/>
    <cellStyle name="1_tree_원가계산서_00갑지_설계내역서1월7일_1차 기성 내역서 0612023" xfId="1302" xr:uid="{00000000-0005-0000-0000-000015050000}"/>
    <cellStyle name="1_tree_원가계산서_00갑지_설계내역서1월7일_3차네고견적(061017-1)" xfId="1303" xr:uid="{00000000-0005-0000-0000-000016050000}"/>
    <cellStyle name="1_tree_원가계산서_00갑지_설계내역서1월7일_백화점화장실인테리어" xfId="1304" xr:uid="{00000000-0005-0000-0000-000017050000}"/>
    <cellStyle name="1_tree_원가계산서_00갑지_설계내역서1월7일_백화점화장실인테리어_1차 기성 내역서 0612023" xfId="1305" xr:uid="{00000000-0005-0000-0000-000018050000}"/>
    <cellStyle name="1_tree_원가계산서_00갑지_설계내역서1월7일_백화점화장실인테리어_3차네고견적(061017-1)" xfId="1306" xr:uid="{00000000-0005-0000-0000-000019050000}"/>
    <cellStyle name="1_tree_원가계산서_00갑지_설계내역서1월7일_화명조경" xfId="1307" xr:uid="{00000000-0005-0000-0000-00001A050000}"/>
    <cellStyle name="1_tree_원가계산서_00갑지_설계내역서1월7일_화명조경_1차 기성 내역서 0612023" xfId="1308" xr:uid="{00000000-0005-0000-0000-00001B050000}"/>
    <cellStyle name="1_tree_원가계산서_00갑지_설계내역서1월7일_화명조경_3차네고견적(061017-1)" xfId="1309" xr:uid="{00000000-0005-0000-0000-00001C050000}"/>
    <cellStyle name="1_tree_원가계산서_00갑지_설계내역서1월7일_화명조경_백화점화장실인테리어" xfId="1310" xr:uid="{00000000-0005-0000-0000-00001D050000}"/>
    <cellStyle name="1_tree_원가계산서_00갑지_설계내역서1월7일_화명조경_백화점화장실인테리어_1차 기성 내역서 0612023" xfId="1311" xr:uid="{00000000-0005-0000-0000-00001E050000}"/>
    <cellStyle name="1_tree_원가계산서_00갑지_설계내역서1월7일_화명조경_백화점화장실인테리어_3차네고견적(061017-1)" xfId="1312" xr:uid="{00000000-0005-0000-0000-00001F050000}"/>
    <cellStyle name="1_tree_원가계산서_00갑지_화명조경" xfId="1313" xr:uid="{00000000-0005-0000-0000-000020050000}"/>
    <cellStyle name="1_tree_원가계산서_00갑지_화명조경_1차 기성 내역서 0612023" xfId="1314" xr:uid="{00000000-0005-0000-0000-000021050000}"/>
    <cellStyle name="1_tree_원가계산서_00갑지_화명조경_3차네고견적(061017-1)" xfId="1315" xr:uid="{00000000-0005-0000-0000-000022050000}"/>
    <cellStyle name="1_tree_원가계산서_00갑지_화명조경_백화점화장실인테리어" xfId="1316" xr:uid="{00000000-0005-0000-0000-000023050000}"/>
    <cellStyle name="1_tree_원가계산서_00갑지_화명조경_백화점화장실인테리어_1차 기성 내역서 0612023" xfId="1317" xr:uid="{00000000-0005-0000-0000-000024050000}"/>
    <cellStyle name="1_tree_원가계산서_00갑지_화명조경_백화점화장실인테리어_3차네고견적(061017-1)" xfId="1318" xr:uid="{00000000-0005-0000-0000-000025050000}"/>
    <cellStyle name="1_tree_원가계산서_1차 기성 내역서 0612023" xfId="1319" xr:uid="{00000000-0005-0000-0000-000026050000}"/>
    <cellStyle name="1_tree_원가계산서_3차네고견적(061017-1)" xfId="1320" xr:uid="{00000000-0005-0000-0000-000027050000}"/>
    <cellStyle name="1_tree_원가계산서_과천놀이터설계서" xfId="1321" xr:uid="{00000000-0005-0000-0000-000028050000}"/>
    <cellStyle name="1_tree_원가계산서_과천놀이터설계서_1차 기성 내역서 0612023" xfId="1322" xr:uid="{00000000-0005-0000-0000-000029050000}"/>
    <cellStyle name="1_tree_원가계산서_과천놀이터설계서_3차네고견적(061017-1)" xfId="1323" xr:uid="{00000000-0005-0000-0000-00002A050000}"/>
    <cellStyle name="1_tree_원가계산서_과천놀이터설계서_백화점화장실인테리어" xfId="1324" xr:uid="{00000000-0005-0000-0000-00002B050000}"/>
    <cellStyle name="1_tree_원가계산서_과천놀이터설계서_백화점화장실인테리어_1차 기성 내역서 0612023" xfId="1325" xr:uid="{00000000-0005-0000-0000-00002C050000}"/>
    <cellStyle name="1_tree_원가계산서_과천놀이터설계서_백화점화장실인테리어_3차네고견적(061017-1)" xfId="1326" xr:uid="{00000000-0005-0000-0000-00002D050000}"/>
    <cellStyle name="1_tree_원가계산서_과천놀이터설계서_설계내역서" xfId="1327" xr:uid="{00000000-0005-0000-0000-00002E050000}"/>
    <cellStyle name="1_tree_원가계산서_과천놀이터설계서_설계내역서_1차 기성 내역서 0612023" xfId="1328" xr:uid="{00000000-0005-0000-0000-00002F050000}"/>
    <cellStyle name="1_tree_원가계산서_과천놀이터설계서_설계내역서_3차네고견적(061017-1)" xfId="1329" xr:uid="{00000000-0005-0000-0000-000030050000}"/>
    <cellStyle name="1_tree_원가계산서_과천놀이터설계서_설계내역서_백화점화장실인테리어" xfId="1330" xr:uid="{00000000-0005-0000-0000-000031050000}"/>
    <cellStyle name="1_tree_원가계산서_과천놀이터설계서_설계내역서_백화점화장실인테리어_1차 기성 내역서 0612023" xfId="1331" xr:uid="{00000000-0005-0000-0000-000032050000}"/>
    <cellStyle name="1_tree_원가계산서_과천놀이터설계서_설계내역서_백화점화장실인테리어_3차네고견적(061017-1)" xfId="1332" xr:uid="{00000000-0005-0000-0000-000033050000}"/>
    <cellStyle name="1_tree_원가계산서_과천놀이터설계서_설계내역서_화명조경" xfId="1333" xr:uid="{00000000-0005-0000-0000-000034050000}"/>
    <cellStyle name="1_tree_원가계산서_과천놀이터설계서_설계내역서_화명조경_1차 기성 내역서 0612023" xfId="1334" xr:uid="{00000000-0005-0000-0000-000035050000}"/>
    <cellStyle name="1_tree_원가계산서_과천놀이터설계서_설계내역서_화명조경_3차네고견적(061017-1)" xfId="1335" xr:uid="{00000000-0005-0000-0000-000036050000}"/>
    <cellStyle name="1_tree_원가계산서_과천놀이터설계서_설계내역서_화명조경_백화점화장실인테리어" xfId="1336" xr:uid="{00000000-0005-0000-0000-000037050000}"/>
    <cellStyle name="1_tree_원가계산서_과천놀이터설계서_설계내역서_화명조경_백화점화장실인테리어_1차 기성 내역서 0612023" xfId="1337" xr:uid="{00000000-0005-0000-0000-000038050000}"/>
    <cellStyle name="1_tree_원가계산서_과천놀이터설계서_설계내역서_화명조경_백화점화장실인테리어_3차네고견적(061017-1)" xfId="1338" xr:uid="{00000000-0005-0000-0000-000039050000}"/>
    <cellStyle name="1_tree_원가계산서_과천놀이터설계서_설계내역서1월7일" xfId="1339" xr:uid="{00000000-0005-0000-0000-00003A050000}"/>
    <cellStyle name="1_tree_원가계산서_과천놀이터설계서_설계내역서1월7일_1차 기성 내역서 0612023" xfId="1340" xr:uid="{00000000-0005-0000-0000-00003B050000}"/>
    <cellStyle name="1_tree_원가계산서_과천놀이터설계서_설계내역서1월7일_3차네고견적(061017-1)" xfId="1341" xr:uid="{00000000-0005-0000-0000-00003C050000}"/>
    <cellStyle name="1_tree_원가계산서_과천놀이터설계서_설계내역서1월7일_백화점화장실인테리어" xfId="1342" xr:uid="{00000000-0005-0000-0000-00003D050000}"/>
    <cellStyle name="1_tree_원가계산서_과천놀이터설계서_설계내역서1월7일_백화점화장실인테리어_1차 기성 내역서 0612023" xfId="1343" xr:uid="{00000000-0005-0000-0000-00003E050000}"/>
    <cellStyle name="1_tree_원가계산서_과천놀이터설계서_설계내역서1월7일_백화점화장실인테리어_3차네고견적(061017-1)" xfId="1344" xr:uid="{00000000-0005-0000-0000-00003F050000}"/>
    <cellStyle name="1_tree_원가계산서_과천놀이터설계서_설계내역서1월7일_화명조경" xfId="1345" xr:uid="{00000000-0005-0000-0000-000040050000}"/>
    <cellStyle name="1_tree_원가계산서_과천놀이터설계서_설계내역서1월7일_화명조경_1차 기성 내역서 0612023" xfId="1346" xr:uid="{00000000-0005-0000-0000-000041050000}"/>
    <cellStyle name="1_tree_원가계산서_과천놀이터설계서_설계내역서1월7일_화명조경_3차네고견적(061017-1)" xfId="1347" xr:uid="{00000000-0005-0000-0000-000042050000}"/>
    <cellStyle name="1_tree_원가계산서_과천놀이터설계서_설계내역서1월7일_화명조경_백화점화장실인테리어" xfId="1348" xr:uid="{00000000-0005-0000-0000-000043050000}"/>
    <cellStyle name="1_tree_원가계산서_과천놀이터설계서_설계내역서1월7일_화명조경_백화점화장실인테리어_1차 기성 내역서 0612023" xfId="1349" xr:uid="{00000000-0005-0000-0000-000044050000}"/>
    <cellStyle name="1_tree_원가계산서_과천놀이터설계서_설계내역서1월7일_화명조경_백화점화장실인테리어_3차네고견적(061017-1)" xfId="1350" xr:uid="{00000000-0005-0000-0000-000045050000}"/>
    <cellStyle name="1_tree_원가계산서_과천놀이터설계서_화명조경" xfId="1351" xr:uid="{00000000-0005-0000-0000-000046050000}"/>
    <cellStyle name="1_tree_원가계산서_과천놀이터설계서_화명조경_1차 기성 내역서 0612023" xfId="1352" xr:uid="{00000000-0005-0000-0000-000047050000}"/>
    <cellStyle name="1_tree_원가계산서_과천놀이터설계서_화명조경_3차네고견적(061017-1)" xfId="1353" xr:uid="{00000000-0005-0000-0000-000048050000}"/>
    <cellStyle name="1_tree_원가계산서_과천놀이터설계서_화명조경_백화점화장실인테리어" xfId="1354" xr:uid="{00000000-0005-0000-0000-000049050000}"/>
    <cellStyle name="1_tree_원가계산서_과천놀이터설계서_화명조경_백화점화장실인테리어_1차 기성 내역서 0612023" xfId="1355" xr:uid="{00000000-0005-0000-0000-00004A050000}"/>
    <cellStyle name="1_tree_원가계산서_과천놀이터설계서_화명조경_백화점화장실인테리어_3차네고견적(061017-1)" xfId="1356" xr:uid="{00000000-0005-0000-0000-00004B050000}"/>
    <cellStyle name="1_tree_원가계산서_백화점화장실인테리어" xfId="1357" xr:uid="{00000000-0005-0000-0000-00004C050000}"/>
    <cellStyle name="1_tree_원가계산서_백화점화장실인테리어_1차 기성 내역서 0612023" xfId="1358" xr:uid="{00000000-0005-0000-0000-00004D050000}"/>
    <cellStyle name="1_tree_원가계산서_백화점화장실인테리어_3차네고견적(061017-1)" xfId="1359" xr:uid="{00000000-0005-0000-0000-00004E050000}"/>
    <cellStyle name="1_tree_원가계산서_총괄갑지" xfId="1360" xr:uid="{00000000-0005-0000-0000-00004F050000}"/>
    <cellStyle name="1_tree_원가계산서_총괄갑지_1차 기성 내역서 0612023" xfId="1361" xr:uid="{00000000-0005-0000-0000-000050050000}"/>
    <cellStyle name="1_tree_원가계산서_총괄갑지_3차네고견적(061017-1)" xfId="1362" xr:uid="{00000000-0005-0000-0000-000051050000}"/>
    <cellStyle name="1_tree_원가계산서_총괄갑지_백화점화장실인테리어" xfId="1363" xr:uid="{00000000-0005-0000-0000-000052050000}"/>
    <cellStyle name="1_tree_원가계산서_총괄갑지_백화점화장실인테리어_1차 기성 내역서 0612023" xfId="1364" xr:uid="{00000000-0005-0000-0000-000053050000}"/>
    <cellStyle name="1_tree_원가계산서_총괄갑지_백화점화장실인테리어_3차네고견적(061017-1)" xfId="1365" xr:uid="{00000000-0005-0000-0000-000054050000}"/>
    <cellStyle name="1_tree_원가계산서_총괄갑지_설계내역서" xfId="1366" xr:uid="{00000000-0005-0000-0000-000055050000}"/>
    <cellStyle name="1_tree_원가계산서_총괄갑지_설계내역서_1차 기성 내역서 0612023" xfId="1367" xr:uid="{00000000-0005-0000-0000-000056050000}"/>
    <cellStyle name="1_tree_원가계산서_총괄갑지_설계내역서_3차네고견적(061017-1)" xfId="1368" xr:uid="{00000000-0005-0000-0000-000057050000}"/>
    <cellStyle name="1_tree_원가계산서_총괄갑지_설계내역서_백화점화장실인테리어" xfId="1369" xr:uid="{00000000-0005-0000-0000-000058050000}"/>
    <cellStyle name="1_tree_원가계산서_총괄갑지_설계내역서_백화점화장실인테리어_1차 기성 내역서 0612023" xfId="1370" xr:uid="{00000000-0005-0000-0000-000059050000}"/>
    <cellStyle name="1_tree_원가계산서_총괄갑지_설계내역서_백화점화장실인테리어_3차네고견적(061017-1)" xfId="1371" xr:uid="{00000000-0005-0000-0000-00005A050000}"/>
    <cellStyle name="1_tree_원가계산서_총괄갑지_설계내역서_화명조경" xfId="1372" xr:uid="{00000000-0005-0000-0000-00005B050000}"/>
    <cellStyle name="1_tree_원가계산서_총괄갑지_설계내역서_화명조경_1차 기성 내역서 0612023" xfId="1373" xr:uid="{00000000-0005-0000-0000-00005C050000}"/>
    <cellStyle name="1_tree_원가계산서_총괄갑지_설계내역서_화명조경_3차네고견적(061017-1)" xfId="1374" xr:uid="{00000000-0005-0000-0000-00005D050000}"/>
    <cellStyle name="1_tree_원가계산서_총괄갑지_설계내역서_화명조경_백화점화장실인테리어" xfId="1375" xr:uid="{00000000-0005-0000-0000-00005E050000}"/>
    <cellStyle name="1_tree_원가계산서_총괄갑지_설계내역서_화명조경_백화점화장실인테리어_1차 기성 내역서 0612023" xfId="1376" xr:uid="{00000000-0005-0000-0000-00005F050000}"/>
    <cellStyle name="1_tree_원가계산서_총괄갑지_설계내역서_화명조경_백화점화장실인테리어_3차네고견적(061017-1)" xfId="1377" xr:uid="{00000000-0005-0000-0000-000060050000}"/>
    <cellStyle name="1_tree_원가계산서_총괄갑지_설계내역서1월7일" xfId="1378" xr:uid="{00000000-0005-0000-0000-000061050000}"/>
    <cellStyle name="1_tree_원가계산서_총괄갑지_설계내역서1월7일_1차 기성 내역서 0612023" xfId="1379" xr:uid="{00000000-0005-0000-0000-000062050000}"/>
    <cellStyle name="1_tree_원가계산서_총괄갑지_설계내역서1월7일_3차네고견적(061017-1)" xfId="1380" xr:uid="{00000000-0005-0000-0000-000063050000}"/>
    <cellStyle name="1_tree_원가계산서_총괄갑지_설계내역서1월7일_백화점화장실인테리어" xfId="1381" xr:uid="{00000000-0005-0000-0000-000064050000}"/>
    <cellStyle name="1_tree_원가계산서_총괄갑지_설계내역서1월7일_백화점화장실인테리어_1차 기성 내역서 0612023" xfId="1382" xr:uid="{00000000-0005-0000-0000-000065050000}"/>
    <cellStyle name="1_tree_원가계산서_총괄갑지_설계내역서1월7일_백화점화장실인테리어_3차네고견적(061017-1)" xfId="1383" xr:uid="{00000000-0005-0000-0000-000066050000}"/>
    <cellStyle name="1_tree_원가계산서_총괄갑지_설계내역서1월7일_화명조경" xfId="1384" xr:uid="{00000000-0005-0000-0000-000067050000}"/>
    <cellStyle name="1_tree_원가계산서_총괄갑지_설계내역서1월7일_화명조경_1차 기성 내역서 0612023" xfId="1385" xr:uid="{00000000-0005-0000-0000-000068050000}"/>
    <cellStyle name="1_tree_원가계산서_총괄갑지_설계내역서1월7일_화명조경_3차네고견적(061017-1)" xfId="1386" xr:uid="{00000000-0005-0000-0000-000069050000}"/>
    <cellStyle name="1_tree_원가계산서_총괄갑지_설계내역서1월7일_화명조경_백화점화장실인테리어" xfId="1387" xr:uid="{00000000-0005-0000-0000-00006A050000}"/>
    <cellStyle name="1_tree_원가계산서_총괄갑지_설계내역서1월7일_화명조경_백화점화장실인테리어_1차 기성 내역서 0612023" xfId="1388" xr:uid="{00000000-0005-0000-0000-00006B050000}"/>
    <cellStyle name="1_tree_원가계산서_총괄갑지_설계내역서1월7일_화명조경_백화점화장실인테리어_3차네고견적(061017-1)" xfId="1389" xr:uid="{00000000-0005-0000-0000-00006C050000}"/>
    <cellStyle name="1_tree_원가계산서_총괄갑지_화명조경" xfId="1390" xr:uid="{00000000-0005-0000-0000-00006D050000}"/>
    <cellStyle name="1_tree_원가계산서_총괄갑지_화명조경_1차 기성 내역서 0612023" xfId="1391" xr:uid="{00000000-0005-0000-0000-00006E050000}"/>
    <cellStyle name="1_tree_원가계산서_총괄갑지_화명조경_3차네고견적(061017-1)" xfId="1392" xr:uid="{00000000-0005-0000-0000-00006F050000}"/>
    <cellStyle name="1_tree_원가계산서_총괄갑지_화명조경_백화점화장실인테리어" xfId="1393" xr:uid="{00000000-0005-0000-0000-000070050000}"/>
    <cellStyle name="1_tree_원가계산서_총괄갑지_화명조경_백화점화장실인테리어_1차 기성 내역서 0612023" xfId="1394" xr:uid="{00000000-0005-0000-0000-000071050000}"/>
    <cellStyle name="1_tree_원가계산서_총괄갑지_화명조경_백화점화장실인테리어_3차네고견적(061017-1)" xfId="1395" xr:uid="{00000000-0005-0000-0000-000072050000}"/>
    <cellStyle name="1_tree_원가계산서_총괄내역서" xfId="1396" xr:uid="{00000000-0005-0000-0000-000073050000}"/>
    <cellStyle name="1_tree_원가계산서_총괄내역서_1차 기성 내역서 0612023" xfId="1397" xr:uid="{00000000-0005-0000-0000-000074050000}"/>
    <cellStyle name="1_tree_원가계산서_총괄내역서_3차네고견적(061017-1)" xfId="1398" xr:uid="{00000000-0005-0000-0000-000075050000}"/>
    <cellStyle name="1_tree_원가계산서_총괄내역서_백화점화장실인테리어" xfId="1399" xr:uid="{00000000-0005-0000-0000-000076050000}"/>
    <cellStyle name="1_tree_원가계산서_총괄내역서_백화점화장실인테리어_1차 기성 내역서 0612023" xfId="1400" xr:uid="{00000000-0005-0000-0000-000077050000}"/>
    <cellStyle name="1_tree_원가계산서_총괄내역서_백화점화장실인테리어_3차네고견적(061017-1)" xfId="1401" xr:uid="{00000000-0005-0000-0000-000078050000}"/>
    <cellStyle name="1_tree_원가계산서_총괄내역서_설계내역서" xfId="1402" xr:uid="{00000000-0005-0000-0000-000079050000}"/>
    <cellStyle name="1_tree_원가계산서_총괄내역서_설계내역서_1차 기성 내역서 0612023" xfId="1403" xr:uid="{00000000-0005-0000-0000-00007A050000}"/>
    <cellStyle name="1_tree_원가계산서_총괄내역서_설계내역서_3차네고견적(061017-1)" xfId="1404" xr:uid="{00000000-0005-0000-0000-00007B050000}"/>
    <cellStyle name="1_tree_원가계산서_총괄내역서_설계내역서_백화점화장실인테리어" xfId="1405" xr:uid="{00000000-0005-0000-0000-00007C050000}"/>
    <cellStyle name="1_tree_원가계산서_총괄내역서_설계내역서_백화점화장실인테리어_1차 기성 내역서 0612023" xfId="1406" xr:uid="{00000000-0005-0000-0000-00007D050000}"/>
    <cellStyle name="1_tree_원가계산서_총괄내역서_설계내역서_백화점화장실인테리어_3차네고견적(061017-1)" xfId="1407" xr:uid="{00000000-0005-0000-0000-00007E050000}"/>
    <cellStyle name="1_tree_원가계산서_총괄내역서_설계내역서_화명조경" xfId="1408" xr:uid="{00000000-0005-0000-0000-00007F050000}"/>
    <cellStyle name="1_tree_원가계산서_총괄내역서_설계내역서_화명조경_1차 기성 내역서 0612023" xfId="1409" xr:uid="{00000000-0005-0000-0000-000080050000}"/>
    <cellStyle name="1_tree_원가계산서_총괄내역서_설계내역서_화명조경_3차네고견적(061017-1)" xfId="1410" xr:uid="{00000000-0005-0000-0000-000081050000}"/>
    <cellStyle name="1_tree_원가계산서_총괄내역서_설계내역서_화명조경_백화점화장실인테리어" xfId="1411" xr:uid="{00000000-0005-0000-0000-000082050000}"/>
    <cellStyle name="1_tree_원가계산서_총괄내역서_설계내역서_화명조경_백화점화장실인테리어_1차 기성 내역서 0612023" xfId="1412" xr:uid="{00000000-0005-0000-0000-000083050000}"/>
    <cellStyle name="1_tree_원가계산서_총괄내역서_설계내역서_화명조경_백화점화장실인테리어_3차네고견적(061017-1)" xfId="1413" xr:uid="{00000000-0005-0000-0000-000084050000}"/>
    <cellStyle name="1_tree_원가계산서_총괄내역서_설계내역서1월7일" xfId="1414" xr:uid="{00000000-0005-0000-0000-000085050000}"/>
    <cellStyle name="1_tree_원가계산서_총괄내역서_설계내역서1월7일_1차 기성 내역서 0612023" xfId="1415" xr:uid="{00000000-0005-0000-0000-000086050000}"/>
    <cellStyle name="1_tree_원가계산서_총괄내역서_설계내역서1월7일_3차네고견적(061017-1)" xfId="1416" xr:uid="{00000000-0005-0000-0000-000087050000}"/>
    <cellStyle name="1_tree_원가계산서_총괄내역서_설계내역서1월7일_백화점화장실인테리어" xfId="1417" xr:uid="{00000000-0005-0000-0000-000088050000}"/>
    <cellStyle name="1_tree_원가계산서_총괄내역서_설계내역서1월7일_백화점화장실인테리어_1차 기성 내역서 0612023" xfId="1418" xr:uid="{00000000-0005-0000-0000-000089050000}"/>
    <cellStyle name="1_tree_원가계산서_총괄내역서_설계내역서1월7일_백화점화장실인테리어_3차네고견적(061017-1)" xfId="1419" xr:uid="{00000000-0005-0000-0000-00008A050000}"/>
    <cellStyle name="1_tree_원가계산서_총괄내역서_설계내역서1월7일_화명조경" xfId="1420" xr:uid="{00000000-0005-0000-0000-00008B050000}"/>
    <cellStyle name="1_tree_원가계산서_총괄내역서_설계내역서1월7일_화명조경_1차 기성 내역서 0612023" xfId="1421" xr:uid="{00000000-0005-0000-0000-00008C050000}"/>
    <cellStyle name="1_tree_원가계산서_총괄내역서_설계내역서1월7일_화명조경_3차네고견적(061017-1)" xfId="1422" xr:uid="{00000000-0005-0000-0000-00008D050000}"/>
    <cellStyle name="1_tree_원가계산서_총괄내역서_설계내역서1월7일_화명조경_백화점화장실인테리어" xfId="1423" xr:uid="{00000000-0005-0000-0000-00008E050000}"/>
    <cellStyle name="1_tree_원가계산서_총괄내역서_설계내역서1월7일_화명조경_백화점화장실인테리어_1차 기성 내역서 0612023" xfId="1424" xr:uid="{00000000-0005-0000-0000-00008F050000}"/>
    <cellStyle name="1_tree_원가계산서_총괄내역서_설계내역서1월7일_화명조경_백화점화장실인테리어_3차네고견적(061017-1)" xfId="1425" xr:uid="{00000000-0005-0000-0000-000090050000}"/>
    <cellStyle name="1_tree_원가계산서_총괄내역서_화명조경" xfId="1426" xr:uid="{00000000-0005-0000-0000-000091050000}"/>
    <cellStyle name="1_tree_원가계산서_총괄내역서_화명조경_1차 기성 내역서 0612023" xfId="1427" xr:uid="{00000000-0005-0000-0000-000092050000}"/>
    <cellStyle name="1_tree_원가계산서_총괄내역서_화명조경_3차네고견적(061017-1)" xfId="1428" xr:uid="{00000000-0005-0000-0000-000093050000}"/>
    <cellStyle name="1_tree_원가계산서_총괄내역서_화명조경_백화점화장실인테리어" xfId="1429" xr:uid="{00000000-0005-0000-0000-000094050000}"/>
    <cellStyle name="1_tree_원가계산서_총괄내역서_화명조경_백화점화장실인테리어_1차 기성 내역서 0612023" xfId="1430" xr:uid="{00000000-0005-0000-0000-000095050000}"/>
    <cellStyle name="1_tree_원가계산서_총괄내역서_화명조경_백화점화장실인테리어_3차네고견적(061017-1)" xfId="1431" xr:uid="{00000000-0005-0000-0000-000096050000}"/>
    <cellStyle name="1_tree_원가계산서_화명조경" xfId="1432" xr:uid="{00000000-0005-0000-0000-000097050000}"/>
    <cellStyle name="1_tree_원가계산서_화명조경_1차 기성 내역서 0612023" xfId="1433" xr:uid="{00000000-0005-0000-0000-000098050000}"/>
    <cellStyle name="1_tree_원가계산서_화명조경_3차네고견적(061017-1)" xfId="1434" xr:uid="{00000000-0005-0000-0000-000099050000}"/>
    <cellStyle name="1_tree_원가계산서_화명조경_백화점화장실인테리어" xfId="1435" xr:uid="{00000000-0005-0000-0000-00009A050000}"/>
    <cellStyle name="1_tree_원가계산서_화명조경_백화점화장실인테리어_1차 기성 내역서 0612023" xfId="1436" xr:uid="{00000000-0005-0000-0000-00009B050000}"/>
    <cellStyle name="1_tree_원가계산서_화명조경_백화점화장실인테리어_3차네고견적(061017-1)" xfId="1437" xr:uid="{00000000-0005-0000-0000-00009C050000}"/>
    <cellStyle name="1_tree_은파수량집계" xfId="1438" xr:uid="{00000000-0005-0000-0000-00009D050000}"/>
    <cellStyle name="1_tree_은파수량집계_1차 기성 내역서 0612023" xfId="1439" xr:uid="{00000000-0005-0000-0000-00009E050000}"/>
    <cellStyle name="1_tree_은파수량집계_3차네고견적(061017-1)" xfId="1440" xr:uid="{00000000-0005-0000-0000-00009F050000}"/>
    <cellStyle name="1_tree_은파수량집계_백화점화장실인테리어" xfId="1441" xr:uid="{00000000-0005-0000-0000-0000A0050000}"/>
    <cellStyle name="1_tree_은파수량집계_백화점화장실인테리어_1차 기성 내역서 0612023" xfId="1442" xr:uid="{00000000-0005-0000-0000-0000A1050000}"/>
    <cellStyle name="1_tree_은파수량집계_백화점화장실인테리어_3차네고견적(061017-1)" xfId="1443" xr:uid="{00000000-0005-0000-0000-0000A2050000}"/>
    <cellStyle name="1_tree_은파수량집계_설계내역서" xfId="1444" xr:uid="{00000000-0005-0000-0000-0000A3050000}"/>
    <cellStyle name="1_tree_은파수량집계_설계내역서_1차 기성 내역서 0612023" xfId="1445" xr:uid="{00000000-0005-0000-0000-0000A4050000}"/>
    <cellStyle name="1_tree_은파수량집계_설계내역서_3차네고견적(061017-1)" xfId="1446" xr:uid="{00000000-0005-0000-0000-0000A5050000}"/>
    <cellStyle name="1_tree_은파수량집계_설계내역서_백화점화장실인테리어" xfId="1447" xr:uid="{00000000-0005-0000-0000-0000A6050000}"/>
    <cellStyle name="1_tree_은파수량집계_설계내역서_백화점화장실인테리어_1차 기성 내역서 0612023" xfId="1448" xr:uid="{00000000-0005-0000-0000-0000A7050000}"/>
    <cellStyle name="1_tree_은파수량집계_설계내역서_백화점화장실인테리어_3차네고견적(061017-1)" xfId="1449" xr:uid="{00000000-0005-0000-0000-0000A8050000}"/>
    <cellStyle name="1_tree_은파수량집계_설계내역서_화명조경" xfId="1450" xr:uid="{00000000-0005-0000-0000-0000A9050000}"/>
    <cellStyle name="1_tree_은파수량집계_설계내역서_화명조경_1차 기성 내역서 0612023" xfId="1451" xr:uid="{00000000-0005-0000-0000-0000AA050000}"/>
    <cellStyle name="1_tree_은파수량집계_설계내역서_화명조경_3차네고견적(061017-1)" xfId="1452" xr:uid="{00000000-0005-0000-0000-0000AB050000}"/>
    <cellStyle name="1_tree_은파수량집계_설계내역서_화명조경_백화점화장실인테리어" xfId="1453" xr:uid="{00000000-0005-0000-0000-0000AC050000}"/>
    <cellStyle name="1_tree_은파수량집계_설계내역서_화명조경_백화점화장실인테리어_1차 기성 내역서 0612023" xfId="1454" xr:uid="{00000000-0005-0000-0000-0000AD050000}"/>
    <cellStyle name="1_tree_은파수량집계_설계내역서_화명조경_백화점화장실인테리어_3차네고견적(061017-1)" xfId="1455" xr:uid="{00000000-0005-0000-0000-0000AE050000}"/>
    <cellStyle name="1_tree_은파수량집계_설계내역서1월7일" xfId="1456" xr:uid="{00000000-0005-0000-0000-0000AF050000}"/>
    <cellStyle name="1_tree_은파수량집계_설계내역서1월7일_1차 기성 내역서 0612023" xfId="1457" xr:uid="{00000000-0005-0000-0000-0000B0050000}"/>
    <cellStyle name="1_tree_은파수량집계_설계내역서1월7일_3차네고견적(061017-1)" xfId="1458" xr:uid="{00000000-0005-0000-0000-0000B1050000}"/>
    <cellStyle name="1_tree_은파수량집계_설계내역서1월7일_백화점화장실인테리어" xfId="1459" xr:uid="{00000000-0005-0000-0000-0000B2050000}"/>
    <cellStyle name="1_tree_은파수량집계_설계내역서1월7일_백화점화장실인테리어_1차 기성 내역서 0612023" xfId="1460" xr:uid="{00000000-0005-0000-0000-0000B3050000}"/>
    <cellStyle name="1_tree_은파수량집계_설계내역서1월7일_백화점화장실인테리어_3차네고견적(061017-1)" xfId="1461" xr:uid="{00000000-0005-0000-0000-0000B4050000}"/>
    <cellStyle name="1_tree_은파수량집계_설계내역서1월7일_화명조경" xfId="1462" xr:uid="{00000000-0005-0000-0000-0000B5050000}"/>
    <cellStyle name="1_tree_은파수량집계_설계내역서1월7일_화명조경_1차 기성 내역서 0612023" xfId="1463" xr:uid="{00000000-0005-0000-0000-0000B6050000}"/>
    <cellStyle name="1_tree_은파수량집계_설계내역서1월7일_화명조경_3차네고견적(061017-1)" xfId="1464" xr:uid="{00000000-0005-0000-0000-0000B7050000}"/>
    <cellStyle name="1_tree_은파수량집계_설계내역서1월7일_화명조경_백화점화장실인테리어" xfId="1465" xr:uid="{00000000-0005-0000-0000-0000B8050000}"/>
    <cellStyle name="1_tree_은파수량집계_설계내역서1월7일_화명조경_백화점화장실인테리어_1차 기성 내역서 0612023" xfId="1466" xr:uid="{00000000-0005-0000-0000-0000B9050000}"/>
    <cellStyle name="1_tree_은파수량집계_설계내역서1월7일_화명조경_백화점화장실인테리어_3차네고견적(061017-1)" xfId="1467" xr:uid="{00000000-0005-0000-0000-0000BA050000}"/>
    <cellStyle name="1_tree_은파수량집계_화명조경" xfId="1468" xr:uid="{00000000-0005-0000-0000-0000BB050000}"/>
    <cellStyle name="1_tree_은파수량집계_화명조경_1차 기성 내역서 0612023" xfId="1469" xr:uid="{00000000-0005-0000-0000-0000BC050000}"/>
    <cellStyle name="1_tree_은파수량집계_화명조경_3차네고견적(061017-1)" xfId="1470" xr:uid="{00000000-0005-0000-0000-0000BD050000}"/>
    <cellStyle name="1_tree_은파수량집계_화명조경_백화점화장실인테리어" xfId="1471" xr:uid="{00000000-0005-0000-0000-0000BE050000}"/>
    <cellStyle name="1_tree_은파수량집계_화명조경_백화점화장실인테리어_1차 기성 내역서 0612023" xfId="1472" xr:uid="{00000000-0005-0000-0000-0000BF050000}"/>
    <cellStyle name="1_tree_은파수량집계_화명조경_백화점화장실인테리어_3차네고견적(061017-1)" xfId="1473" xr:uid="{00000000-0005-0000-0000-0000C0050000}"/>
    <cellStyle name="1_tree_터미널1-0" xfId="1474" xr:uid="{00000000-0005-0000-0000-0000C1050000}"/>
    <cellStyle name="1_tree_터미널1-0_1" xfId="1475" xr:uid="{00000000-0005-0000-0000-0000C2050000}"/>
    <cellStyle name="1_tree_터미널1-0_1_1차 기성 내역서 0612023" xfId="1476" xr:uid="{00000000-0005-0000-0000-0000C3050000}"/>
    <cellStyle name="1_tree_터미널1-0_1_3차네고견적(061017-1)" xfId="1477" xr:uid="{00000000-0005-0000-0000-0000C4050000}"/>
    <cellStyle name="1_tree_터미널1-0_1_백화점화장실인테리어" xfId="1478" xr:uid="{00000000-0005-0000-0000-0000C5050000}"/>
    <cellStyle name="1_tree_터미널1-0_1_백화점화장실인테리어_1차 기성 내역서 0612023" xfId="1479" xr:uid="{00000000-0005-0000-0000-0000C6050000}"/>
    <cellStyle name="1_tree_터미널1-0_1_백화점화장실인테리어_3차네고견적(061017-1)" xfId="1480" xr:uid="{00000000-0005-0000-0000-0000C7050000}"/>
    <cellStyle name="1_tree_터미널1-0_1_화명조경" xfId="1481" xr:uid="{00000000-0005-0000-0000-0000C8050000}"/>
    <cellStyle name="1_tree_터미널1-0_1_화명조경_1차 기성 내역서 0612023" xfId="1482" xr:uid="{00000000-0005-0000-0000-0000C9050000}"/>
    <cellStyle name="1_tree_터미널1-0_1_화명조경_3차네고견적(061017-1)" xfId="1483" xr:uid="{00000000-0005-0000-0000-0000CA050000}"/>
    <cellStyle name="1_tree_터미널1-0_1_화명조경_백화점화장실인테리어" xfId="1484" xr:uid="{00000000-0005-0000-0000-0000CB050000}"/>
    <cellStyle name="1_tree_터미널1-0_1_화명조경_백화점화장실인테리어_1차 기성 내역서 0612023" xfId="1485" xr:uid="{00000000-0005-0000-0000-0000CC050000}"/>
    <cellStyle name="1_tree_터미널1-0_1_화명조경_백화점화장실인테리어_3차네고견적(061017-1)" xfId="1486" xr:uid="{00000000-0005-0000-0000-0000CD050000}"/>
    <cellStyle name="1_tree_터미널1-0_1차 기성 내역서 0612023" xfId="1487" xr:uid="{00000000-0005-0000-0000-0000CE050000}"/>
    <cellStyle name="1_tree_터미널1-0_3차네고견적(061017-1)" xfId="1488" xr:uid="{00000000-0005-0000-0000-0000CF050000}"/>
    <cellStyle name="1_tree_터미널1-0_백화점화장실인테리어" xfId="1489" xr:uid="{00000000-0005-0000-0000-0000D0050000}"/>
    <cellStyle name="1_tree_터미널1-0_백화점화장실인테리어_1차 기성 내역서 0612023" xfId="1490" xr:uid="{00000000-0005-0000-0000-0000D1050000}"/>
    <cellStyle name="1_tree_터미널1-0_백화점화장실인테리어_3차네고견적(061017-1)" xfId="1491" xr:uid="{00000000-0005-0000-0000-0000D2050000}"/>
    <cellStyle name="1_tree_터미널1-0_설계내역서" xfId="1492" xr:uid="{00000000-0005-0000-0000-0000D3050000}"/>
    <cellStyle name="1_tree_터미널1-0_설계내역서_1차 기성 내역서 0612023" xfId="1493" xr:uid="{00000000-0005-0000-0000-0000D4050000}"/>
    <cellStyle name="1_tree_터미널1-0_설계내역서_3차네고견적(061017-1)" xfId="1494" xr:uid="{00000000-0005-0000-0000-0000D5050000}"/>
    <cellStyle name="1_tree_터미널1-0_설계내역서_백화점화장실인테리어" xfId="1495" xr:uid="{00000000-0005-0000-0000-0000D6050000}"/>
    <cellStyle name="1_tree_터미널1-0_설계내역서_백화점화장실인테리어_1차 기성 내역서 0612023" xfId="1496" xr:uid="{00000000-0005-0000-0000-0000D7050000}"/>
    <cellStyle name="1_tree_터미널1-0_설계내역서_백화점화장실인테리어_3차네고견적(061017-1)" xfId="1497" xr:uid="{00000000-0005-0000-0000-0000D8050000}"/>
    <cellStyle name="1_tree_터미널1-0_설계내역서_화명조경" xfId="1498" xr:uid="{00000000-0005-0000-0000-0000D9050000}"/>
    <cellStyle name="1_tree_터미널1-0_설계내역서_화명조경_1차 기성 내역서 0612023" xfId="1499" xr:uid="{00000000-0005-0000-0000-0000DA050000}"/>
    <cellStyle name="1_tree_터미널1-0_설계내역서_화명조경_3차네고견적(061017-1)" xfId="1500" xr:uid="{00000000-0005-0000-0000-0000DB050000}"/>
    <cellStyle name="1_tree_터미널1-0_설계내역서_화명조경_백화점화장실인테리어" xfId="1501" xr:uid="{00000000-0005-0000-0000-0000DC050000}"/>
    <cellStyle name="1_tree_터미널1-0_설계내역서_화명조경_백화점화장실인테리어_1차 기성 내역서 0612023" xfId="1502" xr:uid="{00000000-0005-0000-0000-0000DD050000}"/>
    <cellStyle name="1_tree_터미널1-0_설계내역서_화명조경_백화점화장실인테리어_3차네고견적(061017-1)" xfId="1503" xr:uid="{00000000-0005-0000-0000-0000DE050000}"/>
    <cellStyle name="1_tree_터미널1-0_설계내역서1월7일" xfId="1504" xr:uid="{00000000-0005-0000-0000-0000DF050000}"/>
    <cellStyle name="1_tree_터미널1-0_설계내역서1월7일_1차 기성 내역서 0612023" xfId="1505" xr:uid="{00000000-0005-0000-0000-0000E0050000}"/>
    <cellStyle name="1_tree_터미널1-0_설계내역서1월7일_3차네고견적(061017-1)" xfId="1506" xr:uid="{00000000-0005-0000-0000-0000E1050000}"/>
    <cellStyle name="1_tree_터미널1-0_설계내역서1월7일_백화점화장실인테리어" xfId="1507" xr:uid="{00000000-0005-0000-0000-0000E2050000}"/>
    <cellStyle name="1_tree_터미널1-0_설계내역서1월7일_백화점화장실인테리어_1차 기성 내역서 0612023" xfId="1508" xr:uid="{00000000-0005-0000-0000-0000E3050000}"/>
    <cellStyle name="1_tree_터미널1-0_설계내역서1월7일_백화점화장실인테리어_3차네고견적(061017-1)" xfId="1509" xr:uid="{00000000-0005-0000-0000-0000E4050000}"/>
    <cellStyle name="1_tree_터미널1-0_설계내역서1월7일_화명조경" xfId="1510" xr:uid="{00000000-0005-0000-0000-0000E5050000}"/>
    <cellStyle name="1_tree_터미널1-0_설계내역서1월7일_화명조경_1차 기성 내역서 0612023" xfId="1511" xr:uid="{00000000-0005-0000-0000-0000E6050000}"/>
    <cellStyle name="1_tree_터미널1-0_설계내역서1월7일_화명조경_3차네고견적(061017-1)" xfId="1512" xr:uid="{00000000-0005-0000-0000-0000E7050000}"/>
    <cellStyle name="1_tree_터미널1-0_설계내역서1월7일_화명조경_백화점화장실인테리어" xfId="1513" xr:uid="{00000000-0005-0000-0000-0000E8050000}"/>
    <cellStyle name="1_tree_터미널1-0_설계내역서1월7일_화명조경_백화점화장실인테리어_1차 기성 내역서 0612023" xfId="1514" xr:uid="{00000000-0005-0000-0000-0000E9050000}"/>
    <cellStyle name="1_tree_터미널1-0_설계내역서1월7일_화명조경_백화점화장실인테리어_3차네고견적(061017-1)" xfId="1515" xr:uid="{00000000-0005-0000-0000-0000EA050000}"/>
    <cellStyle name="1_tree_터미널1-0_쌍용수량0905" xfId="1516" xr:uid="{00000000-0005-0000-0000-0000EB050000}"/>
    <cellStyle name="1_tree_터미널1-0_쌍용수량0905_1차 기성 내역서 0612023" xfId="1517" xr:uid="{00000000-0005-0000-0000-0000EC050000}"/>
    <cellStyle name="1_tree_터미널1-0_쌍용수량0905_3차네고견적(061017-1)" xfId="1518" xr:uid="{00000000-0005-0000-0000-0000ED050000}"/>
    <cellStyle name="1_tree_터미널1-0_쌍용수량0905_백화점화장실인테리어" xfId="1519" xr:uid="{00000000-0005-0000-0000-0000EE050000}"/>
    <cellStyle name="1_tree_터미널1-0_쌍용수량0905_백화점화장실인테리어_1차 기성 내역서 0612023" xfId="1520" xr:uid="{00000000-0005-0000-0000-0000EF050000}"/>
    <cellStyle name="1_tree_터미널1-0_쌍용수량0905_백화점화장실인테리어_3차네고견적(061017-1)" xfId="1521" xr:uid="{00000000-0005-0000-0000-0000F0050000}"/>
    <cellStyle name="1_tree_터미널1-0_쌍용수량0905_설계내역서" xfId="1522" xr:uid="{00000000-0005-0000-0000-0000F1050000}"/>
    <cellStyle name="1_tree_터미널1-0_쌍용수량0905_설계내역서_1차 기성 내역서 0612023" xfId="1523" xr:uid="{00000000-0005-0000-0000-0000F2050000}"/>
    <cellStyle name="1_tree_터미널1-0_쌍용수량0905_설계내역서_3차네고견적(061017-1)" xfId="1524" xr:uid="{00000000-0005-0000-0000-0000F3050000}"/>
    <cellStyle name="1_tree_터미널1-0_쌍용수량0905_설계내역서_백화점화장실인테리어" xfId="1525" xr:uid="{00000000-0005-0000-0000-0000F4050000}"/>
    <cellStyle name="1_tree_터미널1-0_쌍용수량0905_설계내역서_백화점화장실인테리어_1차 기성 내역서 0612023" xfId="1526" xr:uid="{00000000-0005-0000-0000-0000F5050000}"/>
    <cellStyle name="1_tree_터미널1-0_쌍용수량0905_설계내역서_백화점화장실인테리어_3차네고견적(061017-1)" xfId="1527" xr:uid="{00000000-0005-0000-0000-0000F6050000}"/>
    <cellStyle name="1_tree_터미널1-0_쌍용수량0905_설계내역서_화명조경" xfId="1528" xr:uid="{00000000-0005-0000-0000-0000F7050000}"/>
    <cellStyle name="1_tree_터미널1-0_쌍용수량0905_설계내역서_화명조경_1차 기성 내역서 0612023" xfId="1529" xr:uid="{00000000-0005-0000-0000-0000F8050000}"/>
    <cellStyle name="1_tree_터미널1-0_쌍용수량0905_설계내역서_화명조경_3차네고견적(061017-1)" xfId="1530" xr:uid="{00000000-0005-0000-0000-0000F9050000}"/>
    <cellStyle name="1_tree_터미널1-0_쌍용수량0905_설계내역서_화명조경_백화점화장실인테리어" xfId="1531" xr:uid="{00000000-0005-0000-0000-0000FA050000}"/>
    <cellStyle name="1_tree_터미널1-0_쌍용수량0905_설계내역서_화명조경_백화점화장실인테리어_1차 기성 내역서 0612023" xfId="1532" xr:uid="{00000000-0005-0000-0000-0000FB050000}"/>
    <cellStyle name="1_tree_터미널1-0_쌍용수량0905_설계내역서_화명조경_백화점화장실인테리어_3차네고견적(061017-1)" xfId="1533" xr:uid="{00000000-0005-0000-0000-0000FC050000}"/>
    <cellStyle name="1_tree_터미널1-0_쌍용수량0905_설계내역서1월7일" xfId="1534" xr:uid="{00000000-0005-0000-0000-0000FD050000}"/>
    <cellStyle name="1_tree_터미널1-0_쌍용수량0905_설계내역서1월7일_1차 기성 내역서 0612023" xfId="1535" xr:uid="{00000000-0005-0000-0000-0000FE050000}"/>
    <cellStyle name="1_tree_터미널1-0_쌍용수량0905_설계내역서1월7일_3차네고견적(061017-1)" xfId="1536" xr:uid="{00000000-0005-0000-0000-0000FF050000}"/>
    <cellStyle name="1_tree_터미널1-0_쌍용수량0905_설계내역서1월7일_백화점화장실인테리어" xfId="1537" xr:uid="{00000000-0005-0000-0000-000000060000}"/>
    <cellStyle name="1_tree_터미널1-0_쌍용수량0905_설계내역서1월7일_백화점화장실인테리어_1차 기성 내역서 0612023" xfId="1538" xr:uid="{00000000-0005-0000-0000-000001060000}"/>
    <cellStyle name="1_tree_터미널1-0_쌍용수량0905_설계내역서1월7일_백화점화장실인테리어_3차네고견적(061017-1)" xfId="1539" xr:uid="{00000000-0005-0000-0000-000002060000}"/>
    <cellStyle name="1_tree_터미널1-0_쌍용수량0905_설계내역서1월7일_화명조경" xfId="1540" xr:uid="{00000000-0005-0000-0000-000003060000}"/>
    <cellStyle name="1_tree_터미널1-0_쌍용수량0905_설계내역서1월7일_화명조경_1차 기성 내역서 0612023" xfId="1541" xr:uid="{00000000-0005-0000-0000-000004060000}"/>
    <cellStyle name="1_tree_터미널1-0_쌍용수량0905_설계내역서1월7일_화명조경_3차네고견적(061017-1)" xfId="1542" xr:uid="{00000000-0005-0000-0000-000005060000}"/>
    <cellStyle name="1_tree_터미널1-0_쌍용수량0905_설계내역서1월7일_화명조경_백화점화장실인테리어" xfId="1543" xr:uid="{00000000-0005-0000-0000-000006060000}"/>
    <cellStyle name="1_tree_터미널1-0_쌍용수량0905_설계내역서1월7일_화명조경_백화점화장실인테리어_1차 기성 내역서 0612023" xfId="1544" xr:uid="{00000000-0005-0000-0000-000007060000}"/>
    <cellStyle name="1_tree_터미널1-0_쌍용수량0905_설계내역서1월7일_화명조경_백화점화장실인테리어_3차네고견적(061017-1)" xfId="1545" xr:uid="{00000000-0005-0000-0000-000008060000}"/>
    <cellStyle name="1_tree_터미널1-0_쌍용수량0905_화명조경" xfId="1546" xr:uid="{00000000-0005-0000-0000-000009060000}"/>
    <cellStyle name="1_tree_터미널1-0_쌍용수량0905_화명조경_1차 기성 내역서 0612023" xfId="1547" xr:uid="{00000000-0005-0000-0000-00000A060000}"/>
    <cellStyle name="1_tree_터미널1-0_쌍용수량0905_화명조경_3차네고견적(061017-1)" xfId="1548" xr:uid="{00000000-0005-0000-0000-00000B060000}"/>
    <cellStyle name="1_tree_터미널1-0_쌍용수량0905_화명조경_백화점화장실인테리어" xfId="1549" xr:uid="{00000000-0005-0000-0000-00000C060000}"/>
    <cellStyle name="1_tree_터미널1-0_쌍용수량0905_화명조경_백화점화장실인테리어_1차 기성 내역서 0612023" xfId="1550" xr:uid="{00000000-0005-0000-0000-00000D060000}"/>
    <cellStyle name="1_tree_터미널1-0_쌍용수량0905_화명조경_백화점화장실인테리어_3차네고견적(061017-1)" xfId="1551" xr:uid="{00000000-0005-0000-0000-00000E060000}"/>
    <cellStyle name="1_tree_터미널1-0_화명조경" xfId="1552" xr:uid="{00000000-0005-0000-0000-00000F060000}"/>
    <cellStyle name="1_tree_터미널1-0_화명조경_1차 기성 내역서 0612023" xfId="1553" xr:uid="{00000000-0005-0000-0000-000010060000}"/>
    <cellStyle name="1_tree_터미널1-0_화명조경_3차네고견적(061017-1)" xfId="1554" xr:uid="{00000000-0005-0000-0000-000011060000}"/>
    <cellStyle name="1_tree_터미널1-0_화명조경_백화점화장실인테리어" xfId="1555" xr:uid="{00000000-0005-0000-0000-000012060000}"/>
    <cellStyle name="1_tree_터미널1-0_화명조경_백화점화장실인테리어_1차 기성 내역서 0612023" xfId="1556" xr:uid="{00000000-0005-0000-0000-000013060000}"/>
    <cellStyle name="1_tree_터미널1-0_화명조경_백화점화장실인테리어_3차네고견적(061017-1)" xfId="1557" xr:uid="{00000000-0005-0000-0000-000014060000}"/>
    <cellStyle name="1_tree_한풍집계" xfId="1558" xr:uid="{00000000-0005-0000-0000-000015060000}"/>
    <cellStyle name="1_tree_한풍집계_1차 기성 내역서 0612023" xfId="1559" xr:uid="{00000000-0005-0000-0000-000016060000}"/>
    <cellStyle name="1_tree_한풍집계_3차네고견적(061017-1)" xfId="1560" xr:uid="{00000000-0005-0000-0000-000017060000}"/>
    <cellStyle name="1_tree_한풍집계_갑지0601" xfId="1561" xr:uid="{00000000-0005-0000-0000-000018060000}"/>
    <cellStyle name="1_tree_한풍집계_갑지0601_00갑지" xfId="1562" xr:uid="{00000000-0005-0000-0000-000019060000}"/>
    <cellStyle name="1_tree_한풍집계_갑지0601_00갑지_1차 기성 내역서 0612023" xfId="1563" xr:uid="{00000000-0005-0000-0000-00001A060000}"/>
    <cellStyle name="1_tree_한풍집계_갑지0601_00갑지_3차네고견적(061017-1)" xfId="1564" xr:uid="{00000000-0005-0000-0000-00001B060000}"/>
    <cellStyle name="1_tree_한풍집계_갑지0601_00갑지_백화점화장실인테리어" xfId="1565" xr:uid="{00000000-0005-0000-0000-00001C060000}"/>
    <cellStyle name="1_tree_한풍집계_갑지0601_00갑지_백화점화장실인테리어_1차 기성 내역서 0612023" xfId="1566" xr:uid="{00000000-0005-0000-0000-00001D060000}"/>
    <cellStyle name="1_tree_한풍집계_갑지0601_00갑지_백화점화장실인테리어_3차네고견적(061017-1)" xfId="1567" xr:uid="{00000000-0005-0000-0000-00001E060000}"/>
    <cellStyle name="1_tree_한풍집계_갑지0601_00갑지_설계내역서" xfId="1568" xr:uid="{00000000-0005-0000-0000-00001F060000}"/>
    <cellStyle name="1_tree_한풍집계_갑지0601_00갑지_설계내역서_1차 기성 내역서 0612023" xfId="1569" xr:uid="{00000000-0005-0000-0000-000020060000}"/>
    <cellStyle name="1_tree_한풍집계_갑지0601_00갑지_설계내역서_3차네고견적(061017-1)" xfId="1570" xr:uid="{00000000-0005-0000-0000-000021060000}"/>
    <cellStyle name="1_tree_한풍집계_갑지0601_00갑지_설계내역서_백화점화장실인테리어" xfId="1571" xr:uid="{00000000-0005-0000-0000-000022060000}"/>
    <cellStyle name="1_tree_한풍집계_갑지0601_00갑지_설계내역서_백화점화장실인테리어_1차 기성 내역서 0612023" xfId="1572" xr:uid="{00000000-0005-0000-0000-000023060000}"/>
    <cellStyle name="1_tree_한풍집계_갑지0601_00갑지_설계내역서_백화점화장실인테리어_3차네고견적(061017-1)" xfId="1573" xr:uid="{00000000-0005-0000-0000-000024060000}"/>
    <cellStyle name="1_tree_한풍집계_갑지0601_00갑지_설계내역서_화명조경" xfId="1574" xr:uid="{00000000-0005-0000-0000-000025060000}"/>
    <cellStyle name="1_tree_한풍집계_갑지0601_00갑지_설계내역서_화명조경_1차 기성 내역서 0612023" xfId="1575" xr:uid="{00000000-0005-0000-0000-000026060000}"/>
    <cellStyle name="1_tree_한풍집계_갑지0601_00갑지_설계내역서_화명조경_3차네고견적(061017-1)" xfId="1576" xr:uid="{00000000-0005-0000-0000-000027060000}"/>
    <cellStyle name="1_tree_한풍집계_갑지0601_00갑지_설계내역서_화명조경_백화점화장실인테리어" xfId="1577" xr:uid="{00000000-0005-0000-0000-000028060000}"/>
    <cellStyle name="1_tree_한풍집계_갑지0601_00갑지_설계내역서_화명조경_백화점화장실인테리어_1차 기성 내역서 0612023" xfId="1578" xr:uid="{00000000-0005-0000-0000-000029060000}"/>
    <cellStyle name="1_tree_한풍집계_갑지0601_00갑지_설계내역서_화명조경_백화점화장실인테리어_3차네고견적(061017-1)" xfId="1579" xr:uid="{00000000-0005-0000-0000-00002A060000}"/>
    <cellStyle name="1_tree_한풍집계_갑지0601_00갑지_설계내역서1월7일" xfId="1580" xr:uid="{00000000-0005-0000-0000-00002B060000}"/>
    <cellStyle name="1_tree_한풍집계_갑지0601_00갑지_설계내역서1월7일_1차 기성 내역서 0612023" xfId="1581" xr:uid="{00000000-0005-0000-0000-00002C060000}"/>
    <cellStyle name="1_tree_한풍집계_갑지0601_00갑지_설계내역서1월7일_3차네고견적(061017-1)" xfId="1582" xr:uid="{00000000-0005-0000-0000-00002D060000}"/>
    <cellStyle name="1_tree_한풍집계_갑지0601_00갑지_설계내역서1월7일_백화점화장실인테리어" xfId="1583" xr:uid="{00000000-0005-0000-0000-00002E060000}"/>
    <cellStyle name="1_tree_한풍집계_갑지0601_00갑지_설계내역서1월7일_백화점화장실인테리어_1차 기성 내역서 0612023" xfId="1584" xr:uid="{00000000-0005-0000-0000-00002F060000}"/>
    <cellStyle name="1_tree_한풍집계_갑지0601_00갑지_설계내역서1월7일_백화점화장실인테리어_3차네고견적(061017-1)" xfId="1585" xr:uid="{00000000-0005-0000-0000-000030060000}"/>
    <cellStyle name="1_tree_한풍집계_갑지0601_00갑지_설계내역서1월7일_화명조경" xfId="1586" xr:uid="{00000000-0005-0000-0000-000031060000}"/>
    <cellStyle name="1_tree_한풍집계_갑지0601_00갑지_설계내역서1월7일_화명조경_1차 기성 내역서 0612023" xfId="1587" xr:uid="{00000000-0005-0000-0000-000032060000}"/>
    <cellStyle name="1_tree_한풍집계_갑지0601_00갑지_설계내역서1월7일_화명조경_3차네고견적(061017-1)" xfId="1588" xr:uid="{00000000-0005-0000-0000-000033060000}"/>
    <cellStyle name="1_tree_한풍집계_갑지0601_00갑지_설계내역서1월7일_화명조경_백화점화장실인테리어" xfId="1589" xr:uid="{00000000-0005-0000-0000-000034060000}"/>
    <cellStyle name="1_tree_한풍집계_갑지0601_00갑지_설계내역서1월7일_화명조경_백화점화장실인테리어_1차 기성 내역서 0612023" xfId="1590" xr:uid="{00000000-0005-0000-0000-000035060000}"/>
    <cellStyle name="1_tree_한풍집계_갑지0601_00갑지_설계내역서1월7일_화명조경_백화점화장실인테리어_3차네고견적(061017-1)" xfId="1591" xr:uid="{00000000-0005-0000-0000-000036060000}"/>
    <cellStyle name="1_tree_한풍집계_갑지0601_00갑지_화명조경" xfId="1592" xr:uid="{00000000-0005-0000-0000-000037060000}"/>
    <cellStyle name="1_tree_한풍집계_갑지0601_00갑지_화명조경_1차 기성 내역서 0612023" xfId="1593" xr:uid="{00000000-0005-0000-0000-000038060000}"/>
    <cellStyle name="1_tree_한풍집계_갑지0601_00갑지_화명조경_3차네고견적(061017-1)" xfId="1594" xr:uid="{00000000-0005-0000-0000-000039060000}"/>
    <cellStyle name="1_tree_한풍집계_갑지0601_00갑지_화명조경_백화점화장실인테리어" xfId="1595" xr:uid="{00000000-0005-0000-0000-00003A060000}"/>
    <cellStyle name="1_tree_한풍집계_갑지0601_00갑지_화명조경_백화점화장실인테리어_1차 기성 내역서 0612023" xfId="1596" xr:uid="{00000000-0005-0000-0000-00003B060000}"/>
    <cellStyle name="1_tree_한풍집계_갑지0601_00갑지_화명조경_백화점화장실인테리어_3차네고견적(061017-1)" xfId="1597" xr:uid="{00000000-0005-0000-0000-00003C060000}"/>
    <cellStyle name="1_tree_한풍집계_갑지0601_1차 기성 내역서 0612023" xfId="1598" xr:uid="{00000000-0005-0000-0000-00003D060000}"/>
    <cellStyle name="1_tree_한풍집계_갑지0601_3차네고견적(061017-1)" xfId="1599" xr:uid="{00000000-0005-0000-0000-00003E060000}"/>
    <cellStyle name="1_tree_한풍집계_갑지0601_과천놀이터설계서" xfId="1600" xr:uid="{00000000-0005-0000-0000-00003F060000}"/>
    <cellStyle name="1_tree_한풍집계_갑지0601_과천놀이터설계서_1차 기성 내역서 0612023" xfId="1601" xr:uid="{00000000-0005-0000-0000-000040060000}"/>
    <cellStyle name="1_tree_한풍집계_갑지0601_과천놀이터설계서_3차네고견적(061017-1)" xfId="1602" xr:uid="{00000000-0005-0000-0000-000041060000}"/>
    <cellStyle name="1_tree_한풍집계_갑지0601_과천놀이터설계서_백화점화장실인테리어" xfId="1603" xr:uid="{00000000-0005-0000-0000-000042060000}"/>
    <cellStyle name="1_tree_한풍집계_갑지0601_과천놀이터설계서_백화점화장실인테리어_1차 기성 내역서 0612023" xfId="1604" xr:uid="{00000000-0005-0000-0000-000043060000}"/>
    <cellStyle name="1_tree_한풍집계_갑지0601_과천놀이터설계서_백화점화장실인테리어_3차네고견적(061017-1)" xfId="1605" xr:uid="{00000000-0005-0000-0000-000044060000}"/>
    <cellStyle name="1_tree_한풍집계_갑지0601_과천놀이터설계서_설계내역서" xfId="1606" xr:uid="{00000000-0005-0000-0000-000045060000}"/>
    <cellStyle name="1_tree_한풍집계_갑지0601_과천놀이터설계서_설계내역서_1차 기성 내역서 0612023" xfId="1607" xr:uid="{00000000-0005-0000-0000-000046060000}"/>
    <cellStyle name="1_tree_한풍집계_갑지0601_과천놀이터설계서_설계내역서_3차네고견적(061017-1)" xfId="1608" xr:uid="{00000000-0005-0000-0000-000047060000}"/>
    <cellStyle name="1_tree_한풍집계_갑지0601_과천놀이터설계서_설계내역서_백화점화장실인테리어" xfId="1609" xr:uid="{00000000-0005-0000-0000-000048060000}"/>
    <cellStyle name="1_tree_한풍집계_갑지0601_과천놀이터설계서_설계내역서_백화점화장실인테리어_1차 기성 내역서 0612023" xfId="1610" xr:uid="{00000000-0005-0000-0000-000049060000}"/>
    <cellStyle name="1_tree_한풍집계_갑지0601_과천놀이터설계서_설계내역서_백화점화장실인테리어_3차네고견적(061017-1)" xfId="1611" xr:uid="{00000000-0005-0000-0000-00004A060000}"/>
    <cellStyle name="1_tree_한풍집계_갑지0601_과천놀이터설계서_설계내역서_화명조경" xfId="1612" xr:uid="{00000000-0005-0000-0000-00004B060000}"/>
    <cellStyle name="1_tree_한풍집계_갑지0601_과천놀이터설계서_설계내역서_화명조경_1차 기성 내역서 0612023" xfId="1613" xr:uid="{00000000-0005-0000-0000-00004C060000}"/>
    <cellStyle name="1_tree_한풍집계_갑지0601_과천놀이터설계서_설계내역서_화명조경_3차네고견적(061017-1)" xfId="1614" xr:uid="{00000000-0005-0000-0000-00004D060000}"/>
    <cellStyle name="1_tree_한풍집계_갑지0601_과천놀이터설계서_설계내역서_화명조경_백화점화장실인테리어" xfId="1615" xr:uid="{00000000-0005-0000-0000-00004E060000}"/>
    <cellStyle name="1_tree_한풍집계_갑지0601_과천놀이터설계서_설계내역서_화명조경_백화점화장실인테리어_1차 기성 내역서 0612023" xfId="1616" xr:uid="{00000000-0005-0000-0000-00004F060000}"/>
    <cellStyle name="1_tree_한풍집계_갑지0601_과천놀이터설계서_설계내역서_화명조경_백화점화장실인테리어_3차네고견적(061017-1)" xfId="1617" xr:uid="{00000000-0005-0000-0000-000050060000}"/>
    <cellStyle name="1_tree_한풍집계_갑지0601_과천놀이터설계서_설계내역서1월7일" xfId="1618" xr:uid="{00000000-0005-0000-0000-000051060000}"/>
    <cellStyle name="1_tree_한풍집계_갑지0601_과천놀이터설계서_설계내역서1월7일_1차 기성 내역서 0612023" xfId="1619" xr:uid="{00000000-0005-0000-0000-000052060000}"/>
    <cellStyle name="1_tree_한풍집계_갑지0601_과천놀이터설계서_설계내역서1월7일_3차네고견적(061017-1)" xfId="1620" xr:uid="{00000000-0005-0000-0000-000053060000}"/>
    <cellStyle name="1_tree_한풍집계_갑지0601_과천놀이터설계서_설계내역서1월7일_백화점화장실인테리어" xfId="1621" xr:uid="{00000000-0005-0000-0000-000054060000}"/>
    <cellStyle name="1_tree_한풍집계_갑지0601_과천놀이터설계서_설계내역서1월7일_백화점화장실인테리어_1차 기성 내역서 0612023" xfId="1622" xr:uid="{00000000-0005-0000-0000-000055060000}"/>
    <cellStyle name="1_tree_한풍집계_갑지0601_과천놀이터설계서_설계내역서1월7일_백화점화장실인테리어_3차네고견적(061017-1)" xfId="1623" xr:uid="{00000000-0005-0000-0000-000056060000}"/>
    <cellStyle name="1_tree_한풍집계_갑지0601_과천놀이터설계서_설계내역서1월7일_화명조경" xfId="1624" xr:uid="{00000000-0005-0000-0000-000057060000}"/>
    <cellStyle name="1_tree_한풍집계_갑지0601_과천놀이터설계서_설계내역서1월7일_화명조경_1차 기성 내역서 0612023" xfId="1625" xr:uid="{00000000-0005-0000-0000-000058060000}"/>
    <cellStyle name="1_tree_한풍집계_갑지0601_과천놀이터설계서_설계내역서1월7일_화명조경_3차네고견적(061017-1)" xfId="1626" xr:uid="{00000000-0005-0000-0000-000059060000}"/>
    <cellStyle name="1_tree_한풍집계_갑지0601_과천놀이터설계서_설계내역서1월7일_화명조경_백화점화장실인테리어" xfId="1627" xr:uid="{00000000-0005-0000-0000-00005A060000}"/>
    <cellStyle name="1_tree_한풍집계_갑지0601_과천놀이터설계서_설계내역서1월7일_화명조경_백화점화장실인테리어_1차 기성 내역서 0612023" xfId="1628" xr:uid="{00000000-0005-0000-0000-00005B060000}"/>
    <cellStyle name="1_tree_한풍집계_갑지0601_과천놀이터설계서_설계내역서1월7일_화명조경_백화점화장실인테리어_3차네고견적(061017-1)" xfId="1629" xr:uid="{00000000-0005-0000-0000-00005C060000}"/>
    <cellStyle name="1_tree_한풍집계_갑지0601_과천놀이터설계서_화명조경" xfId="1630" xr:uid="{00000000-0005-0000-0000-00005D060000}"/>
    <cellStyle name="1_tree_한풍집계_갑지0601_과천놀이터설계서_화명조경_1차 기성 내역서 0612023" xfId="1631" xr:uid="{00000000-0005-0000-0000-00005E060000}"/>
    <cellStyle name="1_tree_한풍집계_갑지0601_과천놀이터설계서_화명조경_3차네고견적(061017-1)" xfId="1632" xr:uid="{00000000-0005-0000-0000-00005F060000}"/>
    <cellStyle name="1_tree_한풍집계_갑지0601_과천놀이터설계서_화명조경_백화점화장실인테리어" xfId="1633" xr:uid="{00000000-0005-0000-0000-000060060000}"/>
    <cellStyle name="1_tree_한풍집계_갑지0601_과천놀이터설계서_화명조경_백화점화장실인테리어_1차 기성 내역서 0612023" xfId="1634" xr:uid="{00000000-0005-0000-0000-000061060000}"/>
    <cellStyle name="1_tree_한풍집계_갑지0601_과천놀이터설계서_화명조경_백화점화장실인테리어_3차네고견적(061017-1)" xfId="1635" xr:uid="{00000000-0005-0000-0000-000062060000}"/>
    <cellStyle name="1_tree_한풍집계_갑지0601_백화점화장실인테리어" xfId="1636" xr:uid="{00000000-0005-0000-0000-000063060000}"/>
    <cellStyle name="1_tree_한풍집계_갑지0601_백화점화장실인테리어_1차 기성 내역서 0612023" xfId="1637" xr:uid="{00000000-0005-0000-0000-000064060000}"/>
    <cellStyle name="1_tree_한풍집계_갑지0601_백화점화장실인테리어_3차네고견적(061017-1)" xfId="1638" xr:uid="{00000000-0005-0000-0000-000065060000}"/>
    <cellStyle name="1_tree_한풍집계_갑지0601_총괄갑지" xfId="1639" xr:uid="{00000000-0005-0000-0000-000066060000}"/>
    <cellStyle name="1_tree_한풍집계_갑지0601_총괄갑지_1차 기성 내역서 0612023" xfId="1640" xr:uid="{00000000-0005-0000-0000-000067060000}"/>
    <cellStyle name="1_tree_한풍집계_갑지0601_총괄갑지_3차네고견적(061017-1)" xfId="1641" xr:uid="{00000000-0005-0000-0000-000068060000}"/>
    <cellStyle name="1_tree_한풍집계_갑지0601_총괄갑지_백화점화장실인테리어" xfId="1642" xr:uid="{00000000-0005-0000-0000-000069060000}"/>
    <cellStyle name="1_tree_한풍집계_갑지0601_총괄갑지_백화점화장실인테리어_1차 기성 내역서 0612023" xfId="1643" xr:uid="{00000000-0005-0000-0000-00006A060000}"/>
    <cellStyle name="1_tree_한풍집계_갑지0601_총괄갑지_백화점화장실인테리어_3차네고견적(061017-1)" xfId="1644" xr:uid="{00000000-0005-0000-0000-00006B060000}"/>
    <cellStyle name="1_tree_한풍집계_갑지0601_총괄갑지_설계내역서" xfId="1645" xr:uid="{00000000-0005-0000-0000-00006C060000}"/>
    <cellStyle name="1_tree_한풍집계_갑지0601_총괄갑지_설계내역서_1차 기성 내역서 0612023" xfId="1646" xr:uid="{00000000-0005-0000-0000-00006D060000}"/>
    <cellStyle name="1_tree_한풍집계_갑지0601_총괄갑지_설계내역서_3차네고견적(061017-1)" xfId="1647" xr:uid="{00000000-0005-0000-0000-00006E060000}"/>
    <cellStyle name="1_tree_한풍집계_갑지0601_총괄갑지_설계내역서_백화점화장실인테리어" xfId="1648" xr:uid="{00000000-0005-0000-0000-00006F060000}"/>
    <cellStyle name="1_tree_한풍집계_갑지0601_총괄갑지_설계내역서_백화점화장실인테리어_1차 기성 내역서 0612023" xfId="1649" xr:uid="{00000000-0005-0000-0000-000070060000}"/>
    <cellStyle name="1_tree_한풍집계_갑지0601_총괄갑지_설계내역서_백화점화장실인테리어_3차네고견적(061017-1)" xfId="1650" xr:uid="{00000000-0005-0000-0000-000071060000}"/>
    <cellStyle name="1_tree_한풍집계_갑지0601_총괄갑지_설계내역서_화명조경" xfId="1651" xr:uid="{00000000-0005-0000-0000-000072060000}"/>
    <cellStyle name="1_tree_한풍집계_갑지0601_총괄갑지_설계내역서_화명조경_1차 기성 내역서 0612023" xfId="1652" xr:uid="{00000000-0005-0000-0000-000073060000}"/>
    <cellStyle name="1_tree_한풍집계_갑지0601_총괄갑지_설계내역서_화명조경_3차네고견적(061017-1)" xfId="1653" xr:uid="{00000000-0005-0000-0000-000074060000}"/>
    <cellStyle name="1_tree_한풍집계_갑지0601_총괄갑지_설계내역서_화명조경_백화점화장실인테리어" xfId="1654" xr:uid="{00000000-0005-0000-0000-000075060000}"/>
    <cellStyle name="1_tree_한풍집계_갑지0601_총괄갑지_설계내역서_화명조경_백화점화장실인테리어_1차 기성 내역서 0612023" xfId="1655" xr:uid="{00000000-0005-0000-0000-000076060000}"/>
    <cellStyle name="1_tree_한풍집계_갑지0601_총괄갑지_설계내역서_화명조경_백화점화장실인테리어_3차네고견적(061017-1)" xfId="1656" xr:uid="{00000000-0005-0000-0000-000077060000}"/>
    <cellStyle name="1_tree_한풍집계_갑지0601_총괄갑지_설계내역서1월7일" xfId="1657" xr:uid="{00000000-0005-0000-0000-000078060000}"/>
    <cellStyle name="1_tree_한풍집계_갑지0601_총괄갑지_설계내역서1월7일_1차 기성 내역서 0612023" xfId="1658" xr:uid="{00000000-0005-0000-0000-000079060000}"/>
    <cellStyle name="1_tree_한풍집계_갑지0601_총괄갑지_설계내역서1월7일_3차네고견적(061017-1)" xfId="1659" xr:uid="{00000000-0005-0000-0000-00007A060000}"/>
    <cellStyle name="1_tree_한풍집계_갑지0601_총괄갑지_설계내역서1월7일_백화점화장실인테리어" xfId="1660" xr:uid="{00000000-0005-0000-0000-00007B060000}"/>
    <cellStyle name="1_tree_한풍집계_갑지0601_총괄갑지_설계내역서1월7일_백화점화장실인테리어_1차 기성 내역서 0612023" xfId="1661" xr:uid="{00000000-0005-0000-0000-00007C060000}"/>
    <cellStyle name="1_tree_한풍집계_갑지0601_총괄갑지_설계내역서1월7일_백화점화장실인테리어_3차네고견적(061017-1)" xfId="1662" xr:uid="{00000000-0005-0000-0000-00007D060000}"/>
    <cellStyle name="1_tree_한풍집계_갑지0601_총괄갑지_설계내역서1월7일_화명조경" xfId="1663" xr:uid="{00000000-0005-0000-0000-00007E060000}"/>
    <cellStyle name="1_tree_한풍집계_갑지0601_총괄갑지_설계내역서1월7일_화명조경_1차 기성 내역서 0612023" xfId="1664" xr:uid="{00000000-0005-0000-0000-00007F060000}"/>
    <cellStyle name="1_tree_한풍집계_갑지0601_총괄갑지_설계내역서1월7일_화명조경_3차네고견적(061017-1)" xfId="1665" xr:uid="{00000000-0005-0000-0000-000080060000}"/>
    <cellStyle name="1_tree_한풍집계_갑지0601_총괄갑지_설계내역서1월7일_화명조경_백화점화장실인테리어" xfId="1666" xr:uid="{00000000-0005-0000-0000-000081060000}"/>
    <cellStyle name="1_tree_한풍집계_갑지0601_총괄갑지_설계내역서1월7일_화명조경_백화점화장실인테리어_1차 기성 내역서 0612023" xfId="1667" xr:uid="{00000000-0005-0000-0000-000082060000}"/>
    <cellStyle name="1_tree_한풍집계_갑지0601_총괄갑지_설계내역서1월7일_화명조경_백화점화장실인테리어_3차네고견적(061017-1)" xfId="1668" xr:uid="{00000000-0005-0000-0000-000083060000}"/>
    <cellStyle name="1_tree_한풍집계_갑지0601_총괄갑지_화명조경" xfId="1669" xr:uid="{00000000-0005-0000-0000-000084060000}"/>
    <cellStyle name="1_tree_한풍집계_갑지0601_총괄갑지_화명조경_1차 기성 내역서 0612023" xfId="1670" xr:uid="{00000000-0005-0000-0000-000085060000}"/>
    <cellStyle name="1_tree_한풍집계_갑지0601_총괄갑지_화명조경_3차네고견적(061017-1)" xfId="1671" xr:uid="{00000000-0005-0000-0000-000086060000}"/>
    <cellStyle name="1_tree_한풍집계_갑지0601_총괄갑지_화명조경_백화점화장실인테리어" xfId="1672" xr:uid="{00000000-0005-0000-0000-000087060000}"/>
    <cellStyle name="1_tree_한풍집계_갑지0601_총괄갑지_화명조경_백화점화장실인테리어_1차 기성 내역서 0612023" xfId="1673" xr:uid="{00000000-0005-0000-0000-000088060000}"/>
    <cellStyle name="1_tree_한풍집계_갑지0601_총괄갑지_화명조경_백화점화장실인테리어_3차네고견적(061017-1)" xfId="1674" xr:uid="{00000000-0005-0000-0000-000089060000}"/>
    <cellStyle name="1_tree_한풍집계_갑지0601_총괄내역서" xfId="1675" xr:uid="{00000000-0005-0000-0000-00008A060000}"/>
    <cellStyle name="1_tree_한풍집계_갑지0601_총괄내역서_1차 기성 내역서 0612023" xfId="1676" xr:uid="{00000000-0005-0000-0000-00008B060000}"/>
    <cellStyle name="1_tree_한풍집계_갑지0601_총괄내역서_3차네고견적(061017-1)" xfId="1677" xr:uid="{00000000-0005-0000-0000-00008C060000}"/>
    <cellStyle name="1_tree_한풍집계_갑지0601_총괄내역서_백화점화장실인테리어" xfId="1678" xr:uid="{00000000-0005-0000-0000-00008D060000}"/>
    <cellStyle name="1_tree_한풍집계_갑지0601_총괄내역서_백화점화장실인테리어_1차 기성 내역서 0612023" xfId="1679" xr:uid="{00000000-0005-0000-0000-00008E060000}"/>
    <cellStyle name="1_tree_한풍집계_갑지0601_총괄내역서_백화점화장실인테리어_3차네고견적(061017-1)" xfId="1680" xr:uid="{00000000-0005-0000-0000-00008F060000}"/>
    <cellStyle name="1_tree_한풍집계_갑지0601_총괄내역서_설계내역서" xfId="1681" xr:uid="{00000000-0005-0000-0000-000090060000}"/>
    <cellStyle name="1_tree_한풍집계_갑지0601_총괄내역서_설계내역서_1차 기성 내역서 0612023" xfId="1682" xr:uid="{00000000-0005-0000-0000-000091060000}"/>
    <cellStyle name="1_tree_한풍집계_갑지0601_총괄내역서_설계내역서_3차네고견적(061017-1)" xfId="1683" xr:uid="{00000000-0005-0000-0000-000092060000}"/>
    <cellStyle name="1_tree_한풍집계_갑지0601_총괄내역서_설계내역서_백화점화장실인테리어" xfId="1684" xr:uid="{00000000-0005-0000-0000-000093060000}"/>
    <cellStyle name="1_tree_한풍집계_갑지0601_총괄내역서_설계내역서_백화점화장실인테리어_1차 기성 내역서 0612023" xfId="1685" xr:uid="{00000000-0005-0000-0000-000094060000}"/>
    <cellStyle name="1_tree_한풍집계_갑지0601_총괄내역서_설계내역서_백화점화장실인테리어_3차네고견적(061017-1)" xfId="1686" xr:uid="{00000000-0005-0000-0000-000095060000}"/>
    <cellStyle name="1_tree_한풍집계_갑지0601_총괄내역서_설계내역서_화명조경" xfId="1687" xr:uid="{00000000-0005-0000-0000-000096060000}"/>
    <cellStyle name="1_tree_한풍집계_갑지0601_총괄내역서_설계내역서_화명조경_1차 기성 내역서 0612023" xfId="1688" xr:uid="{00000000-0005-0000-0000-000097060000}"/>
    <cellStyle name="1_tree_한풍집계_갑지0601_총괄내역서_설계내역서_화명조경_3차네고견적(061017-1)" xfId="1689" xr:uid="{00000000-0005-0000-0000-000098060000}"/>
    <cellStyle name="1_tree_한풍집계_갑지0601_총괄내역서_설계내역서_화명조경_백화점화장실인테리어" xfId="1690" xr:uid="{00000000-0005-0000-0000-000099060000}"/>
    <cellStyle name="1_tree_한풍집계_갑지0601_총괄내역서_설계내역서_화명조경_백화점화장실인테리어_1차 기성 내역서 0612023" xfId="1691" xr:uid="{00000000-0005-0000-0000-00009A060000}"/>
    <cellStyle name="1_tree_한풍집계_갑지0601_총괄내역서_설계내역서_화명조경_백화점화장실인테리어_3차네고견적(061017-1)" xfId="1692" xr:uid="{00000000-0005-0000-0000-00009B060000}"/>
    <cellStyle name="1_tree_한풍집계_갑지0601_총괄내역서_설계내역서1월7일" xfId="1693" xr:uid="{00000000-0005-0000-0000-00009C060000}"/>
    <cellStyle name="1_tree_한풍집계_갑지0601_총괄내역서_설계내역서1월7일_1차 기성 내역서 0612023" xfId="1694" xr:uid="{00000000-0005-0000-0000-00009D060000}"/>
    <cellStyle name="1_tree_한풍집계_갑지0601_총괄내역서_설계내역서1월7일_3차네고견적(061017-1)" xfId="1695" xr:uid="{00000000-0005-0000-0000-00009E060000}"/>
    <cellStyle name="1_tree_한풍집계_갑지0601_총괄내역서_설계내역서1월7일_백화점화장실인테리어" xfId="1696" xr:uid="{00000000-0005-0000-0000-00009F060000}"/>
    <cellStyle name="1_tree_한풍집계_갑지0601_총괄내역서_설계내역서1월7일_백화점화장실인테리어_1차 기성 내역서 0612023" xfId="1697" xr:uid="{00000000-0005-0000-0000-0000A0060000}"/>
    <cellStyle name="1_tree_한풍집계_갑지0601_총괄내역서_설계내역서1월7일_백화점화장실인테리어_3차네고견적(061017-1)" xfId="1698" xr:uid="{00000000-0005-0000-0000-0000A1060000}"/>
    <cellStyle name="1_tree_한풍집계_갑지0601_총괄내역서_설계내역서1월7일_화명조경" xfId="1699" xr:uid="{00000000-0005-0000-0000-0000A2060000}"/>
    <cellStyle name="1_tree_한풍집계_갑지0601_총괄내역서_설계내역서1월7일_화명조경_1차 기성 내역서 0612023" xfId="1700" xr:uid="{00000000-0005-0000-0000-0000A3060000}"/>
    <cellStyle name="1_tree_한풍집계_갑지0601_총괄내역서_설계내역서1월7일_화명조경_3차네고견적(061017-1)" xfId="1701" xr:uid="{00000000-0005-0000-0000-0000A4060000}"/>
    <cellStyle name="1_tree_한풍집계_갑지0601_총괄내역서_설계내역서1월7일_화명조경_백화점화장실인테리어" xfId="1702" xr:uid="{00000000-0005-0000-0000-0000A5060000}"/>
    <cellStyle name="1_tree_한풍집계_갑지0601_총괄내역서_설계내역서1월7일_화명조경_백화점화장실인테리어_1차 기성 내역서 0612023" xfId="1703" xr:uid="{00000000-0005-0000-0000-0000A6060000}"/>
    <cellStyle name="1_tree_한풍집계_갑지0601_총괄내역서_설계내역서1월7일_화명조경_백화점화장실인테리어_3차네고견적(061017-1)" xfId="1704" xr:uid="{00000000-0005-0000-0000-0000A7060000}"/>
    <cellStyle name="1_tree_한풍집계_갑지0601_총괄내역서_화명조경" xfId="1705" xr:uid="{00000000-0005-0000-0000-0000A8060000}"/>
    <cellStyle name="1_tree_한풍집계_갑지0601_총괄내역서_화명조경_1차 기성 내역서 0612023" xfId="1706" xr:uid="{00000000-0005-0000-0000-0000A9060000}"/>
    <cellStyle name="1_tree_한풍집계_갑지0601_총괄내역서_화명조경_3차네고견적(061017-1)" xfId="1707" xr:uid="{00000000-0005-0000-0000-0000AA060000}"/>
    <cellStyle name="1_tree_한풍집계_갑지0601_총괄내역서_화명조경_백화점화장실인테리어" xfId="1708" xr:uid="{00000000-0005-0000-0000-0000AB060000}"/>
    <cellStyle name="1_tree_한풍집계_갑지0601_총괄내역서_화명조경_백화점화장실인테리어_1차 기성 내역서 0612023" xfId="1709" xr:uid="{00000000-0005-0000-0000-0000AC060000}"/>
    <cellStyle name="1_tree_한풍집계_갑지0601_총괄내역서_화명조경_백화점화장실인테리어_3차네고견적(061017-1)" xfId="1710" xr:uid="{00000000-0005-0000-0000-0000AD060000}"/>
    <cellStyle name="1_tree_한풍집계_갑지0601_화명조경" xfId="1711" xr:uid="{00000000-0005-0000-0000-0000AE060000}"/>
    <cellStyle name="1_tree_한풍집계_갑지0601_화명조경_1차 기성 내역서 0612023" xfId="1712" xr:uid="{00000000-0005-0000-0000-0000AF060000}"/>
    <cellStyle name="1_tree_한풍집계_갑지0601_화명조경_3차네고견적(061017-1)" xfId="1713" xr:uid="{00000000-0005-0000-0000-0000B0060000}"/>
    <cellStyle name="1_tree_한풍집계_갑지0601_화명조경_백화점화장실인테리어" xfId="1714" xr:uid="{00000000-0005-0000-0000-0000B1060000}"/>
    <cellStyle name="1_tree_한풍집계_갑지0601_화명조경_백화점화장실인테리어_1차 기성 내역서 0612023" xfId="1715" xr:uid="{00000000-0005-0000-0000-0000B2060000}"/>
    <cellStyle name="1_tree_한풍집계_갑지0601_화명조경_백화점화장실인테리어_3차네고견적(061017-1)" xfId="1716" xr:uid="{00000000-0005-0000-0000-0000B3060000}"/>
    <cellStyle name="1_tree_한풍집계_백화점화장실인테리어" xfId="1717" xr:uid="{00000000-0005-0000-0000-0000B4060000}"/>
    <cellStyle name="1_tree_한풍집계_백화점화장실인테리어_1차 기성 내역서 0612023" xfId="1718" xr:uid="{00000000-0005-0000-0000-0000B5060000}"/>
    <cellStyle name="1_tree_한풍집계_백화점화장실인테리어_3차네고견적(061017-1)" xfId="1719" xr:uid="{00000000-0005-0000-0000-0000B6060000}"/>
    <cellStyle name="1_tree_한풍집계_설계내역서" xfId="1720" xr:uid="{00000000-0005-0000-0000-0000B7060000}"/>
    <cellStyle name="1_tree_한풍집계_설계내역서_1차 기성 내역서 0612023" xfId="1721" xr:uid="{00000000-0005-0000-0000-0000B8060000}"/>
    <cellStyle name="1_tree_한풍집계_설계내역서_3차네고견적(061017-1)" xfId="1722" xr:uid="{00000000-0005-0000-0000-0000B9060000}"/>
    <cellStyle name="1_tree_한풍집계_설계내역서_백화점화장실인테리어" xfId="1723" xr:uid="{00000000-0005-0000-0000-0000BA060000}"/>
    <cellStyle name="1_tree_한풍집계_설계내역서_백화점화장실인테리어_1차 기성 내역서 0612023" xfId="1724" xr:uid="{00000000-0005-0000-0000-0000BB060000}"/>
    <cellStyle name="1_tree_한풍집계_설계내역서_백화점화장실인테리어_3차네고견적(061017-1)" xfId="1725" xr:uid="{00000000-0005-0000-0000-0000BC060000}"/>
    <cellStyle name="1_tree_한풍집계_설계내역서_화명조경" xfId="1726" xr:uid="{00000000-0005-0000-0000-0000BD060000}"/>
    <cellStyle name="1_tree_한풍집계_설계내역서_화명조경_1차 기성 내역서 0612023" xfId="1727" xr:uid="{00000000-0005-0000-0000-0000BE060000}"/>
    <cellStyle name="1_tree_한풍집계_설계내역서_화명조경_3차네고견적(061017-1)" xfId="1728" xr:uid="{00000000-0005-0000-0000-0000BF060000}"/>
    <cellStyle name="1_tree_한풍집계_설계내역서_화명조경_백화점화장실인테리어" xfId="1729" xr:uid="{00000000-0005-0000-0000-0000C0060000}"/>
    <cellStyle name="1_tree_한풍집계_설계내역서_화명조경_백화점화장실인테리어_1차 기성 내역서 0612023" xfId="1730" xr:uid="{00000000-0005-0000-0000-0000C1060000}"/>
    <cellStyle name="1_tree_한풍집계_설계내역서_화명조경_백화점화장실인테리어_3차네고견적(061017-1)" xfId="1731" xr:uid="{00000000-0005-0000-0000-0000C2060000}"/>
    <cellStyle name="1_tree_한풍집계_설계내역서1월7일" xfId="1732" xr:uid="{00000000-0005-0000-0000-0000C3060000}"/>
    <cellStyle name="1_tree_한풍집계_설계내역서1월7일_1차 기성 내역서 0612023" xfId="1733" xr:uid="{00000000-0005-0000-0000-0000C4060000}"/>
    <cellStyle name="1_tree_한풍집계_설계내역서1월7일_3차네고견적(061017-1)" xfId="1734" xr:uid="{00000000-0005-0000-0000-0000C5060000}"/>
    <cellStyle name="1_tree_한풍집계_설계내역서1월7일_백화점화장실인테리어" xfId="1735" xr:uid="{00000000-0005-0000-0000-0000C6060000}"/>
    <cellStyle name="1_tree_한풍집계_설계내역서1월7일_백화점화장실인테리어_1차 기성 내역서 0612023" xfId="1736" xr:uid="{00000000-0005-0000-0000-0000C7060000}"/>
    <cellStyle name="1_tree_한풍집계_설계내역서1월7일_백화점화장실인테리어_3차네고견적(061017-1)" xfId="1737" xr:uid="{00000000-0005-0000-0000-0000C8060000}"/>
    <cellStyle name="1_tree_한풍집계_설계내역서1월7일_화명조경" xfId="1738" xr:uid="{00000000-0005-0000-0000-0000C9060000}"/>
    <cellStyle name="1_tree_한풍집계_설계내역서1월7일_화명조경_1차 기성 내역서 0612023" xfId="1739" xr:uid="{00000000-0005-0000-0000-0000CA060000}"/>
    <cellStyle name="1_tree_한풍집계_설계내역서1월7일_화명조경_3차네고견적(061017-1)" xfId="1740" xr:uid="{00000000-0005-0000-0000-0000CB060000}"/>
    <cellStyle name="1_tree_한풍집계_설계내역서1월7일_화명조경_백화점화장실인테리어" xfId="1741" xr:uid="{00000000-0005-0000-0000-0000CC060000}"/>
    <cellStyle name="1_tree_한풍집계_설계내역서1월7일_화명조경_백화점화장실인테리어_1차 기성 내역서 0612023" xfId="1742" xr:uid="{00000000-0005-0000-0000-0000CD060000}"/>
    <cellStyle name="1_tree_한풍집계_설계내역서1월7일_화명조경_백화점화장실인테리어_3차네고견적(061017-1)" xfId="1743" xr:uid="{00000000-0005-0000-0000-0000CE060000}"/>
    <cellStyle name="1_tree_한풍집계_쌍용수량0905" xfId="1744" xr:uid="{00000000-0005-0000-0000-0000CF060000}"/>
    <cellStyle name="1_tree_한풍집계_쌍용수량0905_1차 기성 내역서 0612023" xfId="1745" xr:uid="{00000000-0005-0000-0000-0000D0060000}"/>
    <cellStyle name="1_tree_한풍집계_쌍용수량0905_3차네고견적(061017-1)" xfId="1746" xr:uid="{00000000-0005-0000-0000-0000D1060000}"/>
    <cellStyle name="1_tree_한풍집계_쌍용수량0905_백화점화장실인테리어" xfId="1747" xr:uid="{00000000-0005-0000-0000-0000D2060000}"/>
    <cellStyle name="1_tree_한풍집계_쌍용수량0905_백화점화장실인테리어_1차 기성 내역서 0612023" xfId="1748" xr:uid="{00000000-0005-0000-0000-0000D3060000}"/>
    <cellStyle name="1_tree_한풍집계_쌍용수량0905_백화점화장실인테리어_3차네고견적(061017-1)" xfId="1749" xr:uid="{00000000-0005-0000-0000-0000D4060000}"/>
    <cellStyle name="1_tree_한풍집계_쌍용수량0905_설계내역서" xfId="1750" xr:uid="{00000000-0005-0000-0000-0000D5060000}"/>
    <cellStyle name="1_tree_한풍집계_쌍용수량0905_설계내역서_1차 기성 내역서 0612023" xfId="1751" xr:uid="{00000000-0005-0000-0000-0000D6060000}"/>
    <cellStyle name="1_tree_한풍집계_쌍용수량0905_설계내역서_3차네고견적(061017-1)" xfId="1752" xr:uid="{00000000-0005-0000-0000-0000D7060000}"/>
    <cellStyle name="1_tree_한풍집계_쌍용수량0905_설계내역서_백화점화장실인테리어" xfId="1753" xr:uid="{00000000-0005-0000-0000-0000D8060000}"/>
    <cellStyle name="1_tree_한풍집계_쌍용수량0905_설계내역서_백화점화장실인테리어_1차 기성 내역서 0612023" xfId="1754" xr:uid="{00000000-0005-0000-0000-0000D9060000}"/>
    <cellStyle name="1_tree_한풍집계_쌍용수량0905_설계내역서_백화점화장실인테리어_3차네고견적(061017-1)" xfId="1755" xr:uid="{00000000-0005-0000-0000-0000DA060000}"/>
    <cellStyle name="1_tree_한풍집계_쌍용수량0905_설계내역서_화명조경" xfId="1756" xr:uid="{00000000-0005-0000-0000-0000DB060000}"/>
    <cellStyle name="1_tree_한풍집계_쌍용수량0905_설계내역서_화명조경_1차 기성 내역서 0612023" xfId="1757" xr:uid="{00000000-0005-0000-0000-0000DC060000}"/>
    <cellStyle name="1_tree_한풍집계_쌍용수량0905_설계내역서_화명조경_3차네고견적(061017-1)" xfId="1758" xr:uid="{00000000-0005-0000-0000-0000DD060000}"/>
    <cellStyle name="1_tree_한풍집계_쌍용수량0905_설계내역서_화명조경_백화점화장실인테리어" xfId="1759" xr:uid="{00000000-0005-0000-0000-0000DE060000}"/>
    <cellStyle name="1_tree_한풍집계_쌍용수량0905_설계내역서_화명조경_백화점화장실인테리어_1차 기성 내역서 0612023" xfId="1760" xr:uid="{00000000-0005-0000-0000-0000DF060000}"/>
    <cellStyle name="1_tree_한풍집계_쌍용수량0905_설계내역서_화명조경_백화점화장실인테리어_3차네고견적(061017-1)" xfId="1761" xr:uid="{00000000-0005-0000-0000-0000E0060000}"/>
    <cellStyle name="1_tree_한풍집계_쌍용수량0905_설계내역서1월7일" xfId="1762" xr:uid="{00000000-0005-0000-0000-0000E1060000}"/>
    <cellStyle name="1_tree_한풍집계_쌍용수량0905_설계내역서1월7일_1차 기성 내역서 0612023" xfId="1763" xr:uid="{00000000-0005-0000-0000-0000E2060000}"/>
    <cellStyle name="1_tree_한풍집계_쌍용수량0905_설계내역서1월7일_3차네고견적(061017-1)" xfId="1764" xr:uid="{00000000-0005-0000-0000-0000E3060000}"/>
    <cellStyle name="1_tree_한풍집계_쌍용수량0905_설계내역서1월7일_백화점화장실인테리어" xfId="1765" xr:uid="{00000000-0005-0000-0000-0000E4060000}"/>
    <cellStyle name="1_tree_한풍집계_쌍용수량0905_설계내역서1월7일_백화점화장실인테리어_1차 기성 내역서 0612023" xfId="1766" xr:uid="{00000000-0005-0000-0000-0000E5060000}"/>
    <cellStyle name="1_tree_한풍집계_쌍용수량0905_설계내역서1월7일_백화점화장실인테리어_3차네고견적(061017-1)" xfId="1767" xr:uid="{00000000-0005-0000-0000-0000E6060000}"/>
    <cellStyle name="1_tree_한풍집계_쌍용수량0905_설계내역서1월7일_화명조경" xfId="1768" xr:uid="{00000000-0005-0000-0000-0000E7060000}"/>
    <cellStyle name="1_tree_한풍집계_쌍용수량0905_설계내역서1월7일_화명조경_1차 기성 내역서 0612023" xfId="1769" xr:uid="{00000000-0005-0000-0000-0000E8060000}"/>
    <cellStyle name="1_tree_한풍집계_쌍용수량0905_설계내역서1월7일_화명조경_3차네고견적(061017-1)" xfId="1770" xr:uid="{00000000-0005-0000-0000-0000E9060000}"/>
    <cellStyle name="1_tree_한풍집계_쌍용수량0905_설계내역서1월7일_화명조경_백화점화장실인테리어" xfId="1771" xr:uid="{00000000-0005-0000-0000-0000EA060000}"/>
    <cellStyle name="1_tree_한풍집계_쌍용수량0905_설계내역서1월7일_화명조경_백화점화장실인테리어_1차 기성 내역서 0612023" xfId="1772" xr:uid="{00000000-0005-0000-0000-0000EB060000}"/>
    <cellStyle name="1_tree_한풍집계_쌍용수량0905_설계내역서1월7일_화명조경_백화점화장실인테리어_3차네고견적(061017-1)" xfId="1773" xr:uid="{00000000-0005-0000-0000-0000EC060000}"/>
    <cellStyle name="1_tree_한풍집계_쌍용수량0905_화명조경" xfId="1774" xr:uid="{00000000-0005-0000-0000-0000ED060000}"/>
    <cellStyle name="1_tree_한풍집계_쌍용수량0905_화명조경_1차 기성 내역서 0612023" xfId="1775" xr:uid="{00000000-0005-0000-0000-0000EE060000}"/>
    <cellStyle name="1_tree_한풍집계_쌍용수량0905_화명조경_3차네고견적(061017-1)" xfId="1776" xr:uid="{00000000-0005-0000-0000-0000EF060000}"/>
    <cellStyle name="1_tree_한풍집계_쌍용수량0905_화명조경_백화점화장실인테리어" xfId="1777" xr:uid="{00000000-0005-0000-0000-0000F0060000}"/>
    <cellStyle name="1_tree_한풍집계_쌍용수량0905_화명조경_백화점화장실인테리어_1차 기성 내역서 0612023" xfId="1778" xr:uid="{00000000-0005-0000-0000-0000F1060000}"/>
    <cellStyle name="1_tree_한풍집계_쌍용수량0905_화명조경_백화점화장실인테리어_3차네고견적(061017-1)" xfId="1779" xr:uid="{00000000-0005-0000-0000-0000F2060000}"/>
    <cellStyle name="1_tree_한풍집계_터미널1-0" xfId="1780" xr:uid="{00000000-0005-0000-0000-0000F3060000}"/>
    <cellStyle name="1_tree_한풍집계_터미널1-0_1차 기성 내역서 0612023" xfId="1781" xr:uid="{00000000-0005-0000-0000-0000F4060000}"/>
    <cellStyle name="1_tree_한풍집계_터미널1-0_3차네고견적(061017-1)" xfId="1782" xr:uid="{00000000-0005-0000-0000-0000F5060000}"/>
    <cellStyle name="1_tree_한풍집계_터미널1-0_백화점화장실인테리어" xfId="1783" xr:uid="{00000000-0005-0000-0000-0000F6060000}"/>
    <cellStyle name="1_tree_한풍집계_터미널1-0_백화점화장실인테리어_1차 기성 내역서 0612023" xfId="1784" xr:uid="{00000000-0005-0000-0000-0000F7060000}"/>
    <cellStyle name="1_tree_한풍집계_터미널1-0_백화점화장실인테리어_3차네고견적(061017-1)" xfId="1785" xr:uid="{00000000-0005-0000-0000-0000F8060000}"/>
    <cellStyle name="1_tree_한풍집계_터미널1-0_화명조경" xfId="1786" xr:uid="{00000000-0005-0000-0000-0000F9060000}"/>
    <cellStyle name="1_tree_한풍집계_터미널1-0_화명조경_1차 기성 내역서 0612023" xfId="1787" xr:uid="{00000000-0005-0000-0000-0000FA060000}"/>
    <cellStyle name="1_tree_한풍집계_터미널1-0_화명조경_3차네고견적(061017-1)" xfId="1788" xr:uid="{00000000-0005-0000-0000-0000FB060000}"/>
    <cellStyle name="1_tree_한풍집계_터미널1-0_화명조경_백화점화장실인테리어" xfId="1789" xr:uid="{00000000-0005-0000-0000-0000FC060000}"/>
    <cellStyle name="1_tree_한풍집계_터미널1-0_화명조경_백화점화장실인테리어_1차 기성 내역서 0612023" xfId="1790" xr:uid="{00000000-0005-0000-0000-0000FD060000}"/>
    <cellStyle name="1_tree_한풍집계_터미널1-0_화명조경_백화점화장실인테리어_3차네고견적(061017-1)" xfId="1791" xr:uid="{00000000-0005-0000-0000-0000FE060000}"/>
    <cellStyle name="1_tree_한풍집계_화명조경" xfId="1792" xr:uid="{00000000-0005-0000-0000-0000FF060000}"/>
    <cellStyle name="1_tree_한풍집계_화명조경_1차 기성 내역서 0612023" xfId="1793" xr:uid="{00000000-0005-0000-0000-000000070000}"/>
    <cellStyle name="1_tree_한풍집계_화명조경_3차네고견적(061017-1)" xfId="1794" xr:uid="{00000000-0005-0000-0000-000001070000}"/>
    <cellStyle name="1_tree_한풍집계_화명조경_백화점화장실인테리어" xfId="1795" xr:uid="{00000000-0005-0000-0000-000002070000}"/>
    <cellStyle name="1_tree_한풍집계_화명조경_백화점화장실인테리어_1차 기성 내역서 0612023" xfId="1796" xr:uid="{00000000-0005-0000-0000-000003070000}"/>
    <cellStyle name="1_tree_한풍집계_화명조경_백화점화장실인테리어_3차네고견적(061017-1)" xfId="1797" xr:uid="{00000000-0005-0000-0000-000004070000}"/>
    <cellStyle name="1_tree_화명조경" xfId="1798" xr:uid="{00000000-0005-0000-0000-000005070000}"/>
    <cellStyle name="1_tree_화명조경_1차 기성 내역서 0612023" xfId="1799" xr:uid="{00000000-0005-0000-0000-000006070000}"/>
    <cellStyle name="1_tree_화명조경_3차네고견적(061017-1)" xfId="1800" xr:uid="{00000000-0005-0000-0000-000007070000}"/>
    <cellStyle name="1_tree_화명조경_백화점화장실인테리어" xfId="1801" xr:uid="{00000000-0005-0000-0000-000008070000}"/>
    <cellStyle name="1_tree_화명조경_백화점화장실인테리어_1차 기성 내역서 0612023" xfId="1802" xr:uid="{00000000-0005-0000-0000-000009070000}"/>
    <cellStyle name="1_tree_화명조경_백화점화장실인테리어_3차네고견적(061017-1)" xfId="1803" xr:uid="{00000000-0005-0000-0000-00000A070000}"/>
    <cellStyle name="1_남해총괄표" xfId="1804" xr:uid="{00000000-0005-0000-0000-00000B070000}"/>
    <cellStyle name="1_남해총괄표_1차 기성 내역서 0612023" xfId="1805" xr:uid="{00000000-0005-0000-0000-00000C070000}"/>
    <cellStyle name="1_남해총괄표_3차네고견적(061017-1)" xfId="1806" xr:uid="{00000000-0005-0000-0000-00000D070000}"/>
    <cellStyle name="1_남해총괄표_문화센타" xfId="1807" xr:uid="{00000000-0005-0000-0000-00000E070000}"/>
    <cellStyle name="1_남해총괄표_백화점화장실인테리어" xfId="1808" xr:uid="{00000000-0005-0000-0000-00000F070000}"/>
    <cellStyle name="1_남해총괄표_백화점화장실인테리어_1차 기성 내역서 0612023" xfId="1809" xr:uid="{00000000-0005-0000-0000-000010070000}"/>
    <cellStyle name="1_남해총괄표_백화점화장실인테리어_3차네고견적(061017-1)" xfId="1810" xr:uid="{00000000-0005-0000-0000-000011070000}"/>
    <cellStyle name="1_남해총괄표_백화점화장실인테리어_문화센타" xfId="1811" xr:uid="{00000000-0005-0000-0000-000012070000}"/>
    <cellStyle name="1_남해총괄표_설계내역서" xfId="1812" xr:uid="{00000000-0005-0000-0000-000013070000}"/>
    <cellStyle name="1_남해총괄표_설계내역서_1차 기성 내역서 0612023" xfId="1813" xr:uid="{00000000-0005-0000-0000-000014070000}"/>
    <cellStyle name="1_남해총괄표_설계내역서_3차네고견적(061017-1)" xfId="1814" xr:uid="{00000000-0005-0000-0000-000015070000}"/>
    <cellStyle name="1_남해총괄표_설계내역서_문화센타" xfId="1815" xr:uid="{00000000-0005-0000-0000-000016070000}"/>
    <cellStyle name="1_남해총괄표_설계내역서_백화점화장실인테리어" xfId="1816" xr:uid="{00000000-0005-0000-0000-000017070000}"/>
    <cellStyle name="1_남해총괄표_설계내역서_백화점화장실인테리어_1차 기성 내역서 0612023" xfId="1817" xr:uid="{00000000-0005-0000-0000-000018070000}"/>
    <cellStyle name="1_남해총괄표_설계내역서_백화점화장실인테리어_3차네고견적(061017-1)" xfId="1818" xr:uid="{00000000-0005-0000-0000-000019070000}"/>
    <cellStyle name="1_남해총괄표_설계내역서_백화점화장실인테리어_문화센타" xfId="1819" xr:uid="{00000000-0005-0000-0000-00001A070000}"/>
    <cellStyle name="1_남해총괄표_설계내역서_화명조경" xfId="1820" xr:uid="{00000000-0005-0000-0000-00001B070000}"/>
    <cellStyle name="1_남해총괄표_설계내역서_화명조경_1차 기성 내역서 0612023" xfId="1821" xr:uid="{00000000-0005-0000-0000-00001C070000}"/>
    <cellStyle name="1_남해총괄표_설계내역서_화명조경_3차네고견적(061017-1)" xfId="1822" xr:uid="{00000000-0005-0000-0000-00001D070000}"/>
    <cellStyle name="1_남해총괄표_설계내역서_화명조경_문화센타" xfId="1823" xr:uid="{00000000-0005-0000-0000-00001E070000}"/>
    <cellStyle name="1_남해총괄표_설계내역서_화명조경_백화점화장실인테리어" xfId="1824" xr:uid="{00000000-0005-0000-0000-00001F070000}"/>
    <cellStyle name="1_남해총괄표_설계내역서_화명조경_백화점화장실인테리어_1차 기성 내역서 0612023" xfId="1825" xr:uid="{00000000-0005-0000-0000-000020070000}"/>
    <cellStyle name="1_남해총괄표_설계내역서_화명조경_백화점화장실인테리어_3차네고견적(061017-1)" xfId="1826" xr:uid="{00000000-0005-0000-0000-000021070000}"/>
    <cellStyle name="1_남해총괄표_설계내역서_화명조경_백화점화장실인테리어_문화센타" xfId="1827" xr:uid="{00000000-0005-0000-0000-000022070000}"/>
    <cellStyle name="1_남해총괄표_설계내역서1월7일" xfId="1828" xr:uid="{00000000-0005-0000-0000-000023070000}"/>
    <cellStyle name="1_남해총괄표_설계내역서1월7일_1차 기성 내역서 0612023" xfId="1829" xr:uid="{00000000-0005-0000-0000-000024070000}"/>
    <cellStyle name="1_남해총괄표_설계내역서1월7일_3차네고견적(061017-1)" xfId="1830" xr:uid="{00000000-0005-0000-0000-000025070000}"/>
    <cellStyle name="1_남해총괄표_설계내역서1월7일_문화센타" xfId="1831" xr:uid="{00000000-0005-0000-0000-000026070000}"/>
    <cellStyle name="1_남해총괄표_설계내역서1월7일_백화점화장실인테리어" xfId="1832" xr:uid="{00000000-0005-0000-0000-000027070000}"/>
    <cellStyle name="1_남해총괄표_설계내역서1월7일_백화점화장실인테리어_1차 기성 내역서 0612023" xfId="1833" xr:uid="{00000000-0005-0000-0000-000028070000}"/>
    <cellStyle name="1_남해총괄표_설계내역서1월7일_백화점화장실인테리어_3차네고견적(061017-1)" xfId="1834" xr:uid="{00000000-0005-0000-0000-000029070000}"/>
    <cellStyle name="1_남해총괄표_설계내역서1월7일_백화점화장실인테리어_문화센타" xfId="1835" xr:uid="{00000000-0005-0000-0000-00002A070000}"/>
    <cellStyle name="1_남해총괄표_설계내역서1월7일_화명조경" xfId="1836" xr:uid="{00000000-0005-0000-0000-00002B070000}"/>
    <cellStyle name="1_남해총괄표_설계내역서1월7일_화명조경_1차 기성 내역서 0612023" xfId="1837" xr:uid="{00000000-0005-0000-0000-00002C070000}"/>
    <cellStyle name="1_남해총괄표_설계내역서1월7일_화명조경_3차네고견적(061017-1)" xfId="1838" xr:uid="{00000000-0005-0000-0000-00002D070000}"/>
    <cellStyle name="1_남해총괄표_설계내역서1월7일_화명조경_문화센타" xfId="1839" xr:uid="{00000000-0005-0000-0000-00002E070000}"/>
    <cellStyle name="1_남해총괄표_설계내역서1월7일_화명조경_백화점화장실인테리어" xfId="1840" xr:uid="{00000000-0005-0000-0000-00002F070000}"/>
    <cellStyle name="1_남해총괄표_설계내역서1월7일_화명조경_백화점화장실인테리어_1차 기성 내역서 0612023" xfId="1841" xr:uid="{00000000-0005-0000-0000-000030070000}"/>
    <cellStyle name="1_남해총괄표_설계내역서1월7일_화명조경_백화점화장실인테리어_3차네고견적(061017-1)" xfId="1842" xr:uid="{00000000-0005-0000-0000-000031070000}"/>
    <cellStyle name="1_남해총괄표_설계내역서1월7일_화명조경_백화점화장실인테리어_문화센타" xfId="1843" xr:uid="{00000000-0005-0000-0000-000032070000}"/>
    <cellStyle name="1_남해총괄표_화명조경" xfId="1844" xr:uid="{00000000-0005-0000-0000-000033070000}"/>
    <cellStyle name="1_남해총괄표_화명조경_1차 기성 내역서 0612023" xfId="1845" xr:uid="{00000000-0005-0000-0000-000034070000}"/>
    <cellStyle name="1_남해총괄표_화명조경_3차네고견적(061017-1)" xfId="1846" xr:uid="{00000000-0005-0000-0000-000035070000}"/>
    <cellStyle name="1_남해총괄표_화명조경_백화점화장실인테리어" xfId="1847" xr:uid="{00000000-0005-0000-0000-000036070000}"/>
    <cellStyle name="1_남해총괄표_화명조경_백화점화장실인테리어_1차 기성 내역서 0612023" xfId="1848" xr:uid="{00000000-0005-0000-0000-000037070000}"/>
    <cellStyle name="1_남해총괄표_화명조경_백화점화장실인테리어_3차네고견적(061017-1)" xfId="1849" xr:uid="{00000000-0005-0000-0000-000038070000}"/>
    <cellStyle name="1_단가조사표" xfId="1850" xr:uid="{00000000-0005-0000-0000-000039070000}"/>
    <cellStyle name="1_수원변경수량산출" xfId="1851" xr:uid="{00000000-0005-0000-0000-00003A070000}"/>
    <cellStyle name="1_쌍용수량0905" xfId="1852" xr:uid="{00000000-0005-0000-0000-00003B070000}"/>
    <cellStyle name="1_쌍용수량0905_1차 기성 내역서 0612023" xfId="1853" xr:uid="{00000000-0005-0000-0000-00003C070000}"/>
    <cellStyle name="1_쌍용수량0905_3차네고견적(061017-1)" xfId="1854" xr:uid="{00000000-0005-0000-0000-00003D070000}"/>
    <cellStyle name="1_쌍용수량0905_백화점화장실인테리어" xfId="1855" xr:uid="{00000000-0005-0000-0000-00003E070000}"/>
    <cellStyle name="1_쌍용수량0905_백화점화장실인테리어_1차 기성 내역서 0612023" xfId="1856" xr:uid="{00000000-0005-0000-0000-00003F070000}"/>
    <cellStyle name="1_쌍용수량0905_백화점화장실인테리어_3차네고견적(061017-1)" xfId="1857" xr:uid="{00000000-0005-0000-0000-000040070000}"/>
    <cellStyle name="1_쌍용수량0905_설계내역서" xfId="1858" xr:uid="{00000000-0005-0000-0000-000041070000}"/>
    <cellStyle name="1_쌍용수량0905_설계내역서_1차 기성 내역서 0612023" xfId="1859" xr:uid="{00000000-0005-0000-0000-000042070000}"/>
    <cellStyle name="1_쌍용수량0905_설계내역서_3차네고견적(061017-1)" xfId="1860" xr:uid="{00000000-0005-0000-0000-000043070000}"/>
    <cellStyle name="1_쌍용수량0905_설계내역서_백화점화장실인테리어" xfId="1861" xr:uid="{00000000-0005-0000-0000-000044070000}"/>
    <cellStyle name="1_쌍용수량0905_설계내역서_백화점화장실인테리어_1차 기성 내역서 0612023" xfId="1862" xr:uid="{00000000-0005-0000-0000-000045070000}"/>
    <cellStyle name="1_쌍용수량0905_설계내역서_백화점화장실인테리어_3차네고견적(061017-1)" xfId="1863" xr:uid="{00000000-0005-0000-0000-000046070000}"/>
    <cellStyle name="1_쌍용수량0905_설계내역서_화명조경" xfId="1864" xr:uid="{00000000-0005-0000-0000-000047070000}"/>
    <cellStyle name="1_쌍용수량0905_설계내역서_화명조경_1차 기성 내역서 0612023" xfId="1865" xr:uid="{00000000-0005-0000-0000-000048070000}"/>
    <cellStyle name="1_쌍용수량0905_설계내역서_화명조경_3차네고견적(061017-1)" xfId="1866" xr:uid="{00000000-0005-0000-0000-000049070000}"/>
    <cellStyle name="1_쌍용수량0905_설계내역서_화명조경_백화점화장실인테리어" xfId="1867" xr:uid="{00000000-0005-0000-0000-00004A070000}"/>
    <cellStyle name="1_쌍용수량0905_설계내역서_화명조경_백화점화장실인테리어_1차 기성 내역서 0612023" xfId="1868" xr:uid="{00000000-0005-0000-0000-00004B070000}"/>
    <cellStyle name="1_쌍용수량0905_설계내역서_화명조경_백화점화장실인테리어_3차네고견적(061017-1)" xfId="1869" xr:uid="{00000000-0005-0000-0000-00004C070000}"/>
    <cellStyle name="1_쌍용수량0905_설계내역서1월7일" xfId="1870" xr:uid="{00000000-0005-0000-0000-00004D070000}"/>
    <cellStyle name="1_쌍용수량0905_설계내역서1월7일_1차 기성 내역서 0612023" xfId="1871" xr:uid="{00000000-0005-0000-0000-00004E070000}"/>
    <cellStyle name="1_쌍용수량0905_설계내역서1월7일_3차네고견적(061017-1)" xfId="1872" xr:uid="{00000000-0005-0000-0000-00004F070000}"/>
    <cellStyle name="1_쌍용수량0905_설계내역서1월7일_백화점화장실인테리어" xfId="1873" xr:uid="{00000000-0005-0000-0000-000050070000}"/>
    <cellStyle name="1_쌍용수량0905_설계내역서1월7일_백화점화장실인테리어_1차 기성 내역서 0612023" xfId="1874" xr:uid="{00000000-0005-0000-0000-000051070000}"/>
    <cellStyle name="1_쌍용수량0905_설계내역서1월7일_백화점화장실인테리어_3차네고견적(061017-1)" xfId="1875" xr:uid="{00000000-0005-0000-0000-000052070000}"/>
    <cellStyle name="1_쌍용수량0905_설계내역서1월7일_화명조경" xfId="1876" xr:uid="{00000000-0005-0000-0000-000053070000}"/>
    <cellStyle name="1_쌍용수량0905_설계내역서1월7일_화명조경_1차 기성 내역서 0612023" xfId="1877" xr:uid="{00000000-0005-0000-0000-000054070000}"/>
    <cellStyle name="1_쌍용수량0905_설계내역서1월7일_화명조경_3차네고견적(061017-1)" xfId="1878" xr:uid="{00000000-0005-0000-0000-000055070000}"/>
    <cellStyle name="1_쌍용수량0905_설계내역서1월7일_화명조경_백화점화장실인테리어" xfId="1879" xr:uid="{00000000-0005-0000-0000-000056070000}"/>
    <cellStyle name="1_쌍용수량0905_설계내역서1월7일_화명조경_백화점화장실인테리어_1차 기성 내역서 0612023" xfId="1880" xr:uid="{00000000-0005-0000-0000-000057070000}"/>
    <cellStyle name="1_쌍용수량0905_설계내역서1월7일_화명조경_백화점화장실인테리어_3차네고견적(061017-1)" xfId="1881" xr:uid="{00000000-0005-0000-0000-000058070000}"/>
    <cellStyle name="1_쌍용수량0905_화명조경" xfId="1882" xr:uid="{00000000-0005-0000-0000-000059070000}"/>
    <cellStyle name="1_쌍용수량0905_화명조경_1차 기성 내역서 0612023" xfId="1883" xr:uid="{00000000-0005-0000-0000-00005A070000}"/>
    <cellStyle name="1_쌍용수량0905_화명조경_3차네고견적(061017-1)" xfId="1884" xr:uid="{00000000-0005-0000-0000-00005B070000}"/>
    <cellStyle name="1_쌍용수량0905_화명조경_백화점화장실인테리어" xfId="1885" xr:uid="{00000000-0005-0000-0000-00005C070000}"/>
    <cellStyle name="1_쌍용수량0905_화명조경_백화점화장실인테리어_1차 기성 내역서 0612023" xfId="1886" xr:uid="{00000000-0005-0000-0000-00005D070000}"/>
    <cellStyle name="1_쌍용수량0905_화명조경_백화점화장실인테리어_3차네고견적(061017-1)" xfId="1887" xr:uid="{00000000-0005-0000-0000-00005E070000}"/>
    <cellStyle name="1_원가계산서" xfId="1888" xr:uid="{00000000-0005-0000-0000-00005F070000}"/>
    <cellStyle name="1_원가계산서_00갑지" xfId="1889" xr:uid="{00000000-0005-0000-0000-000060070000}"/>
    <cellStyle name="1_원가계산서_00갑지_1차 기성 내역서 0612023" xfId="1890" xr:uid="{00000000-0005-0000-0000-000061070000}"/>
    <cellStyle name="1_원가계산서_00갑지_3차네고견적(061017-1)" xfId="1891" xr:uid="{00000000-0005-0000-0000-000062070000}"/>
    <cellStyle name="1_원가계산서_00갑지_백화점화장실인테리어" xfId="1892" xr:uid="{00000000-0005-0000-0000-000063070000}"/>
    <cellStyle name="1_원가계산서_00갑지_백화점화장실인테리어_1차 기성 내역서 0612023" xfId="1893" xr:uid="{00000000-0005-0000-0000-000064070000}"/>
    <cellStyle name="1_원가계산서_00갑지_백화점화장실인테리어_3차네고견적(061017-1)" xfId="1894" xr:uid="{00000000-0005-0000-0000-000065070000}"/>
    <cellStyle name="1_원가계산서_00갑지_설계내역서" xfId="1895" xr:uid="{00000000-0005-0000-0000-000066070000}"/>
    <cellStyle name="1_원가계산서_00갑지_설계내역서_1차 기성 내역서 0612023" xfId="1896" xr:uid="{00000000-0005-0000-0000-000067070000}"/>
    <cellStyle name="1_원가계산서_00갑지_설계내역서_3차네고견적(061017-1)" xfId="1897" xr:uid="{00000000-0005-0000-0000-000068070000}"/>
    <cellStyle name="1_원가계산서_00갑지_설계내역서_백화점화장실인테리어" xfId="1898" xr:uid="{00000000-0005-0000-0000-000069070000}"/>
    <cellStyle name="1_원가계산서_00갑지_설계내역서_백화점화장실인테리어_1차 기성 내역서 0612023" xfId="1899" xr:uid="{00000000-0005-0000-0000-00006A070000}"/>
    <cellStyle name="1_원가계산서_00갑지_설계내역서_백화점화장실인테리어_3차네고견적(061017-1)" xfId="1900" xr:uid="{00000000-0005-0000-0000-00006B070000}"/>
    <cellStyle name="1_원가계산서_00갑지_설계내역서_화명조경" xfId="1901" xr:uid="{00000000-0005-0000-0000-00006C070000}"/>
    <cellStyle name="1_원가계산서_00갑지_설계내역서_화명조경_1차 기성 내역서 0612023" xfId="1902" xr:uid="{00000000-0005-0000-0000-00006D070000}"/>
    <cellStyle name="1_원가계산서_00갑지_설계내역서_화명조경_3차네고견적(061017-1)" xfId="1903" xr:uid="{00000000-0005-0000-0000-00006E070000}"/>
    <cellStyle name="1_원가계산서_00갑지_설계내역서_화명조경_백화점화장실인테리어" xfId="1904" xr:uid="{00000000-0005-0000-0000-00006F070000}"/>
    <cellStyle name="1_원가계산서_00갑지_설계내역서_화명조경_백화점화장실인테리어_1차 기성 내역서 0612023" xfId="1905" xr:uid="{00000000-0005-0000-0000-000070070000}"/>
    <cellStyle name="1_원가계산서_00갑지_설계내역서_화명조경_백화점화장실인테리어_3차네고견적(061017-1)" xfId="1906" xr:uid="{00000000-0005-0000-0000-000071070000}"/>
    <cellStyle name="1_원가계산서_00갑지_설계내역서1월7일" xfId="1907" xr:uid="{00000000-0005-0000-0000-000072070000}"/>
    <cellStyle name="1_원가계산서_00갑지_설계내역서1월7일_1차 기성 내역서 0612023" xfId="1908" xr:uid="{00000000-0005-0000-0000-000073070000}"/>
    <cellStyle name="1_원가계산서_00갑지_설계내역서1월7일_3차네고견적(061017-1)" xfId="1909" xr:uid="{00000000-0005-0000-0000-000074070000}"/>
    <cellStyle name="1_원가계산서_00갑지_설계내역서1월7일_백화점화장실인테리어" xfId="1910" xr:uid="{00000000-0005-0000-0000-000075070000}"/>
    <cellStyle name="1_원가계산서_00갑지_설계내역서1월7일_백화점화장실인테리어_1차 기성 내역서 0612023" xfId="1911" xr:uid="{00000000-0005-0000-0000-000076070000}"/>
    <cellStyle name="1_원가계산서_00갑지_설계내역서1월7일_백화점화장실인테리어_3차네고견적(061017-1)" xfId="1912" xr:uid="{00000000-0005-0000-0000-000077070000}"/>
    <cellStyle name="1_원가계산서_00갑지_설계내역서1월7일_화명조경" xfId="1913" xr:uid="{00000000-0005-0000-0000-000078070000}"/>
    <cellStyle name="1_원가계산서_00갑지_설계내역서1월7일_화명조경_1차 기성 내역서 0612023" xfId="1914" xr:uid="{00000000-0005-0000-0000-000079070000}"/>
    <cellStyle name="1_원가계산서_00갑지_설계내역서1월7일_화명조경_3차네고견적(061017-1)" xfId="1915" xr:uid="{00000000-0005-0000-0000-00007A070000}"/>
    <cellStyle name="1_원가계산서_00갑지_설계내역서1월7일_화명조경_백화점화장실인테리어" xfId="1916" xr:uid="{00000000-0005-0000-0000-00007B070000}"/>
    <cellStyle name="1_원가계산서_00갑지_설계내역서1월7일_화명조경_백화점화장실인테리어_1차 기성 내역서 0612023" xfId="1917" xr:uid="{00000000-0005-0000-0000-00007C070000}"/>
    <cellStyle name="1_원가계산서_00갑지_설계내역서1월7일_화명조경_백화점화장실인테리어_3차네고견적(061017-1)" xfId="1918" xr:uid="{00000000-0005-0000-0000-00007D070000}"/>
    <cellStyle name="1_원가계산서_00갑지_화명조경" xfId="1919" xr:uid="{00000000-0005-0000-0000-00007E070000}"/>
    <cellStyle name="1_원가계산서_00갑지_화명조경_1차 기성 내역서 0612023" xfId="1920" xr:uid="{00000000-0005-0000-0000-00007F070000}"/>
    <cellStyle name="1_원가계산서_00갑지_화명조경_3차네고견적(061017-1)" xfId="1921" xr:uid="{00000000-0005-0000-0000-000080070000}"/>
    <cellStyle name="1_원가계산서_00갑지_화명조경_백화점화장실인테리어" xfId="1922" xr:uid="{00000000-0005-0000-0000-000081070000}"/>
    <cellStyle name="1_원가계산서_00갑지_화명조경_백화점화장실인테리어_1차 기성 내역서 0612023" xfId="1923" xr:uid="{00000000-0005-0000-0000-000082070000}"/>
    <cellStyle name="1_원가계산서_00갑지_화명조경_백화점화장실인테리어_3차네고견적(061017-1)" xfId="1924" xr:uid="{00000000-0005-0000-0000-000083070000}"/>
    <cellStyle name="1_원가계산서_1차 기성 내역서 0612023" xfId="1925" xr:uid="{00000000-0005-0000-0000-000084070000}"/>
    <cellStyle name="1_원가계산서_3차네고견적(061017-1)" xfId="1926" xr:uid="{00000000-0005-0000-0000-000085070000}"/>
    <cellStyle name="1_원가계산서_과천놀이터설계서" xfId="1927" xr:uid="{00000000-0005-0000-0000-000086070000}"/>
    <cellStyle name="1_원가계산서_과천놀이터설계서_1차 기성 내역서 0612023" xfId="1928" xr:uid="{00000000-0005-0000-0000-000087070000}"/>
    <cellStyle name="1_원가계산서_과천놀이터설계서_3차네고견적(061017-1)" xfId="1929" xr:uid="{00000000-0005-0000-0000-000088070000}"/>
    <cellStyle name="1_원가계산서_과천놀이터설계서_백화점화장실인테리어" xfId="1930" xr:uid="{00000000-0005-0000-0000-000089070000}"/>
    <cellStyle name="1_원가계산서_과천놀이터설계서_백화점화장실인테리어_1차 기성 내역서 0612023" xfId="1931" xr:uid="{00000000-0005-0000-0000-00008A070000}"/>
    <cellStyle name="1_원가계산서_과천놀이터설계서_백화점화장실인테리어_3차네고견적(061017-1)" xfId="1932" xr:uid="{00000000-0005-0000-0000-00008B070000}"/>
    <cellStyle name="1_원가계산서_과천놀이터설계서_설계내역서" xfId="1933" xr:uid="{00000000-0005-0000-0000-00008C070000}"/>
    <cellStyle name="1_원가계산서_과천놀이터설계서_설계내역서_1차 기성 내역서 0612023" xfId="1934" xr:uid="{00000000-0005-0000-0000-00008D070000}"/>
    <cellStyle name="1_원가계산서_과천놀이터설계서_설계내역서_3차네고견적(061017-1)" xfId="1935" xr:uid="{00000000-0005-0000-0000-00008E070000}"/>
    <cellStyle name="1_원가계산서_과천놀이터설계서_설계내역서_백화점화장실인테리어" xfId="1936" xr:uid="{00000000-0005-0000-0000-00008F070000}"/>
    <cellStyle name="1_원가계산서_과천놀이터설계서_설계내역서_백화점화장실인테리어_1차 기성 내역서 0612023" xfId="1937" xr:uid="{00000000-0005-0000-0000-000090070000}"/>
    <cellStyle name="1_원가계산서_과천놀이터설계서_설계내역서_백화점화장실인테리어_3차네고견적(061017-1)" xfId="1938" xr:uid="{00000000-0005-0000-0000-000091070000}"/>
    <cellStyle name="1_원가계산서_과천놀이터설계서_설계내역서_화명조경" xfId="1939" xr:uid="{00000000-0005-0000-0000-000092070000}"/>
    <cellStyle name="1_원가계산서_과천놀이터설계서_설계내역서_화명조경_1차 기성 내역서 0612023" xfId="1940" xr:uid="{00000000-0005-0000-0000-000093070000}"/>
    <cellStyle name="1_원가계산서_과천놀이터설계서_설계내역서_화명조경_3차네고견적(061017-1)" xfId="1941" xr:uid="{00000000-0005-0000-0000-000094070000}"/>
    <cellStyle name="1_원가계산서_과천놀이터설계서_설계내역서_화명조경_백화점화장실인테리어" xfId="1942" xr:uid="{00000000-0005-0000-0000-000095070000}"/>
    <cellStyle name="1_원가계산서_과천놀이터설계서_설계내역서_화명조경_백화점화장실인테리어_1차 기성 내역서 0612023" xfId="1943" xr:uid="{00000000-0005-0000-0000-000096070000}"/>
    <cellStyle name="1_원가계산서_과천놀이터설계서_설계내역서_화명조경_백화점화장실인테리어_3차네고견적(061017-1)" xfId="1944" xr:uid="{00000000-0005-0000-0000-000097070000}"/>
    <cellStyle name="1_원가계산서_과천놀이터설계서_설계내역서1월7일" xfId="1945" xr:uid="{00000000-0005-0000-0000-000098070000}"/>
    <cellStyle name="1_원가계산서_과천놀이터설계서_설계내역서1월7일_1차 기성 내역서 0612023" xfId="1946" xr:uid="{00000000-0005-0000-0000-000099070000}"/>
    <cellStyle name="1_원가계산서_과천놀이터설계서_설계내역서1월7일_3차네고견적(061017-1)" xfId="1947" xr:uid="{00000000-0005-0000-0000-00009A070000}"/>
    <cellStyle name="1_원가계산서_과천놀이터설계서_설계내역서1월7일_백화점화장실인테리어" xfId="1948" xr:uid="{00000000-0005-0000-0000-00009B070000}"/>
    <cellStyle name="1_원가계산서_과천놀이터설계서_설계내역서1월7일_백화점화장실인테리어_1차 기성 내역서 0612023" xfId="1949" xr:uid="{00000000-0005-0000-0000-00009C070000}"/>
    <cellStyle name="1_원가계산서_과천놀이터설계서_설계내역서1월7일_백화점화장실인테리어_3차네고견적(061017-1)" xfId="1950" xr:uid="{00000000-0005-0000-0000-00009D070000}"/>
    <cellStyle name="1_원가계산서_과천놀이터설계서_설계내역서1월7일_화명조경" xfId="1951" xr:uid="{00000000-0005-0000-0000-00009E070000}"/>
    <cellStyle name="1_원가계산서_과천놀이터설계서_설계내역서1월7일_화명조경_1차 기성 내역서 0612023" xfId="1952" xr:uid="{00000000-0005-0000-0000-00009F070000}"/>
    <cellStyle name="1_원가계산서_과천놀이터설계서_설계내역서1월7일_화명조경_3차네고견적(061017-1)" xfId="1953" xr:uid="{00000000-0005-0000-0000-0000A0070000}"/>
    <cellStyle name="1_원가계산서_과천놀이터설계서_설계내역서1월7일_화명조경_백화점화장실인테리어" xfId="1954" xr:uid="{00000000-0005-0000-0000-0000A1070000}"/>
    <cellStyle name="1_원가계산서_과천놀이터설계서_설계내역서1월7일_화명조경_백화점화장실인테리어_1차 기성 내역서 0612023" xfId="1955" xr:uid="{00000000-0005-0000-0000-0000A2070000}"/>
    <cellStyle name="1_원가계산서_과천놀이터설계서_설계내역서1월7일_화명조경_백화점화장실인테리어_3차네고견적(061017-1)" xfId="1956" xr:uid="{00000000-0005-0000-0000-0000A3070000}"/>
    <cellStyle name="1_원가계산서_과천놀이터설계서_화명조경" xfId="1957" xr:uid="{00000000-0005-0000-0000-0000A4070000}"/>
    <cellStyle name="1_원가계산서_과천놀이터설계서_화명조경_1차 기성 내역서 0612023" xfId="1958" xr:uid="{00000000-0005-0000-0000-0000A5070000}"/>
    <cellStyle name="1_원가계산서_과천놀이터설계서_화명조경_3차네고견적(061017-1)" xfId="1959" xr:uid="{00000000-0005-0000-0000-0000A6070000}"/>
    <cellStyle name="1_원가계산서_과천놀이터설계서_화명조경_백화점화장실인테리어" xfId="1960" xr:uid="{00000000-0005-0000-0000-0000A7070000}"/>
    <cellStyle name="1_원가계산서_과천놀이터설계서_화명조경_백화점화장실인테리어_1차 기성 내역서 0612023" xfId="1961" xr:uid="{00000000-0005-0000-0000-0000A8070000}"/>
    <cellStyle name="1_원가계산서_과천놀이터설계서_화명조경_백화점화장실인테리어_3차네고견적(061017-1)" xfId="1962" xr:uid="{00000000-0005-0000-0000-0000A9070000}"/>
    <cellStyle name="1_원가계산서_백화점화장실인테리어" xfId="1963" xr:uid="{00000000-0005-0000-0000-0000AA070000}"/>
    <cellStyle name="1_원가계산서_백화점화장실인테리어_1차 기성 내역서 0612023" xfId="1964" xr:uid="{00000000-0005-0000-0000-0000AB070000}"/>
    <cellStyle name="1_원가계산서_백화점화장실인테리어_3차네고견적(061017-1)" xfId="1965" xr:uid="{00000000-0005-0000-0000-0000AC070000}"/>
    <cellStyle name="1_원가계산서_총괄갑지" xfId="1966" xr:uid="{00000000-0005-0000-0000-0000AD070000}"/>
    <cellStyle name="1_원가계산서_총괄갑지_1차 기성 내역서 0612023" xfId="1967" xr:uid="{00000000-0005-0000-0000-0000AE070000}"/>
    <cellStyle name="1_원가계산서_총괄갑지_3차네고견적(061017-1)" xfId="1968" xr:uid="{00000000-0005-0000-0000-0000AF070000}"/>
    <cellStyle name="1_원가계산서_총괄갑지_백화점화장실인테리어" xfId="1969" xr:uid="{00000000-0005-0000-0000-0000B0070000}"/>
    <cellStyle name="1_원가계산서_총괄갑지_백화점화장실인테리어_1차 기성 내역서 0612023" xfId="1970" xr:uid="{00000000-0005-0000-0000-0000B1070000}"/>
    <cellStyle name="1_원가계산서_총괄갑지_백화점화장실인테리어_3차네고견적(061017-1)" xfId="1971" xr:uid="{00000000-0005-0000-0000-0000B2070000}"/>
    <cellStyle name="1_원가계산서_총괄갑지_설계내역서" xfId="1972" xr:uid="{00000000-0005-0000-0000-0000B3070000}"/>
    <cellStyle name="1_원가계산서_총괄갑지_설계내역서_1차 기성 내역서 0612023" xfId="1973" xr:uid="{00000000-0005-0000-0000-0000B4070000}"/>
    <cellStyle name="1_원가계산서_총괄갑지_설계내역서_3차네고견적(061017-1)" xfId="1974" xr:uid="{00000000-0005-0000-0000-0000B5070000}"/>
    <cellStyle name="1_원가계산서_총괄갑지_설계내역서_백화점화장실인테리어" xfId="1975" xr:uid="{00000000-0005-0000-0000-0000B6070000}"/>
    <cellStyle name="1_원가계산서_총괄갑지_설계내역서_백화점화장실인테리어_1차 기성 내역서 0612023" xfId="1976" xr:uid="{00000000-0005-0000-0000-0000B7070000}"/>
    <cellStyle name="1_원가계산서_총괄갑지_설계내역서_백화점화장실인테리어_3차네고견적(061017-1)" xfId="1977" xr:uid="{00000000-0005-0000-0000-0000B8070000}"/>
    <cellStyle name="1_원가계산서_총괄갑지_설계내역서_화명조경" xfId="1978" xr:uid="{00000000-0005-0000-0000-0000B9070000}"/>
    <cellStyle name="1_원가계산서_총괄갑지_설계내역서_화명조경_1차 기성 내역서 0612023" xfId="1979" xr:uid="{00000000-0005-0000-0000-0000BA070000}"/>
    <cellStyle name="1_원가계산서_총괄갑지_설계내역서_화명조경_3차네고견적(061017-1)" xfId="1980" xr:uid="{00000000-0005-0000-0000-0000BB070000}"/>
    <cellStyle name="1_원가계산서_총괄갑지_설계내역서_화명조경_백화점화장실인테리어" xfId="1981" xr:uid="{00000000-0005-0000-0000-0000BC070000}"/>
    <cellStyle name="1_원가계산서_총괄갑지_설계내역서_화명조경_백화점화장실인테리어_1차 기성 내역서 0612023" xfId="1982" xr:uid="{00000000-0005-0000-0000-0000BD070000}"/>
    <cellStyle name="1_원가계산서_총괄갑지_설계내역서_화명조경_백화점화장실인테리어_3차네고견적(061017-1)" xfId="1983" xr:uid="{00000000-0005-0000-0000-0000BE070000}"/>
    <cellStyle name="1_원가계산서_총괄갑지_설계내역서1월7일" xfId="1984" xr:uid="{00000000-0005-0000-0000-0000BF070000}"/>
    <cellStyle name="1_원가계산서_총괄갑지_설계내역서1월7일_1차 기성 내역서 0612023" xfId="1985" xr:uid="{00000000-0005-0000-0000-0000C0070000}"/>
    <cellStyle name="1_원가계산서_총괄갑지_설계내역서1월7일_3차네고견적(061017-1)" xfId="1986" xr:uid="{00000000-0005-0000-0000-0000C1070000}"/>
    <cellStyle name="1_원가계산서_총괄갑지_설계내역서1월7일_백화점화장실인테리어" xfId="1987" xr:uid="{00000000-0005-0000-0000-0000C2070000}"/>
    <cellStyle name="1_원가계산서_총괄갑지_설계내역서1월7일_백화점화장실인테리어_1차 기성 내역서 0612023" xfId="1988" xr:uid="{00000000-0005-0000-0000-0000C3070000}"/>
    <cellStyle name="1_원가계산서_총괄갑지_설계내역서1월7일_백화점화장실인테리어_3차네고견적(061017-1)" xfId="1989" xr:uid="{00000000-0005-0000-0000-0000C4070000}"/>
    <cellStyle name="1_원가계산서_총괄갑지_설계내역서1월7일_화명조경" xfId="1990" xr:uid="{00000000-0005-0000-0000-0000C5070000}"/>
    <cellStyle name="1_원가계산서_총괄갑지_설계내역서1월7일_화명조경_1차 기성 내역서 0612023" xfId="1991" xr:uid="{00000000-0005-0000-0000-0000C6070000}"/>
    <cellStyle name="1_원가계산서_총괄갑지_설계내역서1월7일_화명조경_3차네고견적(061017-1)" xfId="1992" xr:uid="{00000000-0005-0000-0000-0000C7070000}"/>
    <cellStyle name="1_원가계산서_총괄갑지_설계내역서1월7일_화명조경_백화점화장실인테리어" xfId="1993" xr:uid="{00000000-0005-0000-0000-0000C8070000}"/>
    <cellStyle name="1_원가계산서_총괄갑지_설계내역서1월7일_화명조경_백화점화장실인테리어_1차 기성 내역서 0612023" xfId="1994" xr:uid="{00000000-0005-0000-0000-0000C9070000}"/>
    <cellStyle name="1_원가계산서_총괄갑지_설계내역서1월7일_화명조경_백화점화장실인테리어_3차네고견적(061017-1)" xfId="1995" xr:uid="{00000000-0005-0000-0000-0000CA070000}"/>
    <cellStyle name="1_원가계산서_총괄갑지_화명조경" xfId="1996" xr:uid="{00000000-0005-0000-0000-0000CB070000}"/>
    <cellStyle name="1_원가계산서_총괄갑지_화명조경_1차 기성 내역서 0612023" xfId="1997" xr:uid="{00000000-0005-0000-0000-0000CC070000}"/>
    <cellStyle name="1_원가계산서_총괄갑지_화명조경_3차네고견적(061017-1)" xfId="1998" xr:uid="{00000000-0005-0000-0000-0000CD070000}"/>
    <cellStyle name="1_원가계산서_총괄갑지_화명조경_백화점화장실인테리어" xfId="1999" xr:uid="{00000000-0005-0000-0000-0000CE070000}"/>
    <cellStyle name="1_원가계산서_총괄갑지_화명조경_백화점화장실인테리어_1차 기성 내역서 0612023" xfId="2000" xr:uid="{00000000-0005-0000-0000-0000CF070000}"/>
    <cellStyle name="1_원가계산서_총괄갑지_화명조경_백화점화장실인테리어_3차네고견적(061017-1)" xfId="2001" xr:uid="{00000000-0005-0000-0000-0000D0070000}"/>
    <cellStyle name="1_원가계산서_총괄내역서" xfId="2002" xr:uid="{00000000-0005-0000-0000-0000D1070000}"/>
    <cellStyle name="1_원가계산서_총괄내역서_1차 기성 내역서 0612023" xfId="2003" xr:uid="{00000000-0005-0000-0000-0000D2070000}"/>
    <cellStyle name="1_원가계산서_총괄내역서_3차네고견적(061017-1)" xfId="2004" xr:uid="{00000000-0005-0000-0000-0000D3070000}"/>
    <cellStyle name="1_원가계산서_총괄내역서_백화점화장실인테리어" xfId="2005" xr:uid="{00000000-0005-0000-0000-0000D4070000}"/>
    <cellStyle name="1_원가계산서_총괄내역서_백화점화장실인테리어_1차 기성 내역서 0612023" xfId="2006" xr:uid="{00000000-0005-0000-0000-0000D5070000}"/>
    <cellStyle name="1_원가계산서_총괄내역서_백화점화장실인테리어_3차네고견적(061017-1)" xfId="2007" xr:uid="{00000000-0005-0000-0000-0000D6070000}"/>
    <cellStyle name="1_원가계산서_총괄내역서_설계내역서" xfId="2008" xr:uid="{00000000-0005-0000-0000-0000D7070000}"/>
    <cellStyle name="1_원가계산서_총괄내역서_설계내역서_1차 기성 내역서 0612023" xfId="2009" xr:uid="{00000000-0005-0000-0000-0000D8070000}"/>
    <cellStyle name="1_원가계산서_총괄내역서_설계내역서_3차네고견적(061017-1)" xfId="2010" xr:uid="{00000000-0005-0000-0000-0000D9070000}"/>
    <cellStyle name="1_원가계산서_총괄내역서_설계내역서_백화점화장실인테리어" xfId="2011" xr:uid="{00000000-0005-0000-0000-0000DA070000}"/>
    <cellStyle name="1_원가계산서_총괄내역서_설계내역서_백화점화장실인테리어_1차 기성 내역서 0612023" xfId="2012" xr:uid="{00000000-0005-0000-0000-0000DB070000}"/>
    <cellStyle name="1_원가계산서_총괄내역서_설계내역서_백화점화장실인테리어_3차네고견적(061017-1)" xfId="2013" xr:uid="{00000000-0005-0000-0000-0000DC070000}"/>
    <cellStyle name="1_원가계산서_총괄내역서_설계내역서_화명조경" xfId="2014" xr:uid="{00000000-0005-0000-0000-0000DD070000}"/>
    <cellStyle name="1_원가계산서_총괄내역서_설계내역서_화명조경_1차 기성 내역서 0612023" xfId="2015" xr:uid="{00000000-0005-0000-0000-0000DE070000}"/>
    <cellStyle name="1_원가계산서_총괄내역서_설계내역서_화명조경_3차네고견적(061017-1)" xfId="2016" xr:uid="{00000000-0005-0000-0000-0000DF070000}"/>
    <cellStyle name="1_원가계산서_총괄내역서_설계내역서_화명조경_백화점화장실인테리어" xfId="2017" xr:uid="{00000000-0005-0000-0000-0000E0070000}"/>
    <cellStyle name="1_원가계산서_총괄내역서_설계내역서_화명조경_백화점화장실인테리어_1차 기성 내역서 0612023" xfId="2018" xr:uid="{00000000-0005-0000-0000-0000E1070000}"/>
    <cellStyle name="1_원가계산서_총괄내역서_설계내역서_화명조경_백화점화장실인테리어_3차네고견적(061017-1)" xfId="2019" xr:uid="{00000000-0005-0000-0000-0000E2070000}"/>
    <cellStyle name="1_원가계산서_총괄내역서_설계내역서1월7일" xfId="2020" xr:uid="{00000000-0005-0000-0000-0000E3070000}"/>
    <cellStyle name="1_원가계산서_총괄내역서_설계내역서1월7일_1차 기성 내역서 0612023" xfId="2021" xr:uid="{00000000-0005-0000-0000-0000E4070000}"/>
    <cellStyle name="1_원가계산서_총괄내역서_설계내역서1월7일_3차네고견적(061017-1)" xfId="2022" xr:uid="{00000000-0005-0000-0000-0000E5070000}"/>
    <cellStyle name="1_원가계산서_총괄내역서_설계내역서1월7일_백화점화장실인테리어" xfId="2023" xr:uid="{00000000-0005-0000-0000-0000E6070000}"/>
    <cellStyle name="1_원가계산서_총괄내역서_설계내역서1월7일_백화점화장실인테리어_1차 기성 내역서 0612023" xfId="2024" xr:uid="{00000000-0005-0000-0000-0000E7070000}"/>
    <cellStyle name="1_원가계산서_총괄내역서_설계내역서1월7일_백화점화장실인테리어_3차네고견적(061017-1)" xfId="2025" xr:uid="{00000000-0005-0000-0000-0000E8070000}"/>
    <cellStyle name="1_원가계산서_총괄내역서_설계내역서1월7일_화명조경" xfId="2026" xr:uid="{00000000-0005-0000-0000-0000E9070000}"/>
    <cellStyle name="1_원가계산서_총괄내역서_설계내역서1월7일_화명조경_1차 기성 내역서 0612023" xfId="2027" xr:uid="{00000000-0005-0000-0000-0000EA070000}"/>
    <cellStyle name="1_원가계산서_총괄내역서_설계내역서1월7일_화명조경_3차네고견적(061017-1)" xfId="2028" xr:uid="{00000000-0005-0000-0000-0000EB070000}"/>
    <cellStyle name="1_원가계산서_총괄내역서_설계내역서1월7일_화명조경_백화점화장실인테리어" xfId="2029" xr:uid="{00000000-0005-0000-0000-0000EC070000}"/>
    <cellStyle name="1_원가계산서_총괄내역서_설계내역서1월7일_화명조경_백화점화장실인테리어_1차 기성 내역서 0612023" xfId="2030" xr:uid="{00000000-0005-0000-0000-0000ED070000}"/>
    <cellStyle name="1_원가계산서_총괄내역서_설계내역서1월7일_화명조경_백화점화장실인테리어_3차네고견적(061017-1)" xfId="2031" xr:uid="{00000000-0005-0000-0000-0000EE070000}"/>
    <cellStyle name="1_원가계산서_총괄내역서_화명조경" xfId="2032" xr:uid="{00000000-0005-0000-0000-0000EF070000}"/>
    <cellStyle name="1_원가계산서_총괄내역서_화명조경_1차 기성 내역서 0612023" xfId="2033" xr:uid="{00000000-0005-0000-0000-0000F0070000}"/>
    <cellStyle name="1_원가계산서_총괄내역서_화명조경_3차네고견적(061017-1)" xfId="2034" xr:uid="{00000000-0005-0000-0000-0000F1070000}"/>
    <cellStyle name="1_원가계산서_총괄내역서_화명조경_백화점화장실인테리어" xfId="2035" xr:uid="{00000000-0005-0000-0000-0000F2070000}"/>
    <cellStyle name="1_원가계산서_총괄내역서_화명조경_백화점화장실인테리어_1차 기성 내역서 0612023" xfId="2036" xr:uid="{00000000-0005-0000-0000-0000F3070000}"/>
    <cellStyle name="1_원가계산서_총괄내역서_화명조경_백화점화장실인테리어_3차네고견적(061017-1)" xfId="2037" xr:uid="{00000000-0005-0000-0000-0000F4070000}"/>
    <cellStyle name="1_원가계산서_화명조경" xfId="2038" xr:uid="{00000000-0005-0000-0000-0000F5070000}"/>
    <cellStyle name="1_원가계산서_화명조경_1차 기성 내역서 0612023" xfId="2039" xr:uid="{00000000-0005-0000-0000-0000F6070000}"/>
    <cellStyle name="1_원가계산서_화명조경_3차네고견적(061017-1)" xfId="2040" xr:uid="{00000000-0005-0000-0000-0000F7070000}"/>
    <cellStyle name="1_원가계산서_화명조경_백화점화장실인테리어" xfId="2041" xr:uid="{00000000-0005-0000-0000-0000F8070000}"/>
    <cellStyle name="1_원가계산서_화명조경_백화점화장실인테리어_1차 기성 내역서 0612023" xfId="2042" xr:uid="{00000000-0005-0000-0000-0000F9070000}"/>
    <cellStyle name="1_원가계산서_화명조경_백화점화장실인테리어_3차네고견적(061017-1)" xfId="2043" xr:uid="{00000000-0005-0000-0000-0000FA070000}"/>
    <cellStyle name="1_은파수량집계" xfId="2044" xr:uid="{00000000-0005-0000-0000-0000FB070000}"/>
    <cellStyle name="1_터미널1-0" xfId="2045" xr:uid="{00000000-0005-0000-0000-0000FC070000}"/>
    <cellStyle name="1_터미널1-0_1차 기성 내역서 0612023" xfId="2046" xr:uid="{00000000-0005-0000-0000-0000FD070000}"/>
    <cellStyle name="1_터미널1-0_3차네고견적(061017-1)" xfId="2047" xr:uid="{00000000-0005-0000-0000-0000FE070000}"/>
    <cellStyle name="1_터미널1-0_백화점화장실인테리어" xfId="2048" xr:uid="{00000000-0005-0000-0000-0000FF070000}"/>
    <cellStyle name="1_터미널1-0_백화점화장실인테리어_1차 기성 내역서 0612023" xfId="2049" xr:uid="{00000000-0005-0000-0000-000000080000}"/>
    <cellStyle name="1_터미널1-0_백화점화장실인테리어_3차네고견적(061017-1)" xfId="2050" xr:uid="{00000000-0005-0000-0000-000001080000}"/>
    <cellStyle name="1_터미널1-0_설계내역서" xfId="2051" xr:uid="{00000000-0005-0000-0000-000002080000}"/>
    <cellStyle name="1_터미널1-0_설계내역서_1차 기성 내역서 0612023" xfId="2052" xr:uid="{00000000-0005-0000-0000-000003080000}"/>
    <cellStyle name="1_터미널1-0_설계내역서_3차네고견적(061017-1)" xfId="2053" xr:uid="{00000000-0005-0000-0000-000004080000}"/>
    <cellStyle name="1_터미널1-0_설계내역서_백화점화장실인테리어" xfId="2054" xr:uid="{00000000-0005-0000-0000-000005080000}"/>
    <cellStyle name="1_터미널1-0_설계내역서_백화점화장실인테리어_1차 기성 내역서 0612023" xfId="2055" xr:uid="{00000000-0005-0000-0000-000006080000}"/>
    <cellStyle name="1_터미널1-0_설계내역서_백화점화장실인테리어_3차네고견적(061017-1)" xfId="2056" xr:uid="{00000000-0005-0000-0000-000007080000}"/>
    <cellStyle name="1_터미널1-0_설계내역서_화명조경" xfId="2057" xr:uid="{00000000-0005-0000-0000-000008080000}"/>
    <cellStyle name="1_터미널1-0_설계내역서_화명조경_1차 기성 내역서 0612023" xfId="2058" xr:uid="{00000000-0005-0000-0000-000009080000}"/>
    <cellStyle name="1_터미널1-0_설계내역서_화명조경_3차네고견적(061017-1)" xfId="2059" xr:uid="{00000000-0005-0000-0000-00000A080000}"/>
    <cellStyle name="1_터미널1-0_설계내역서_화명조경_백화점화장실인테리어" xfId="2060" xr:uid="{00000000-0005-0000-0000-00000B080000}"/>
    <cellStyle name="1_터미널1-0_설계내역서_화명조경_백화점화장실인테리어_1차 기성 내역서 0612023" xfId="2061" xr:uid="{00000000-0005-0000-0000-00000C080000}"/>
    <cellStyle name="1_터미널1-0_설계내역서_화명조경_백화점화장실인테리어_3차네고견적(061017-1)" xfId="2062" xr:uid="{00000000-0005-0000-0000-00000D080000}"/>
    <cellStyle name="1_터미널1-0_설계내역서1월7일" xfId="2063" xr:uid="{00000000-0005-0000-0000-00000E080000}"/>
    <cellStyle name="1_터미널1-0_설계내역서1월7일_1차 기성 내역서 0612023" xfId="2064" xr:uid="{00000000-0005-0000-0000-00000F080000}"/>
    <cellStyle name="1_터미널1-0_설계내역서1월7일_3차네고견적(061017-1)" xfId="2065" xr:uid="{00000000-0005-0000-0000-000010080000}"/>
    <cellStyle name="1_터미널1-0_설계내역서1월7일_백화점화장실인테리어" xfId="2066" xr:uid="{00000000-0005-0000-0000-000011080000}"/>
    <cellStyle name="1_터미널1-0_설계내역서1월7일_백화점화장실인테리어_1차 기성 내역서 0612023" xfId="2067" xr:uid="{00000000-0005-0000-0000-000012080000}"/>
    <cellStyle name="1_터미널1-0_설계내역서1월7일_백화점화장실인테리어_3차네고견적(061017-1)" xfId="2068" xr:uid="{00000000-0005-0000-0000-000013080000}"/>
    <cellStyle name="1_터미널1-0_설계내역서1월7일_화명조경" xfId="2069" xr:uid="{00000000-0005-0000-0000-000014080000}"/>
    <cellStyle name="1_터미널1-0_설계내역서1월7일_화명조경_1차 기성 내역서 0612023" xfId="2070" xr:uid="{00000000-0005-0000-0000-000015080000}"/>
    <cellStyle name="1_터미널1-0_설계내역서1월7일_화명조경_3차네고견적(061017-1)" xfId="2071" xr:uid="{00000000-0005-0000-0000-000016080000}"/>
    <cellStyle name="1_터미널1-0_설계내역서1월7일_화명조경_백화점화장실인테리어" xfId="2072" xr:uid="{00000000-0005-0000-0000-000017080000}"/>
    <cellStyle name="1_터미널1-0_설계내역서1월7일_화명조경_백화점화장실인테리어_1차 기성 내역서 0612023" xfId="2073" xr:uid="{00000000-0005-0000-0000-000018080000}"/>
    <cellStyle name="1_터미널1-0_설계내역서1월7일_화명조경_백화점화장실인테리어_3차네고견적(061017-1)" xfId="2074" xr:uid="{00000000-0005-0000-0000-000019080000}"/>
    <cellStyle name="1_터미널1-0_쌍용수량0905" xfId="2075" xr:uid="{00000000-0005-0000-0000-00001A080000}"/>
    <cellStyle name="1_터미널1-0_쌍용수량0905_1차 기성 내역서 0612023" xfId="2076" xr:uid="{00000000-0005-0000-0000-00001B080000}"/>
    <cellStyle name="1_터미널1-0_쌍용수량0905_3차네고견적(061017-1)" xfId="2077" xr:uid="{00000000-0005-0000-0000-00001C080000}"/>
    <cellStyle name="1_터미널1-0_쌍용수량0905_백화점화장실인테리어" xfId="2078" xr:uid="{00000000-0005-0000-0000-00001D080000}"/>
    <cellStyle name="1_터미널1-0_쌍용수량0905_백화점화장실인테리어_1차 기성 내역서 0612023" xfId="2079" xr:uid="{00000000-0005-0000-0000-00001E080000}"/>
    <cellStyle name="1_터미널1-0_쌍용수량0905_백화점화장실인테리어_3차네고견적(061017-1)" xfId="2080" xr:uid="{00000000-0005-0000-0000-00001F080000}"/>
    <cellStyle name="1_터미널1-0_쌍용수량0905_설계내역서" xfId="2081" xr:uid="{00000000-0005-0000-0000-000020080000}"/>
    <cellStyle name="1_터미널1-0_쌍용수량0905_설계내역서_1차 기성 내역서 0612023" xfId="2082" xr:uid="{00000000-0005-0000-0000-000021080000}"/>
    <cellStyle name="1_터미널1-0_쌍용수량0905_설계내역서_3차네고견적(061017-1)" xfId="2083" xr:uid="{00000000-0005-0000-0000-000022080000}"/>
    <cellStyle name="1_터미널1-0_쌍용수량0905_설계내역서_백화점화장실인테리어" xfId="2084" xr:uid="{00000000-0005-0000-0000-000023080000}"/>
    <cellStyle name="1_터미널1-0_쌍용수량0905_설계내역서_백화점화장실인테리어_1차 기성 내역서 0612023" xfId="2085" xr:uid="{00000000-0005-0000-0000-000024080000}"/>
    <cellStyle name="1_터미널1-0_쌍용수량0905_설계내역서_백화점화장실인테리어_3차네고견적(061017-1)" xfId="2086" xr:uid="{00000000-0005-0000-0000-000025080000}"/>
    <cellStyle name="1_터미널1-0_쌍용수량0905_설계내역서_화명조경" xfId="2087" xr:uid="{00000000-0005-0000-0000-000026080000}"/>
    <cellStyle name="1_터미널1-0_쌍용수량0905_설계내역서_화명조경_1차 기성 내역서 0612023" xfId="2088" xr:uid="{00000000-0005-0000-0000-000027080000}"/>
    <cellStyle name="1_터미널1-0_쌍용수량0905_설계내역서_화명조경_3차네고견적(061017-1)" xfId="2089" xr:uid="{00000000-0005-0000-0000-000028080000}"/>
    <cellStyle name="1_터미널1-0_쌍용수량0905_설계내역서_화명조경_백화점화장실인테리어" xfId="2090" xr:uid="{00000000-0005-0000-0000-000029080000}"/>
    <cellStyle name="1_터미널1-0_쌍용수량0905_설계내역서_화명조경_백화점화장실인테리어_1차 기성 내역서 0612023" xfId="2091" xr:uid="{00000000-0005-0000-0000-00002A080000}"/>
    <cellStyle name="1_터미널1-0_쌍용수량0905_설계내역서_화명조경_백화점화장실인테리어_3차네고견적(061017-1)" xfId="2092" xr:uid="{00000000-0005-0000-0000-00002B080000}"/>
    <cellStyle name="1_터미널1-0_쌍용수량0905_설계내역서1월7일" xfId="2093" xr:uid="{00000000-0005-0000-0000-00002C080000}"/>
    <cellStyle name="1_터미널1-0_쌍용수량0905_설계내역서1월7일_1차 기성 내역서 0612023" xfId="2094" xr:uid="{00000000-0005-0000-0000-00002D080000}"/>
    <cellStyle name="1_터미널1-0_쌍용수량0905_설계내역서1월7일_3차네고견적(061017-1)" xfId="2095" xr:uid="{00000000-0005-0000-0000-00002E080000}"/>
    <cellStyle name="1_터미널1-0_쌍용수량0905_설계내역서1월7일_백화점화장실인테리어" xfId="2096" xr:uid="{00000000-0005-0000-0000-00002F080000}"/>
    <cellStyle name="1_터미널1-0_쌍용수량0905_설계내역서1월7일_백화점화장실인테리어_1차 기성 내역서 0612023" xfId="2097" xr:uid="{00000000-0005-0000-0000-000030080000}"/>
    <cellStyle name="1_터미널1-0_쌍용수량0905_설계내역서1월7일_백화점화장실인테리어_3차네고견적(061017-1)" xfId="2098" xr:uid="{00000000-0005-0000-0000-000031080000}"/>
    <cellStyle name="1_터미널1-0_쌍용수량0905_설계내역서1월7일_화명조경" xfId="2099" xr:uid="{00000000-0005-0000-0000-000032080000}"/>
    <cellStyle name="1_터미널1-0_쌍용수량0905_설계내역서1월7일_화명조경_1차 기성 내역서 0612023" xfId="2100" xr:uid="{00000000-0005-0000-0000-000033080000}"/>
    <cellStyle name="1_터미널1-0_쌍용수량0905_설계내역서1월7일_화명조경_3차네고견적(061017-1)" xfId="2101" xr:uid="{00000000-0005-0000-0000-000034080000}"/>
    <cellStyle name="1_터미널1-0_쌍용수량0905_설계내역서1월7일_화명조경_백화점화장실인테리어" xfId="2102" xr:uid="{00000000-0005-0000-0000-000035080000}"/>
    <cellStyle name="1_터미널1-0_쌍용수량0905_설계내역서1월7일_화명조경_백화점화장실인테리어_1차 기성 내역서 0612023" xfId="2103" xr:uid="{00000000-0005-0000-0000-000036080000}"/>
    <cellStyle name="1_터미널1-0_쌍용수량0905_설계내역서1월7일_화명조경_백화점화장실인테리어_3차네고견적(061017-1)" xfId="2104" xr:uid="{00000000-0005-0000-0000-000037080000}"/>
    <cellStyle name="1_터미널1-0_쌍용수량0905_화명조경" xfId="2105" xr:uid="{00000000-0005-0000-0000-000038080000}"/>
    <cellStyle name="1_터미널1-0_쌍용수량0905_화명조경_1차 기성 내역서 0612023" xfId="2106" xr:uid="{00000000-0005-0000-0000-000039080000}"/>
    <cellStyle name="1_터미널1-0_쌍용수량0905_화명조경_3차네고견적(061017-1)" xfId="2107" xr:uid="{00000000-0005-0000-0000-00003A080000}"/>
    <cellStyle name="1_터미널1-0_쌍용수량0905_화명조경_백화점화장실인테리어" xfId="2108" xr:uid="{00000000-0005-0000-0000-00003B080000}"/>
    <cellStyle name="1_터미널1-0_쌍용수량0905_화명조경_백화점화장실인테리어_1차 기성 내역서 0612023" xfId="2109" xr:uid="{00000000-0005-0000-0000-00003C080000}"/>
    <cellStyle name="1_터미널1-0_쌍용수량0905_화명조경_백화점화장실인테리어_3차네고견적(061017-1)" xfId="2110" xr:uid="{00000000-0005-0000-0000-00003D080000}"/>
    <cellStyle name="1_터미널1-0_화명조경" xfId="2111" xr:uid="{00000000-0005-0000-0000-00003E080000}"/>
    <cellStyle name="1_터미널1-0_화명조경_1차 기성 내역서 0612023" xfId="2112" xr:uid="{00000000-0005-0000-0000-00003F080000}"/>
    <cellStyle name="1_터미널1-0_화명조경_3차네고견적(061017-1)" xfId="2113" xr:uid="{00000000-0005-0000-0000-000040080000}"/>
    <cellStyle name="1_터미널1-0_화명조경_백화점화장실인테리어" xfId="2114" xr:uid="{00000000-0005-0000-0000-000041080000}"/>
    <cellStyle name="1_터미널1-0_화명조경_백화점화장실인테리어_1차 기성 내역서 0612023" xfId="2115" xr:uid="{00000000-0005-0000-0000-000042080000}"/>
    <cellStyle name="1_터미널1-0_화명조경_백화점화장실인테리어_3차네고견적(061017-1)" xfId="2116" xr:uid="{00000000-0005-0000-0000-000043080000}"/>
    <cellStyle name="10" xfId="2117" xr:uid="{00000000-0005-0000-0000-000044080000}"/>
    <cellStyle name="11" xfId="2118" xr:uid="{00000000-0005-0000-0000-000045080000}"/>
    <cellStyle name="111" xfId="2119" xr:uid="{00000000-0005-0000-0000-000046080000}"/>
    <cellStyle name="¹e" xfId="2120" xr:uid="{00000000-0005-0000-0000-000047080000}"/>
    <cellStyle name="¹éº" xfId="2121" xr:uid="{00000000-0005-0000-0000-000048080000}"/>
    <cellStyle name="¹éºÐÀ²_±¸¸Å³³±â" xfId="2122" xr:uid="{00000000-0005-0000-0000-000049080000}"/>
    <cellStyle name="2" xfId="2123" xr:uid="{00000000-0005-0000-0000-00004A080000}"/>
    <cellStyle name="²" xfId="2124" xr:uid="{00000000-0005-0000-0000-00004B080000}"/>
    <cellStyle name="2)" xfId="2125" xr:uid="{00000000-0005-0000-0000-00004C080000}"/>
    <cellStyle name="2_단가조사표" xfId="2126" xr:uid="{00000000-0005-0000-0000-00004D080000}"/>
    <cellStyle name="2자리" xfId="2127" xr:uid="{00000000-0005-0000-0000-00004E080000}"/>
    <cellStyle name="³f¹ô[0]_pldt" xfId="2128" xr:uid="{00000000-0005-0000-0000-00004F080000}"/>
    <cellStyle name="³f¹ô_pldt" xfId="2129" xr:uid="{00000000-0005-0000-0000-000050080000}"/>
    <cellStyle name="60" xfId="2130" xr:uid="{00000000-0005-0000-0000-000051080000}"/>
    <cellStyle name="_x0014_7." xfId="2131" xr:uid="{00000000-0005-0000-0000-000052080000}"/>
    <cellStyle name="82" xfId="2132" xr:uid="{00000000-0005-0000-0000-000053080000}"/>
    <cellStyle name="90" xfId="2133" xr:uid="{00000000-0005-0000-0000-000054080000}"/>
    <cellStyle name="A" xfId="2134" xr:uid="{00000000-0005-0000-0000-000055080000}"/>
    <cellStyle name="A_02-도급공사비내역" xfId="2135" xr:uid="{00000000-0005-0000-0000-000056080000}"/>
    <cellStyle name="A_04028적산수량집계" xfId="2136" xr:uid="{00000000-0005-0000-0000-000057080000}"/>
    <cellStyle name="a_0514회의확정자료" xfId="2137" xr:uid="{00000000-0005-0000-0000-000058080000}"/>
    <cellStyle name="A_0901작업1-금액분리" xfId="2138" xr:uid="{00000000-0005-0000-0000-000059080000}"/>
    <cellStyle name="A_A0509-가실행(파주)" xfId="2139" xr:uid="{00000000-0005-0000-0000-00005A080000}"/>
    <cellStyle name="a_A-0902건축공사확정(대안포함)" xfId="2140" xr:uid="{00000000-0005-0000-0000-00005B080000}"/>
    <cellStyle name="a_A-0902조경공사확정(대안포함)" xfId="2141" xr:uid="{00000000-0005-0000-0000-00005C080000}"/>
    <cellStyle name="A_BOOKCITY(전기)" xfId="2142" xr:uid="{00000000-0005-0000-0000-00005D080000}"/>
    <cellStyle name="A_BOOKCITY(전기)_04028적산수량집계" xfId="2143" xr:uid="{00000000-0005-0000-0000-00005E080000}"/>
    <cellStyle name="A_Z01-본작업" xfId="2144" xr:uid="{00000000-0005-0000-0000-00005F080000}"/>
    <cellStyle name="A_가실행(3th)" xfId="2145" xr:uid="{00000000-0005-0000-0000-000060080000}"/>
    <cellStyle name="A_결정01-총괄가실행(0820)" xfId="2146" xr:uid="{00000000-0005-0000-0000-000061080000}"/>
    <cellStyle name="A_공설운동진입(가실행)" xfId="2147" xr:uid="{00000000-0005-0000-0000-000062080000}"/>
    <cellStyle name="A_공설운동진입(가실행)_04028적산수량집계" xfId="2148" xr:uid="{00000000-0005-0000-0000-000063080000}"/>
    <cellStyle name="A_공설운동진입(가실행)_BOOKCITY(전기)" xfId="2149" xr:uid="{00000000-0005-0000-0000-000064080000}"/>
    <cellStyle name="A_공설운동진입(가실행)_BOOKCITY(전기)_04028적산수량집계" xfId="2150" xr:uid="{00000000-0005-0000-0000-000065080000}"/>
    <cellStyle name="A_공설운동진입(가실행)_사본 - 파주 북시티(이채)" xfId="2151" xr:uid="{00000000-0005-0000-0000-000066080000}"/>
    <cellStyle name="A_공설운동진입(가실행)_사본 - 파주 북시티(이채)_04028적산수량집계" xfId="2152" xr:uid="{00000000-0005-0000-0000-000067080000}"/>
    <cellStyle name="A_공설운동진입(가실행)_파주 BOOK CITY(통보용)" xfId="2153" xr:uid="{00000000-0005-0000-0000-000068080000}"/>
    <cellStyle name="A_공설운동진입(가실행)_파주 BOOK CITY(통보용)_04028적산수량집계" xfId="2154" xr:uid="{00000000-0005-0000-0000-000069080000}"/>
    <cellStyle name="A_공설운동진입(가실행)_파주 BOOK CITY가실행내역" xfId="2155" xr:uid="{00000000-0005-0000-0000-00006A080000}"/>
    <cellStyle name="A_공설운동진입(가실행)_파주 BOOK CITY가실행내역_04028적산수량집계" xfId="2156" xr:uid="{00000000-0005-0000-0000-00006B080000}"/>
    <cellStyle name="A_공설운동진입(가실행)_파주 북시티(이채)제출" xfId="2157" xr:uid="{00000000-0005-0000-0000-00006C080000}"/>
    <cellStyle name="A_공설운동진입(가실행)_파주 북시티(이채)제출_04028적산수량집계" xfId="2158" xr:uid="{00000000-0005-0000-0000-00006D080000}"/>
    <cellStyle name="A_공설운동진입(가실행)_파주 북시티(전체)제출(변경전)" xfId="2159" xr:uid="{00000000-0005-0000-0000-00006E080000}"/>
    <cellStyle name="A_공설운동진입(가실행)_파주 북시티(전체)제출(변경전)_04028적산수량집계" xfId="2160" xr:uid="{00000000-0005-0000-0000-00006F080000}"/>
    <cellStyle name="a_공항관련공사비 비교" xfId="2161" xr:uid="{00000000-0005-0000-0000-000070080000}"/>
    <cellStyle name="A_당팀-가실행작업" xfId="2162" xr:uid="{00000000-0005-0000-0000-000071080000}"/>
    <cellStyle name="A_도급공사변경Ⅰ(0626)" xfId="2163" xr:uid="{00000000-0005-0000-0000-000072080000}"/>
    <cellStyle name="A_보고02-건축공사감액보고서(0714)" xfId="2164" xr:uid="{00000000-0005-0000-0000-000073080000}"/>
    <cellStyle name="A_분석001-구조체투입관련" xfId="2165" xr:uid="{00000000-0005-0000-0000-000074080000}"/>
    <cellStyle name="A_사본 - 0429파본사" xfId="2166" xr:uid="{00000000-0005-0000-0000-000075080000}"/>
    <cellStyle name="A_사본 - 파주 북시티(이채)" xfId="2167" xr:uid="{00000000-0005-0000-0000-000076080000}"/>
    <cellStyle name="A_사본 - 파주 북시티(이채)_04028적산수량집계" xfId="2168" xr:uid="{00000000-0005-0000-0000-000077080000}"/>
    <cellStyle name="A_실행01-총괄가실행(0828)" xfId="2169" xr:uid="{00000000-0005-0000-0000-000078080000}"/>
    <cellStyle name="a_자료03-대안수량조정실행대비표" xfId="2170" xr:uid="{00000000-0005-0000-0000-000079080000}"/>
    <cellStyle name="a_자료06-토목공사" xfId="2171" xr:uid="{00000000-0005-0000-0000-00007A080000}"/>
    <cellStyle name="a_작업01-조경공사0709" xfId="2172" xr:uid="{00000000-0005-0000-0000-00007B080000}"/>
    <cellStyle name="a_참고02-당초가실행" xfId="2173" xr:uid="{00000000-0005-0000-0000-00007C080000}"/>
    <cellStyle name="A_토목내역서" xfId="2174" xr:uid="{00000000-0005-0000-0000-00007D080000}"/>
    <cellStyle name="A_토목내역서_04028적산수량집계" xfId="2175" xr:uid="{00000000-0005-0000-0000-00007E080000}"/>
    <cellStyle name="A_토목내역서_BOOKCITY(전기)" xfId="2176" xr:uid="{00000000-0005-0000-0000-00007F080000}"/>
    <cellStyle name="A_토목내역서_BOOKCITY(전기)_04028적산수량집계" xfId="2177" xr:uid="{00000000-0005-0000-0000-000080080000}"/>
    <cellStyle name="A_토목내역서_공설운동진입(가실행)" xfId="2178" xr:uid="{00000000-0005-0000-0000-000081080000}"/>
    <cellStyle name="A_토목내역서_공설운동진입(가실행)_04028적산수량집계" xfId="2179" xr:uid="{00000000-0005-0000-0000-000082080000}"/>
    <cellStyle name="A_토목내역서_공설운동진입(가실행)_BOOKCITY(전기)" xfId="2180" xr:uid="{00000000-0005-0000-0000-000083080000}"/>
    <cellStyle name="A_토목내역서_공설운동진입(가실행)_BOOKCITY(전기)_04028적산수량집계" xfId="2181" xr:uid="{00000000-0005-0000-0000-000084080000}"/>
    <cellStyle name="A_토목내역서_공설운동진입(가실행)_사본 - 파주 북시티(이채)" xfId="2182" xr:uid="{00000000-0005-0000-0000-000085080000}"/>
    <cellStyle name="A_토목내역서_공설운동진입(가실행)_사본 - 파주 북시티(이채)_04028적산수량집계" xfId="2183" xr:uid="{00000000-0005-0000-0000-000086080000}"/>
    <cellStyle name="A_토목내역서_공설운동진입(가실행)_파주 BOOK CITY(통보용)" xfId="2184" xr:uid="{00000000-0005-0000-0000-000087080000}"/>
    <cellStyle name="A_토목내역서_공설운동진입(가실행)_파주 BOOK CITY(통보용)_04028적산수량집계" xfId="2185" xr:uid="{00000000-0005-0000-0000-000088080000}"/>
    <cellStyle name="A_토목내역서_공설운동진입(가실행)_파주 BOOK CITY가실행내역" xfId="2186" xr:uid="{00000000-0005-0000-0000-000089080000}"/>
    <cellStyle name="A_토목내역서_공설운동진입(가실행)_파주 BOOK CITY가실행내역_04028적산수량집계" xfId="2187" xr:uid="{00000000-0005-0000-0000-00008A080000}"/>
    <cellStyle name="A_토목내역서_공설운동진입(가실행)_파주 북시티(이채)제출" xfId="2188" xr:uid="{00000000-0005-0000-0000-00008B080000}"/>
    <cellStyle name="A_토목내역서_공설운동진입(가실행)_파주 북시티(이채)제출_04028적산수량집계" xfId="2189" xr:uid="{00000000-0005-0000-0000-00008C080000}"/>
    <cellStyle name="A_토목내역서_공설운동진입(가실행)_파주 북시티(전체)제출(변경전)" xfId="2190" xr:uid="{00000000-0005-0000-0000-00008D080000}"/>
    <cellStyle name="A_토목내역서_공설운동진입(가실행)_파주 북시티(전체)제출(변경전)_04028적산수량집계" xfId="2191" xr:uid="{00000000-0005-0000-0000-00008E080000}"/>
    <cellStyle name="A_토목내역서_사본 - 파주 북시티(이채)" xfId="2192" xr:uid="{00000000-0005-0000-0000-00008F080000}"/>
    <cellStyle name="A_토목내역서_사본 - 파주 북시티(이채)_04028적산수량집계" xfId="2193" xr:uid="{00000000-0005-0000-0000-000090080000}"/>
    <cellStyle name="A_토목내역서_파주 BOOK CITY(통보용)" xfId="2194" xr:uid="{00000000-0005-0000-0000-000091080000}"/>
    <cellStyle name="A_토목내역서_파주 BOOK CITY(통보용)_04028적산수량집계" xfId="2195" xr:uid="{00000000-0005-0000-0000-000092080000}"/>
    <cellStyle name="A_토목내역서_파주 BOOK CITY가실행내역" xfId="2196" xr:uid="{00000000-0005-0000-0000-000093080000}"/>
    <cellStyle name="A_토목내역서_파주 BOOK CITY가실행내역_04028적산수량집계" xfId="2197" xr:uid="{00000000-0005-0000-0000-000094080000}"/>
    <cellStyle name="A_토목내역서_파주 북시티(이채)제출" xfId="2198" xr:uid="{00000000-0005-0000-0000-000095080000}"/>
    <cellStyle name="A_토목내역서_파주 북시티(이채)제출_04028적산수량집계" xfId="2199" xr:uid="{00000000-0005-0000-0000-000096080000}"/>
    <cellStyle name="A_토목내역서_파주 북시티(전체)제출(변경전)" xfId="2200" xr:uid="{00000000-0005-0000-0000-000097080000}"/>
    <cellStyle name="A_토목내역서_파주 북시티(전체)제출(변경전)_04028적산수량집계" xfId="2201" xr:uid="{00000000-0005-0000-0000-000098080000}"/>
    <cellStyle name="A_파주 BOOK CITY(통보용)" xfId="2202" xr:uid="{00000000-0005-0000-0000-000099080000}"/>
    <cellStyle name="A_파주 BOOK CITY(통보용)_04028적산수량집계" xfId="2203" xr:uid="{00000000-0005-0000-0000-00009A080000}"/>
    <cellStyle name="A_파주 BOOK CITY가실행내역" xfId="2204" xr:uid="{00000000-0005-0000-0000-00009B080000}"/>
    <cellStyle name="A_파주 BOOK CITY가실행내역_04028적산수량집계" xfId="2205" xr:uid="{00000000-0005-0000-0000-00009C080000}"/>
    <cellStyle name="A_파주 북시티(이채)제출" xfId="2206" xr:uid="{00000000-0005-0000-0000-00009D080000}"/>
    <cellStyle name="A_파주 북시티(이채)제출_04028적산수량집계" xfId="2207" xr:uid="{00000000-0005-0000-0000-00009E080000}"/>
    <cellStyle name="A_파주 북시티(전체)제출(변경전)" xfId="2208" xr:uid="{00000000-0005-0000-0000-00009F080000}"/>
    <cellStyle name="A_파주 북시티(전체)제출(변경전)_04028적산수량집계" xfId="2209" xr:uid="{00000000-0005-0000-0000-0000A0080000}"/>
    <cellStyle name="a_파주1차가실행(통합)-대안1-현장분" xfId="2210" xr:uid="{00000000-0005-0000-0000-0000A1080000}"/>
    <cellStyle name="A¨­￠￢￠O [0]_¨uc¨oA " xfId="2211" xr:uid="{00000000-0005-0000-0000-0000A2080000}"/>
    <cellStyle name="A¨­¢¬¢Ò [0]_INQUIRY ¢¯¥ì¨ú¡ÀA©¬A©ª " xfId="2212" xr:uid="{00000000-0005-0000-0000-0000A3080000}"/>
    <cellStyle name="A¨­￠￢￠O_¨uc¨oA " xfId="2213" xr:uid="{00000000-0005-0000-0000-0000A4080000}"/>
    <cellStyle name="A¨­¢¬¢Ò_INQUIRY ¢¯¥ì¨ú¡ÀA©¬A©ª " xfId="2214" xr:uid="{00000000-0005-0000-0000-0000A5080000}"/>
    <cellStyle name="Aⓒ­" xfId="2215" xr:uid="{00000000-0005-0000-0000-0000A6080000}"/>
    <cellStyle name="Ae" xfId="2216" xr:uid="{00000000-0005-0000-0000-0000A7080000}"/>
    <cellStyle name="Åë" xfId="2217" xr:uid="{00000000-0005-0000-0000-0000A8080000}"/>
    <cellStyle name="Aee­ " xfId="2218" xr:uid="{00000000-0005-0000-0000-0000A9080000}"/>
    <cellStyle name="Åëè­ [" xfId="2219" xr:uid="{00000000-0005-0000-0000-0000AA080000}"/>
    <cellStyle name="AeE­ [0]_ 2ÆAAþº° " xfId="2220" xr:uid="{00000000-0005-0000-0000-0000AB080000}"/>
    <cellStyle name="ÅëÈ­ [0]_´ëºñÇ¥" xfId="2221" xr:uid="{00000000-0005-0000-0000-0000AC080000}"/>
    <cellStyle name="AeE­ [0]_¿­¸° INT" xfId="2222" xr:uid="{00000000-0005-0000-0000-0000AD080000}"/>
    <cellStyle name="ÅëÈ­ [0]_±âÅ¸" xfId="2223" xr:uid="{00000000-0005-0000-0000-0000AE080000}"/>
    <cellStyle name="AeE­ [0]_°ø A¤ C￥  BAR (sample) " xfId="2224" xr:uid="{00000000-0005-0000-0000-0000AF080000}"/>
    <cellStyle name="ÅëÈ­ [0]_¼öÀÍ¼º " xfId="2225" xr:uid="{00000000-0005-0000-0000-0000B0080000}"/>
    <cellStyle name="AeE­ [0]_1C￥Ao" xfId="2226" xr:uid="{00000000-0005-0000-0000-0000B1080000}"/>
    <cellStyle name="ÅëÈ­ [0]_2000¼ÕÈ® " xfId="2227" xr:uid="{00000000-0005-0000-0000-0000B2080000}"/>
    <cellStyle name="AeE­ [0]_95³aAN°y¼o·R " xfId="2228" xr:uid="{00000000-0005-0000-0000-0000B3080000}"/>
    <cellStyle name="ÅëÈ­ [0]_Á¤»ê¼­°©Áö" xfId="2229" xr:uid="{00000000-0005-0000-0000-0000B4080000}"/>
    <cellStyle name="AeE­ [0]_INQUIRY ¿μ¾÷AßAø " xfId="2230" xr:uid="{00000000-0005-0000-0000-0000B5080000}"/>
    <cellStyle name="ÅëÈ­ [0]_kc-elec system check list" xfId="2231" xr:uid="{00000000-0005-0000-0000-0000B6080000}"/>
    <cellStyle name="AeE­ [0]_º≫¼± ±æ¾i±uºI ¼o·R Ay°eC￥ " xfId="2232" xr:uid="{00000000-0005-0000-0000-0000B7080000}"/>
    <cellStyle name="ÅëÈ­ [0]_RESULTS" xfId="2233" xr:uid="{00000000-0005-0000-0000-0000B8080000}"/>
    <cellStyle name="AeE­ [0]_μμ±Þ°ø≫cºn " xfId="2234" xr:uid="{00000000-0005-0000-0000-0000B9080000}"/>
    <cellStyle name="Aee­ _04028적산수량집계" xfId="2235" xr:uid="{00000000-0005-0000-0000-0000BA080000}"/>
    <cellStyle name="AeE­_ 2ÆAAþº° " xfId="2236" xr:uid="{00000000-0005-0000-0000-0000BB080000}"/>
    <cellStyle name="ÅëÈ­_´ëºñÇ¥" xfId="2237" xr:uid="{00000000-0005-0000-0000-0000BC080000}"/>
    <cellStyle name="AeE­_¿­¸° INT" xfId="2238" xr:uid="{00000000-0005-0000-0000-0000BD080000}"/>
    <cellStyle name="ÅëÈ­_±âÅ¸" xfId="2239" xr:uid="{00000000-0005-0000-0000-0000BE080000}"/>
    <cellStyle name="AeE­_°ø A¤ C￥  BAR (sample) " xfId="2240" xr:uid="{00000000-0005-0000-0000-0000BF080000}"/>
    <cellStyle name="ÅëÈ­_¼öÀÍ¼º " xfId="2241" xr:uid="{00000000-0005-0000-0000-0000C0080000}"/>
    <cellStyle name="AeE­_95³aAN°y¼o·R " xfId="2242" xr:uid="{00000000-0005-0000-0000-0000C1080000}"/>
    <cellStyle name="ÅëÈ­_Á¤»ê¼­°©Áö" xfId="2243" xr:uid="{00000000-0005-0000-0000-0000C2080000}"/>
    <cellStyle name="AeE­_INQUIRY ¿μ¾÷AßAø " xfId="2244" xr:uid="{00000000-0005-0000-0000-0000C3080000}"/>
    <cellStyle name="ÅëÈ­_kc-elec system check list" xfId="2245" xr:uid="{00000000-0005-0000-0000-0000C4080000}"/>
    <cellStyle name="AeE­_º≫¼± ±æ¾i±uºI ¼o·R Ay°eC￥ " xfId="2246" xr:uid="{00000000-0005-0000-0000-0000C5080000}"/>
    <cellStyle name="ÅëÈ­_RESULTS" xfId="2247" xr:uid="{00000000-0005-0000-0000-0000C6080000}"/>
    <cellStyle name="Aee¡" xfId="2248" xr:uid="{00000000-0005-0000-0000-0000C7080000}"/>
    <cellStyle name="AeE¡© [0]_INQUIRY ¢¯¥ì¨ú¡ÀA©¬A©ª " xfId="2249" xr:uid="{00000000-0005-0000-0000-0000C8080000}"/>
    <cellStyle name="AeE¡©_INQUIRY ¢¯¥ì¨ú¡ÀA©¬A©ª " xfId="2250" xr:uid="{00000000-0005-0000-0000-0000C9080000}"/>
    <cellStyle name="AeE¡ⓒ [0]_¨uc¨oA " xfId="2251" xr:uid="{00000000-0005-0000-0000-0000CA080000}"/>
    <cellStyle name="AeE¡ⓒ_¨uc¨oA " xfId="2252" xr:uid="{00000000-0005-0000-0000-0000CB080000}"/>
    <cellStyle name="ALIGNMENT" xfId="2253" xr:uid="{00000000-0005-0000-0000-0000CC080000}"/>
    <cellStyle name="args.style" xfId="2254" xr:uid="{00000000-0005-0000-0000-0000CD080000}"/>
    <cellStyle name="Äþ" xfId="2255" xr:uid="{00000000-0005-0000-0000-0000CE080000}"/>
    <cellStyle name="Aþ¸" xfId="2256" xr:uid="{00000000-0005-0000-0000-0000CF080000}"/>
    <cellStyle name="Äþ¸¶ [" xfId="2257" xr:uid="{00000000-0005-0000-0000-0000D0080000}"/>
    <cellStyle name="AÞ¸¶ [0]_ 2ÆAAþº° " xfId="2258" xr:uid="{00000000-0005-0000-0000-0000D1080000}"/>
    <cellStyle name="ÄÞ¸¶ [0]_´ëºñÇ¥" xfId="2259" xr:uid="{00000000-0005-0000-0000-0000D2080000}"/>
    <cellStyle name="AÞ¸¶ [0]_¿­¸° INT" xfId="2260" xr:uid="{00000000-0005-0000-0000-0000D3080000}"/>
    <cellStyle name="ÄÞ¸¶ [0]_±âÅ¸" xfId="2261" xr:uid="{00000000-0005-0000-0000-0000D4080000}"/>
    <cellStyle name="AÞ¸¶ [0]_°¡³ª´U " xfId="2262" xr:uid="{00000000-0005-0000-0000-0000D5080000}"/>
    <cellStyle name="ÄÞ¸¶ [0]_°ø¹®¾ç½Ä" xfId="2263" xr:uid="{00000000-0005-0000-0000-0000D6080000}"/>
    <cellStyle name="AÞ¸¶ [0]_¼oAI¼º " xfId="2264" xr:uid="{00000000-0005-0000-0000-0000D7080000}"/>
    <cellStyle name="ÄÞ¸¶ [0]_¼öÀÍ¼º " xfId="2265" xr:uid="{00000000-0005-0000-0000-0000D8080000}"/>
    <cellStyle name="AÞ¸¶ [0]_1" xfId="2266" xr:uid="{00000000-0005-0000-0000-0000D9080000}"/>
    <cellStyle name="ÄÞ¸¶ [0]_2000¼ÕÈ® " xfId="2267" xr:uid="{00000000-0005-0000-0000-0000DA080000}"/>
    <cellStyle name="AÞ¸¶ [0]_95³aAN°y¼o·R " xfId="2268" xr:uid="{00000000-0005-0000-0000-0000DB080000}"/>
    <cellStyle name="ÄÞ¸¶ [0]_Á¤»ê¼­°©Áö" xfId="2269" xr:uid="{00000000-0005-0000-0000-0000DC080000}"/>
    <cellStyle name="AÞ¸¶ [0]_INQUIRY ¿μ¾÷AßAø " xfId="2270" xr:uid="{00000000-0005-0000-0000-0000DD080000}"/>
    <cellStyle name="ÄÞ¸¶ [0]_º¯°æ¹®Ã³_Àç¹«È°µ¿ " xfId="2271" xr:uid="{00000000-0005-0000-0000-0000DE080000}"/>
    <cellStyle name="AÞ¸¶ [0]_º≫¼± ±æ¾i±uºI ¼o·R Ay°eC￥ " xfId="2272" xr:uid="{00000000-0005-0000-0000-0000DF080000}"/>
    <cellStyle name="ÄÞ¸¶ [0]_Sheet1" xfId="2273" xr:uid="{00000000-0005-0000-0000-0000E0080000}"/>
    <cellStyle name="AÞ¸¶_ 2ÆAAþº° " xfId="2274" xr:uid="{00000000-0005-0000-0000-0000E1080000}"/>
    <cellStyle name="ÄÞ¸¶_´ëºñÇ¥" xfId="2275" xr:uid="{00000000-0005-0000-0000-0000E2080000}"/>
    <cellStyle name="AÞ¸¶_¿­¸° INT" xfId="2276" xr:uid="{00000000-0005-0000-0000-0000E3080000}"/>
    <cellStyle name="ÄÞ¸¶_±âÅ¸" xfId="2277" xr:uid="{00000000-0005-0000-0000-0000E4080000}"/>
    <cellStyle name="AÞ¸¶_°ø A¤ C￥  BAR (sample) " xfId="2278" xr:uid="{00000000-0005-0000-0000-0000E5080000}"/>
    <cellStyle name="ÄÞ¸¶_¼öÀÍ¼º " xfId="2279" xr:uid="{00000000-0005-0000-0000-0000E6080000}"/>
    <cellStyle name="AÞ¸¶_1" xfId="2280" xr:uid="{00000000-0005-0000-0000-0000E7080000}"/>
    <cellStyle name="ÄÞ¸¶_2000¼ÕÈ® " xfId="2281" xr:uid="{00000000-0005-0000-0000-0000E8080000}"/>
    <cellStyle name="AÞ¸¶_95³aAN°y¼o·R " xfId="2282" xr:uid="{00000000-0005-0000-0000-0000E9080000}"/>
    <cellStyle name="ÄÞ¸¶_Á¤»ê¼­°©Áö" xfId="2283" xr:uid="{00000000-0005-0000-0000-0000EA080000}"/>
    <cellStyle name="AÞ¸¶_INQUIRY ¿μ¾÷AßAø " xfId="2284" xr:uid="{00000000-0005-0000-0000-0000EB080000}"/>
    <cellStyle name="ÄÞ¸¶_º¯°æ¹®Ã³_Àç¹«È°µ¿ " xfId="2285" xr:uid="{00000000-0005-0000-0000-0000EC080000}"/>
    <cellStyle name="AÞ¸¶_º≫¼± ±æ¾i±uºI ¼o·R Ay°eC￥ " xfId="2286" xr:uid="{00000000-0005-0000-0000-0000ED080000}"/>
    <cellStyle name="ÄÞ¸¶_Sheet1" xfId="2287" xr:uid="{00000000-0005-0000-0000-0000EE080000}"/>
    <cellStyle name="_x0001_b" xfId="2288" xr:uid="{00000000-0005-0000-0000-0000EF080000}"/>
    <cellStyle name="blank" xfId="2289" xr:uid="{00000000-0005-0000-0000-0000F0080000}"/>
    <cellStyle name="blank - Style1" xfId="2290" xr:uid="{00000000-0005-0000-0000-0000F1080000}"/>
    <cellStyle name="Body" xfId="2291" xr:uid="{00000000-0005-0000-0000-0000F2080000}"/>
    <cellStyle name="C" xfId="2292" xr:uid="{00000000-0005-0000-0000-0000F3080000}"/>
    <cellStyle name="C_04028적산수량집계" xfId="2293" xr:uid="{00000000-0005-0000-0000-0000F4080000}"/>
    <cellStyle name="C_BOOKCITY(전기)" xfId="2294" xr:uid="{00000000-0005-0000-0000-0000F5080000}"/>
    <cellStyle name="C_BOOKCITY(전기)_04028적산수량집계" xfId="2295" xr:uid="{00000000-0005-0000-0000-0000F6080000}"/>
    <cellStyle name="C_공설운동진입(가실행)" xfId="2296" xr:uid="{00000000-0005-0000-0000-0000F7080000}"/>
    <cellStyle name="C_공설운동진입(가실행)_04028적산수량집계" xfId="2297" xr:uid="{00000000-0005-0000-0000-0000F8080000}"/>
    <cellStyle name="C_공설운동진입(가실행)_BOOKCITY(전기)" xfId="2298" xr:uid="{00000000-0005-0000-0000-0000F9080000}"/>
    <cellStyle name="C_공설운동진입(가실행)_BOOKCITY(전기)_04028적산수량집계" xfId="2299" xr:uid="{00000000-0005-0000-0000-0000FA080000}"/>
    <cellStyle name="C_공설운동진입(가실행)_사본 - 파주 북시티(이채)" xfId="2300" xr:uid="{00000000-0005-0000-0000-0000FB080000}"/>
    <cellStyle name="C_공설운동진입(가실행)_사본 - 파주 북시티(이채)_04028적산수량집계" xfId="2301" xr:uid="{00000000-0005-0000-0000-0000FC080000}"/>
    <cellStyle name="C_공설운동진입(가실행)_파주 BOOK CITY(통보용)" xfId="2302" xr:uid="{00000000-0005-0000-0000-0000FD080000}"/>
    <cellStyle name="C_공설운동진입(가실행)_파주 BOOK CITY(통보용)_04028적산수량집계" xfId="2303" xr:uid="{00000000-0005-0000-0000-0000FE080000}"/>
    <cellStyle name="C_공설운동진입(가실행)_파주 BOOK CITY가실행내역" xfId="2304" xr:uid="{00000000-0005-0000-0000-0000FF080000}"/>
    <cellStyle name="C_공설운동진입(가실행)_파주 BOOK CITY가실행내역_04028적산수량집계" xfId="2305" xr:uid="{00000000-0005-0000-0000-000000090000}"/>
    <cellStyle name="C_공설운동진입(가실행)_파주 북시티(이채)제출" xfId="2306" xr:uid="{00000000-0005-0000-0000-000001090000}"/>
    <cellStyle name="C_공설운동진입(가실행)_파주 북시티(이채)제출_04028적산수량집계" xfId="2307" xr:uid="{00000000-0005-0000-0000-000002090000}"/>
    <cellStyle name="C_공설운동진입(가실행)_파주 북시티(전체)제출(변경전)" xfId="2308" xr:uid="{00000000-0005-0000-0000-000003090000}"/>
    <cellStyle name="C_공설운동진입(가실행)_파주 북시티(전체)제출(변경전)_04028적산수량집계" xfId="2309" xr:uid="{00000000-0005-0000-0000-000004090000}"/>
    <cellStyle name="C_사본 - 파주 북시티(이채)" xfId="2310" xr:uid="{00000000-0005-0000-0000-000005090000}"/>
    <cellStyle name="C_사본 - 파주 북시티(이채)_04028적산수량집계" xfId="2311" xr:uid="{00000000-0005-0000-0000-000006090000}"/>
    <cellStyle name="C_토목내역서" xfId="2312" xr:uid="{00000000-0005-0000-0000-000007090000}"/>
    <cellStyle name="C_토목내역서_04028적산수량집계" xfId="2313" xr:uid="{00000000-0005-0000-0000-000008090000}"/>
    <cellStyle name="C_토목내역서_BOOKCITY(전기)" xfId="2314" xr:uid="{00000000-0005-0000-0000-000009090000}"/>
    <cellStyle name="C_토목내역서_BOOKCITY(전기)_04028적산수량집계" xfId="2315" xr:uid="{00000000-0005-0000-0000-00000A090000}"/>
    <cellStyle name="C_토목내역서_공설운동진입(가실행)" xfId="2316" xr:uid="{00000000-0005-0000-0000-00000B090000}"/>
    <cellStyle name="C_토목내역서_공설운동진입(가실행)_04028적산수량집계" xfId="2317" xr:uid="{00000000-0005-0000-0000-00000C090000}"/>
    <cellStyle name="C_토목내역서_공설운동진입(가실행)_BOOKCITY(전기)" xfId="2318" xr:uid="{00000000-0005-0000-0000-00000D090000}"/>
    <cellStyle name="C_토목내역서_공설운동진입(가실행)_BOOKCITY(전기)_04028적산수량집계" xfId="2319" xr:uid="{00000000-0005-0000-0000-00000E090000}"/>
    <cellStyle name="C_토목내역서_공설운동진입(가실행)_사본 - 파주 북시티(이채)" xfId="2320" xr:uid="{00000000-0005-0000-0000-00000F090000}"/>
    <cellStyle name="C_토목내역서_공설운동진입(가실행)_사본 - 파주 북시티(이채)_04028적산수량집계" xfId="2321" xr:uid="{00000000-0005-0000-0000-000010090000}"/>
    <cellStyle name="C_토목내역서_공설운동진입(가실행)_파주 BOOK CITY(통보용)" xfId="2322" xr:uid="{00000000-0005-0000-0000-000011090000}"/>
    <cellStyle name="C_토목내역서_공설운동진입(가실행)_파주 BOOK CITY(통보용)_04028적산수량집계" xfId="2323" xr:uid="{00000000-0005-0000-0000-000012090000}"/>
    <cellStyle name="C_토목내역서_공설운동진입(가실행)_파주 BOOK CITY가실행내역" xfId="2324" xr:uid="{00000000-0005-0000-0000-000013090000}"/>
    <cellStyle name="C_토목내역서_공설운동진입(가실행)_파주 BOOK CITY가실행내역_04028적산수량집계" xfId="2325" xr:uid="{00000000-0005-0000-0000-000014090000}"/>
    <cellStyle name="C_토목내역서_공설운동진입(가실행)_파주 북시티(이채)제출" xfId="2326" xr:uid="{00000000-0005-0000-0000-000015090000}"/>
    <cellStyle name="C_토목내역서_공설운동진입(가실행)_파주 북시티(이채)제출_04028적산수량집계" xfId="2327" xr:uid="{00000000-0005-0000-0000-000016090000}"/>
    <cellStyle name="C_토목내역서_공설운동진입(가실행)_파주 북시티(전체)제출(변경전)" xfId="2328" xr:uid="{00000000-0005-0000-0000-000017090000}"/>
    <cellStyle name="C_토목내역서_공설운동진입(가실행)_파주 북시티(전체)제출(변경전)_04028적산수량집계" xfId="2329" xr:uid="{00000000-0005-0000-0000-000018090000}"/>
    <cellStyle name="C_토목내역서_사본 - 파주 북시티(이채)" xfId="2330" xr:uid="{00000000-0005-0000-0000-000019090000}"/>
    <cellStyle name="C_토목내역서_사본 - 파주 북시티(이채)_04028적산수량집계" xfId="2331" xr:uid="{00000000-0005-0000-0000-00001A090000}"/>
    <cellStyle name="C_토목내역서_파주 BOOK CITY(통보용)" xfId="2332" xr:uid="{00000000-0005-0000-0000-00001B090000}"/>
    <cellStyle name="C_토목내역서_파주 BOOK CITY(통보용)_04028적산수량집계" xfId="2333" xr:uid="{00000000-0005-0000-0000-00001C090000}"/>
    <cellStyle name="C_토목내역서_파주 BOOK CITY가실행내역" xfId="2334" xr:uid="{00000000-0005-0000-0000-00001D090000}"/>
    <cellStyle name="C_토목내역서_파주 BOOK CITY가실행내역_04028적산수량집계" xfId="2335" xr:uid="{00000000-0005-0000-0000-00001E090000}"/>
    <cellStyle name="C_토목내역서_파주 북시티(이채)제출" xfId="2336" xr:uid="{00000000-0005-0000-0000-00001F090000}"/>
    <cellStyle name="C_토목내역서_파주 북시티(이채)제출_04028적산수량집계" xfId="2337" xr:uid="{00000000-0005-0000-0000-000020090000}"/>
    <cellStyle name="C_토목내역서_파주 북시티(전체)제출(변경전)" xfId="2338" xr:uid="{00000000-0005-0000-0000-000021090000}"/>
    <cellStyle name="C_토목내역서_파주 북시티(전체)제출(변경전)_04028적산수량집계" xfId="2339" xr:uid="{00000000-0005-0000-0000-000022090000}"/>
    <cellStyle name="C_파주 BOOK CITY(통보용)" xfId="2340" xr:uid="{00000000-0005-0000-0000-000023090000}"/>
    <cellStyle name="C_파주 BOOK CITY(통보용)_04028적산수량집계" xfId="2341" xr:uid="{00000000-0005-0000-0000-000024090000}"/>
    <cellStyle name="C_파주 BOOK CITY가실행내역" xfId="2342" xr:uid="{00000000-0005-0000-0000-000025090000}"/>
    <cellStyle name="C_파주 BOOK CITY가실행내역_04028적산수량집계" xfId="2343" xr:uid="{00000000-0005-0000-0000-000026090000}"/>
    <cellStyle name="C_파주 북시티(이채)제출" xfId="2344" xr:uid="{00000000-0005-0000-0000-000027090000}"/>
    <cellStyle name="C_파주 북시티(이채)제출_04028적산수량집계" xfId="2345" xr:uid="{00000000-0005-0000-0000-000028090000}"/>
    <cellStyle name="C_파주 북시티(전체)제출(변경전)" xfId="2346" xr:uid="{00000000-0005-0000-0000-000029090000}"/>
    <cellStyle name="C_파주 북시티(전체)제출(변경전)_04028적산수량집계" xfId="2347" xr:uid="{00000000-0005-0000-0000-00002A090000}"/>
    <cellStyle name="C¡IA¨ª_  FAB AIA￠´  " xfId="2348" xr:uid="{00000000-0005-0000-0000-00002B090000}"/>
    <cellStyle name="C¡ÍA¨ª_¡íc¨ú¡À¨¬I¨¬¡Æ AN¡Æe " xfId="2349" xr:uid="{00000000-0005-0000-0000-00002C090000}"/>
    <cellStyle name="C¡IA¨ª_AO¨uRCN¡¾U " xfId="2350" xr:uid="{00000000-0005-0000-0000-00002D090000}"/>
    <cellStyle name="Ç¥" xfId="2351" xr:uid="{00000000-0005-0000-0000-00002E090000}"/>
    <cellStyle name="C￥AØ_  FAB AIA¤  " xfId="2352" xr:uid="{00000000-0005-0000-0000-00002F090000}"/>
    <cellStyle name="Ç¥ÁØ_(Á¤º¸ºÎ¹®)¿ùº°ÀÎ¿ø°èÈ¹" xfId="2353" xr:uid="{00000000-0005-0000-0000-000030090000}"/>
    <cellStyle name="C￥AØ_´eAN°yC￥ " xfId="2354" xr:uid="{00000000-0005-0000-0000-000031090000}"/>
    <cellStyle name="Ç¥ÁØ_´ëºñÇ¥" xfId="2355" xr:uid="{00000000-0005-0000-0000-000032090000}"/>
    <cellStyle name="C￥AØ_´eºnC￥ (2)_1_ºI´eAa°ø " xfId="2356" xr:uid="{00000000-0005-0000-0000-000033090000}"/>
    <cellStyle name="Ç¥ÁØ_´ëºñÇ¥ (2)_1_ºÎ´ëÅä°ø " xfId="2357" xr:uid="{00000000-0005-0000-0000-000034090000}"/>
    <cellStyle name="C￥AØ_´eºnC￥ (2)_ºI´eAa°ø " xfId="2358" xr:uid="{00000000-0005-0000-0000-000035090000}"/>
    <cellStyle name="Ç¥ÁØ_´ëºñÇ¥ (2)_ºÎ´ëÅä°ø " xfId="2359" xr:uid="{00000000-0005-0000-0000-000036090000}"/>
    <cellStyle name="C￥AØ_¿­¸° INT" xfId="2360" xr:uid="{00000000-0005-0000-0000-000037090000}"/>
    <cellStyle name="Ç¥ÁØ_±¸¸Å³³±â" xfId="2361" xr:uid="{00000000-0005-0000-0000-000038090000}"/>
    <cellStyle name="C￥AØ_≫c¾÷ºIº° AN°e " xfId="2362" xr:uid="{00000000-0005-0000-0000-000039090000}"/>
    <cellStyle name="Ç¥ÁØ_°¡¼³" xfId="2363" xr:uid="{00000000-0005-0000-0000-00003A090000}"/>
    <cellStyle name="C￥AØ_°ø≫cºn¿¹≫e¼­ " xfId="2364" xr:uid="{00000000-0005-0000-0000-00003B090000}"/>
    <cellStyle name="Ç¥ÁØ_°ø¹®" xfId="2365" xr:uid="{00000000-0005-0000-0000-00003C090000}"/>
    <cellStyle name="C￥AØ_0N-HANDLING " xfId="2366" xr:uid="{00000000-0005-0000-0000-00003D090000}"/>
    <cellStyle name="Ç¥ÁØ_0N-HANDLING " xfId="2367" xr:uid="{00000000-0005-0000-0000-00003E090000}"/>
    <cellStyle name="C￥AØ_¼³°e¿e¿ª" xfId="2368" xr:uid="{00000000-0005-0000-0000-00003F090000}"/>
    <cellStyle name="Ç¥ÁØ_¼öÀÍ¼º " xfId="2369" xr:uid="{00000000-0005-0000-0000-000040090000}"/>
    <cellStyle name="C￥AØ_¹y¸eº¸E￡ " xfId="2370" xr:uid="{00000000-0005-0000-0000-000041090000}"/>
    <cellStyle name="Ç¥ÁØ_5-1±¤°í " xfId="2371" xr:uid="{00000000-0005-0000-0000-000042090000}"/>
    <cellStyle name="C￥AØ_95³aAN°y¼o·R " xfId="2372" xr:uid="{00000000-0005-0000-0000-000043090000}"/>
    <cellStyle name="Ç¥ÁØ_Áý°èÇ¥(2¿ù) " xfId="2373" xr:uid="{00000000-0005-0000-0000-000044090000}"/>
    <cellStyle name="C￥AØ_CoAo¹yAI °A¾×¿ⓒ½A " xfId="2374" xr:uid="{00000000-0005-0000-0000-000045090000}"/>
    <cellStyle name="Ç¥ÁØ_ÇöÈ²_¹®Á¦Á¡ " xfId="2375" xr:uid="{00000000-0005-0000-0000-000046090000}"/>
    <cellStyle name="C￥AØ_E¸AaAO½A " xfId="2376" xr:uid="{00000000-0005-0000-0000-000047090000}"/>
    <cellStyle name="Ç¥ÁØ_ÈÞÀÏ±Ù·Î" xfId="2377" xr:uid="{00000000-0005-0000-0000-000048090000}"/>
    <cellStyle name="C￥AØ_FIRE " xfId="2378" xr:uid="{00000000-0005-0000-0000-000049090000}"/>
    <cellStyle name="Ç¥ÁØ_HATCO HQ" xfId="2379" xr:uid="{00000000-0005-0000-0000-00004A090000}"/>
    <cellStyle name="C￥AØ_LIGHTNING " xfId="2380" xr:uid="{00000000-0005-0000-0000-00004B090000}"/>
    <cellStyle name="Ç¥ÁØ_º¯°æ(ÃÖÁ¾)" xfId="2381" xr:uid="{00000000-0005-0000-0000-00004C090000}"/>
    <cellStyle name="C￥AØ_PERSONAL" xfId="2382" xr:uid="{00000000-0005-0000-0000-00004D090000}"/>
    <cellStyle name="Ç¥ÁØ_RESULTS" xfId="2383" xr:uid="{00000000-0005-0000-0000-00004E090000}"/>
    <cellStyle name="Calc Currency (0)" xfId="2384" xr:uid="{00000000-0005-0000-0000-00004F090000}"/>
    <cellStyle name="Calc Currency (2)" xfId="2385" xr:uid="{00000000-0005-0000-0000-000050090000}"/>
    <cellStyle name="Calc Percent (0)" xfId="2386" xr:uid="{00000000-0005-0000-0000-000051090000}"/>
    <cellStyle name="Calc Percent (1)" xfId="2387" xr:uid="{00000000-0005-0000-0000-000052090000}"/>
    <cellStyle name="Calc Percent (2)" xfId="2388" xr:uid="{00000000-0005-0000-0000-000053090000}"/>
    <cellStyle name="Calc Units (0)" xfId="2389" xr:uid="{00000000-0005-0000-0000-000054090000}"/>
    <cellStyle name="Calc Units (1)" xfId="2390" xr:uid="{00000000-0005-0000-0000-000055090000}"/>
    <cellStyle name="Calc Units (2)" xfId="2391" xr:uid="{00000000-0005-0000-0000-000056090000}"/>
    <cellStyle name="category" xfId="2392" xr:uid="{00000000-0005-0000-0000-000057090000}"/>
    <cellStyle name="ÇÏÀÌÆÛ¸µÅ©" xfId="2393" xr:uid="{00000000-0005-0000-0000-000058090000}"/>
    <cellStyle name="CIAIÆU¸μAⓒ" xfId="2394" xr:uid="{00000000-0005-0000-0000-000059090000}"/>
    <cellStyle name="ⓒo" xfId="2395" xr:uid="{00000000-0005-0000-0000-00005A090000}"/>
    <cellStyle name="Comma" xfId="2396" xr:uid="{00000000-0005-0000-0000-00005B090000}"/>
    <cellStyle name="Comma  - Style2" xfId="2397" xr:uid="{00000000-0005-0000-0000-00005C090000}"/>
    <cellStyle name="Comma  - Style3" xfId="2398" xr:uid="{00000000-0005-0000-0000-00005D090000}"/>
    <cellStyle name="Comma  - Style4" xfId="2399" xr:uid="{00000000-0005-0000-0000-00005E090000}"/>
    <cellStyle name="Comma  - Style5" xfId="2400" xr:uid="{00000000-0005-0000-0000-00005F090000}"/>
    <cellStyle name="Comma  - Style6" xfId="2401" xr:uid="{00000000-0005-0000-0000-000060090000}"/>
    <cellStyle name="Comma  - Style7" xfId="2402" xr:uid="{00000000-0005-0000-0000-000061090000}"/>
    <cellStyle name="Comma  - Style8" xfId="2403" xr:uid="{00000000-0005-0000-0000-000062090000}"/>
    <cellStyle name="Comma [0]" xfId="2627" xr:uid="{00000000-0005-0000-0000-000063090000}"/>
    <cellStyle name="Comma [00]" xfId="2404" xr:uid="{00000000-0005-0000-0000-000064090000}"/>
    <cellStyle name="comma zerodec" xfId="2405" xr:uid="{00000000-0005-0000-0000-000065090000}"/>
    <cellStyle name="Comma_ SG&amp;A Bridge" xfId="2406" xr:uid="{00000000-0005-0000-0000-000066090000}"/>
    <cellStyle name="Comma0" xfId="2407" xr:uid="{00000000-0005-0000-0000-000067090000}"/>
    <cellStyle name="Copied" xfId="2408" xr:uid="{00000000-0005-0000-0000-000068090000}"/>
    <cellStyle name="Curren?_x0012_퐀_x0017_?" xfId="2409" xr:uid="{00000000-0005-0000-0000-000069090000}"/>
    <cellStyle name="Currency" xfId="2410" xr:uid="{00000000-0005-0000-0000-00006A090000}"/>
    <cellStyle name="Currency [0]" xfId="2411" xr:uid="{00000000-0005-0000-0000-00006B090000}"/>
    <cellStyle name="Currency [00]" xfId="2412" xr:uid="{00000000-0005-0000-0000-00006C090000}"/>
    <cellStyle name="Currency_ SG&amp;A Bridge " xfId="2413" xr:uid="{00000000-0005-0000-0000-00006D090000}"/>
    <cellStyle name="Currency0" xfId="2414" xr:uid="{00000000-0005-0000-0000-00006E090000}"/>
    <cellStyle name="Currency1" xfId="2415" xr:uid="{00000000-0005-0000-0000-00006F090000}"/>
    <cellStyle name="Date" xfId="2416" xr:uid="{00000000-0005-0000-0000-000070090000}"/>
    <cellStyle name="Date Short" xfId="2417" xr:uid="{00000000-0005-0000-0000-000071090000}"/>
    <cellStyle name="Date_견적양식(가로)" xfId="2418" xr:uid="{00000000-0005-0000-0000-000072090000}"/>
    <cellStyle name="DELTA" xfId="2419" xr:uid="{00000000-0005-0000-0000-000073090000}"/>
    <cellStyle name="Dezimal [0]_Compiling Utility Macros" xfId="2420" xr:uid="{00000000-0005-0000-0000-000074090000}"/>
    <cellStyle name="Dezimal_Compiling Utility Macros" xfId="2421" xr:uid="{00000000-0005-0000-0000-000075090000}"/>
    <cellStyle name="Dollar (zero dec)" xfId="2422" xr:uid="{00000000-0005-0000-0000-000076090000}"/>
    <cellStyle name="En-t?e 1" xfId="2423" xr:uid="{00000000-0005-0000-0000-000077090000}"/>
    <cellStyle name="En-t?e 2" xfId="2424" xr:uid="{00000000-0005-0000-0000-000078090000}"/>
    <cellStyle name="Enter Currency (0)" xfId="2425" xr:uid="{00000000-0005-0000-0000-000079090000}"/>
    <cellStyle name="Enter Currency (2)" xfId="2426" xr:uid="{00000000-0005-0000-0000-00007A090000}"/>
    <cellStyle name="Enter Units (0)" xfId="2427" xr:uid="{00000000-0005-0000-0000-00007B090000}"/>
    <cellStyle name="Enter Units (1)" xfId="2428" xr:uid="{00000000-0005-0000-0000-00007C090000}"/>
    <cellStyle name="Enter Units (2)" xfId="2429" xr:uid="{00000000-0005-0000-0000-00007D090000}"/>
    <cellStyle name="Entered" xfId="2430" xr:uid="{00000000-0005-0000-0000-00007E090000}"/>
    <cellStyle name="Euro" xfId="2431" xr:uid="{00000000-0005-0000-0000-00007F090000}"/>
    <cellStyle name="F2" xfId="2432" xr:uid="{00000000-0005-0000-0000-000080090000}"/>
    <cellStyle name="F3" xfId="2433" xr:uid="{00000000-0005-0000-0000-000081090000}"/>
    <cellStyle name="F4" xfId="2434" xr:uid="{00000000-0005-0000-0000-000082090000}"/>
    <cellStyle name="F5" xfId="2435" xr:uid="{00000000-0005-0000-0000-000083090000}"/>
    <cellStyle name="F6" xfId="2436" xr:uid="{00000000-0005-0000-0000-000084090000}"/>
    <cellStyle name="F7" xfId="2437" xr:uid="{00000000-0005-0000-0000-000085090000}"/>
    <cellStyle name="F8" xfId="2438" xr:uid="{00000000-0005-0000-0000-000086090000}"/>
    <cellStyle name="Financier0" xfId="2439" xr:uid="{00000000-0005-0000-0000-000087090000}"/>
    <cellStyle name="Fixed" xfId="2440" xr:uid="{00000000-0005-0000-0000-000088090000}"/>
    <cellStyle name="Followed Hyperlink" xfId="2441" xr:uid="{00000000-0005-0000-0000-000089090000}"/>
    <cellStyle name="G10" xfId="2442" xr:uid="{00000000-0005-0000-0000-00008A090000}"/>
    <cellStyle name="Grey" xfId="2443" xr:uid="{00000000-0005-0000-0000-00008B090000}"/>
    <cellStyle name="H1" xfId="2444" xr:uid="{00000000-0005-0000-0000-00008C090000}"/>
    <cellStyle name="H2" xfId="2445" xr:uid="{00000000-0005-0000-0000-00008D090000}"/>
    <cellStyle name="HEADER" xfId="2446" xr:uid="{00000000-0005-0000-0000-00008E090000}"/>
    <cellStyle name="Header1" xfId="2447" xr:uid="{00000000-0005-0000-0000-00008F090000}"/>
    <cellStyle name="Header2" xfId="2448" xr:uid="{00000000-0005-0000-0000-000090090000}"/>
    <cellStyle name="Heading 1" xfId="2449" xr:uid="{00000000-0005-0000-0000-000091090000}"/>
    <cellStyle name="Heading 2" xfId="2450" xr:uid="{00000000-0005-0000-0000-000092090000}"/>
    <cellStyle name="Heading1" xfId="2451" xr:uid="{00000000-0005-0000-0000-000093090000}"/>
    <cellStyle name="Heading2" xfId="2452" xr:uid="{00000000-0005-0000-0000-000094090000}"/>
    <cellStyle name="HEADINGS" xfId="2453" xr:uid="{00000000-0005-0000-0000-000095090000}"/>
    <cellStyle name="HEADINGSTOP" xfId="2454" xr:uid="{00000000-0005-0000-0000-000096090000}"/>
    <cellStyle name="Helv8_PFD4.XLS" xfId="2455" xr:uid="{00000000-0005-0000-0000-000097090000}"/>
    <cellStyle name="Hyperlink" xfId="2456" xr:uid="{00000000-0005-0000-0000-000098090000}"/>
    <cellStyle name="Input [yellow]" xfId="2457" xr:uid="{00000000-0005-0000-0000-000099090000}"/>
    <cellStyle name="L`" xfId="2458" xr:uid="{00000000-0005-0000-0000-00009A090000}"/>
    <cellStyle name="Link Currency (0)" xfId="2459" xr:uid="{00000000-0005-0000-0000-00009B090000}"/>
    <cellStyle name="Link Currency (2)" xfId="2460" xr:uid="{00000000-0005-0000-0000-00009C090000}"/>
    <cellStyle name="Link Units (0)" xfId="2461" xr:uid="{00000000-0005-0000-0000-00009D090000}"/>
    <cellStyle name="Link Units (1)" xfId="2462" xr:uid="{00000000-0005-0000-0000-00009E090000}"/>
    <cellStyle name="Link Units (2)" xfId="2463" xr:uid="{00000000-0005-0000-0000-00009F090000}"/>
    <cellStyle name="Milliers [0]_399GC10" xfId="2464" xr:uid="{00000000-0005-0000-0000-0000A0090000}"/>
    <cellStyle name="Milliers_399GC10" xfId="2465" xr:uid="{00000000-0005-0000-0000-0000A1090000}"/>
    <cellStyle name="mma_CASH &amp; DSO" xfId="2466" xr:uid="{00000000-0005-0000-0000-0000A2090000}"/>
    <cellStyle name="Model" xfId="2467" xr:uid="{00000000-0005-0000-0000-0000A3090000}"/>
    <cellStyle name="Mon?aire [0]_399GC10" xfId="2468" xr:uid="{00000000-0005-0000-0000-0000A4090000}"/>
    <cellStyle name="Mon?aire_399GC10" xfId="2469" xr:uid="{00000000-0005-0000-0000-0000A5090000}"/>
    <cellStyle name="Mon?aire0" xfId="2470" xr:uid="{00000000-0005-0000-0000-0000A6090000}"/>
    <cellStyle name="no dec" xfId="2471" xr:uid="{00000000-0005-0000-0000-0000A7090000}"/>
    <cellStyle name="Normal - Style1" xfId="2472" xr:uid="{00000000-0005-0000-0000-0000A8090000}"/>
    <cellStyle name="Normal - Style2" xfId="2473" xr:uid="{00000000-0005-0000-0000-0000A9090000}"/>
    <cellStyle name="Normal - Style3" xfId="2474" xr:uid="{00000000-0005-0000-0000-0000AA090000}"/>
    <cellStyle name="Normal - Style4" xfId="2475" xr:uid="{00000000-0005-0000-0000-0000AB090000}"/>
    <cellStyle name="Normal - Style5" xfId="2476" xr:uid="{00000000-0005-0000-0000-0000AC090000}"/>
    <cellStyle name="Normal - Style6" xfId="2477" xr:uid="{00000000-0005-0000-0000-0000AD090000}"/>
    <cellStyle name="Normal - Style7" xfId="2478" xr:uid="{00000000-0005-0000-0000-0000AE090000}"/>
    <cellStyle name="Normal - Style8" xfId="2479" xr:uid="{00000000-0005-0000-0000-0000AF090000}"/>
    <cellStyle name="Normal - 유형1" xfId="2480" xr:uid="{00000000-0005-0000-0000-0000B0090000}"/>
    <cellStyle name="Œ…?æ맖?e [0.00]_guyan" xfId="2481" xr:uid="{00000000-0005-0000-0000-0000B1090000}"/>
    <cellStyle name="Œ…?æ맖?e_guyan" xfId="2482" xr:uid="{00000000-0005-0000-0000-0000B2090000}"/>
    <cellStyle name="oh" xfId="2483" xr:uid="{00000000-0005-0000-0000-0000B3090000}"/>
    <cellStyle name="per.style" xfId="2484" xr:uid="{00000000-0005-0000-0000-0000B4090000}"/>
    <cellStyle name="Percent" xfId="2485" xr:uid="{00000000-0005-0000-0000-0000B5090000}"/>
    <cellStyle name="Percent (0)" xfId="2486" xr:uid="{00000000-0005-0000-0000-0000B6090000}"/>
    <cellStyle name="Percent [0]" xfId="2487" xr:uid="{00000000-0005-0000-0000-0000B7090000}"/>
    <cellStyle name="Percent [00]" xfId="2488" xr:uid="{00000000-0005-0000-0000-0000B8090000}"/>
    <cellStyle name="Percent [2]" xfId="2489" xr:uid="{00000000-0005-0000-0000-0000B9090000}"/>
    <cellStyle name="Percent_#6 Temps &amp; Contractors" xfId="2490" xr:uid="{00000000-0005-0000-0000-0000BA090000}"/>
    <cellStyle name="PrePop Currency (0)" xfId="2491" xr:uid="{00000000-0005-0000-0000-0000BB090000}"/>
    <cellStyle name="PrePop Currency (2)" xfId="2492" xr:uid="{00000000-0005-0000-0000-0000BC090000}"/>
    <cellStyle name="PrePop Units (0)" xfId="2493" xr:uid="{00000000-0005-0000-0000-0000BD090000}"/>
    <cellStyle name="PrePop Units (1)" xfId="2494" xr:uid="{00000000-0005-0000-0000-0000BE090000}"/>
    <cellStyle name="PrePop Units (2)" xfId="2495" xr:uid="{00000000-0005-0000-0000-0000BF090000}"/>
    <cellStyle name="regstoresfromspecstores" xfId="2496" xr:uid="{00000000-0005-0000-0000-0000C0090000}"/>
    <cellStyle name="RevList" xfId="2497" xr:uid="{00000000-0005-0000-0000-0000C1090000}"/>
    <cellStyle name="RLTJD(S" xfId="2498" xr:uid="{00000000-0005-0000-0000-0000C2090000}"/>
    <cellStyle name="s]_x000d__x000a_run=c:\Hedgehog\app31.exe_x000d__x000a_spooler=yes_x000d__x000a_load=_x000d__x000a_run=_x000d__x000a_Beep=yes_x000d__x000a_NullPort=None_x000d__x000a_BorderWidth=3_x000d__x000a_CursorBlinkRate=530_x000d__x000a_D" xfId="2499" xr:uid="{00000000-0005-0000-0000-0000C3090000}"/>
    <cellStyle name="SAPBEXaggData" xfId="2500" xr:uid="{00000000-0005-0000-0000-0000C4090000}"/>
    <cellStyle name="SAPBEXstdData" xfId="2501" xr:uid="{00000000-0005-0000-0000-0000C5090000}"/>
    <cellStyle name="sh" xfId="2502" xr:uid="{00000000-0005-0000-0000-0000C6090000}"/>
    <cellStyle name="SHADEDSTORES" xfId="2503" xr:uid="{00000000-0005-0000-0000-0000C7090000}"/>
    <cellStyle name="specstores" xfId="2504" xr:uid="{00000000-0005-0000-0000-0000C8090000}"/>
    <cellStyle name="ssh" xfId="2505" xr:uid="{00000000-0005-0000-0000-0000C9090000}"/>
    <cellStyle name="STANDARD" xfId="2506" xr:uid="{00000000-0005-0000-0000-0000CA090000}"/>
    <cellStyle name="subhead" xfId="2507" xr:uid="{00000000-0005-0000-0000-0000CB090000}"/>
    <cellStyle name="Subtotal" xfId="2508" xr:uid="{00000000-0005-0000-0000-0000CC090000}"/>
    <cellStyle name="Text Indent A" xfId="2509" xr:uid="{00000000-0005-0000-0000-0000CD090000}"/>
    <cellStyle name="Text Indent B" xfId="2510" xr:uid="{00000000-0005-0000-0000-0000CE090000}"/>
    <cellStyle name="Text Indent C" xfId="2511" xr:uid="{00000000-0005-0000-0000-0000CF090000}"/>
    <cellStyle name="Title" xfId="2512" xr:uid="{00000000-0005-0000-0000-0000D0090000}"/>
    <cellStyle name="title [1]" xfId="2513" xr:uid="{00000000-0005-0000-0000-0000D1090000}"/>
    <cellStyle name="title [2]" xfId="2514" xr:uid="{00000000-0005-0000-0000-0000D2090000}"/>
    <cellStyle name="Title_견적양식(가로)" xfId="2515" xr:uid="{00000000-0005-0000-0000-0000D3090000}"/>
    <cellStyle name="Total" xfId="2516" xr:uid="{00000000-0005-0000-0000-0000D4090000}"/>
    <cellStyle name="UM" xfId="2517" xr:uid="{00000000-0005-0000-0000-0000D5090000}"/>
    <cellStyle name="Virgule fixe" xfId="2518" xr:uid="{00000000-0005-0000-0000-0000D6090000}"/>
    <cellStyle name="W?rung [0]_Compiling Utility Macros" xfId="2519" xr:uid="{00000000-0005-0000-0000-0000D7090000}"/>
    <cellStyle name="W?rung_Compiling Utility Macros" xfId="2520" xr:uid="{00000000-0005-0000-0000-0000D8090000}"/>
    <cellStyle name="_x0008_z" xfId="2521" xr:uid="{00000000-0005-0000-0000-0000D9090000}"/>
    <cellStyle name="μU¿¡ ¿A´A CIAIÆU¸μAⓒ" xfId="2522" xr:uid="{00000000-0005-0000-0000-0000DA090000}"/>
    <cellStyle name="|?ドE" xfId="2523" xr:uid="{00000000-0005-0000-0000-0000DB090000}"/>
    <cellStyle name="견적" xfId="2524" xr:uid="{00000000-0005-0000-0000-0000DC090000}"/>
    <cellStyle name="고정소숫점" xfId="2525" xr:uid="{00000000-0005-0000-0000-0000DD090000}"/>
    <cellStyle name="고정출력1" xfId="2526" xr:uid="{00000000-0005-0000-0000-0000DE090000}"/>
    <cellStyle name="고정출력2" xfId="2527" xr:uid="{00000000-0005-0000-0000-0000DF090000}"/>
    <cellStyle name="공사원가계산서(조경)" xfId="2528" xr:uid="{00000000-0005-0000-0000-0000E0090000}"/>
    <cellStyle name="기계" xfId="2529" xr:uid="{00000000-0005-0000-0000-0000E1090000}"/>
    <cellStyle name="기본숫자" xfId="2530" xr:uid="{00000000-0005-0000-0000-0000E2090000}"/>
    <cellStyle name="기성(내용)" xfId="2531" xr:uid="{00000000-0005-0000-0000-0000E3090000}"/>
    <cellStyle name="기성(내용2)" xfId="2532" xr:uid="{00000000-0005-0000-0000-0000E4090000}"/>
    <cellStyle name="끼_x0001_?" xfId="2533" xr:uid="{00000000-0005-0000-0000-0000E5090000}"/>
    <cellStyle name="날짜" xfId="2534" xr:uid="{00000000-0005-0000-0000-0000E6090000}"/>
    <cellStyle name="내역서" xfId="2535" xr:uid="{00000000-0005-0000-0000-0000E7090000}"/>
    <cellStyle name="단가" xfId="2536" xr:uid="{00000000-0005-0000-0000-0000E8090000}"/>
    <cellStyle name="달러" xfId="2537" xr:uid="{00000000-0005-0000-0000-0000E9090000}"/>
    <cellStyle name="돋움채" xfId="2538" xr:uid="{00000000-0005-0000-0000-0000EA090000}"/>
    <cellStyle name="뒤에 오는 하이퍼링크" xfId="2539" xr:uid="{00000000-0005-0000-0000-0000EB090000}"/>
    <cellStyle name="똿떓죶Ø괻 [0.00]_NT Server " xfId="2540" xr:uid="{00000000-0005-0000-0000-0000EC090000}"/>
    <cellStyle name="똿떓죶Ø괻_NT Server " xfId="2541" xr:uid="{00000000-0005-0000-0000-0000ED090000}"/>
    <cellStyle name="똿뗦먛귟 [0.00]_laroux" xfId="2542" xr:uid="{00000000-0005-0000-0000-0000EE090000}"/>
    <cellStyle name="똿뗦먛귟_laroux" xfId="2543" xr:uid="{00000000-0005-0000-0000-0000EF090000}"/>
    <cellStyle name="마이너스키" xfId="2544" xr:uid="{00000000-0005-0000-0000-0000F0090000}"/>
    <cellStyle name="묮뎋 [0.00]_NT Server " xfId="2545" xr:uid="{00000000-0005-0000-0000-0000F1090000}"/>
    <cellStyle name="묮뎋_NT Server " xfId="2546" xr:uid="{00000000-0005-0000-0000-0000F2090000}"/>
    <cellStyle name="물량집계(갑)" xfId="2547" xr:uid="{00000000-0005-0000-0000-0000F3090000}"/>
    <cellStyle name="믅됞 [0.00]_laroux" xfId="2548" xr:uid="{00000000-0005-0000-0000-0000F4090000}"/>
    <cellStyle name="믅됞_laroux" xfId="2549" xr:uid="{00000000-0005-0000-0000-0000F5090000}"/>
    <cellStyle name="배분" xfId="2550" xr:uid="{00000000-0005-0000-0000-0000F6090000}"/>
    <cellStyle name="백" xfId="2551" xr:uid="{00000000-0005-0000-0000-0000F7090000}"/>
    <cellStyle name="백_04028적산수량집계" xfId="2552" xr:uid="{00000000-0005-0000-0000-0000F8090000}"/>
    <cellStyle name="백_BOOKCITY(전기)" xfId="2553" xr:uid="{00000000-0005-0000-0000-0000F9090000}"/>
    <cellStyle name="백_BOOKCITY(전기)_04028적산수량집계" xfId="2554" xr:uid="{00000000-0005-0000-0000-0000FA090000}"/>
    <cellStyle name="백_TRU내역서" xfId="2555" xr:uid="{00000000-0005-0000-0000-0000FB090000}"/>
    <cellStyle name="백_견적양식(가로)" xfId="2556" xr:uid="{00000000-0005-0000-0000-0000FC090000}"/>
    <cellStyle name="백_공설운동진입(가실행)" xfId="2557" xr:uid="{00000000-0005-0000-0000-0000FD090000}"/>
    <cellStyle name="백_공설운동진입(가실행)_04028적산수량집계" xfId="2558" xr:uid="{00000000-0005-0000-0000-0000FE090000}"/>
    <cellStyle name="백_공설운동진입(가실행)_BOOKCITY(전기)" xfId="2559" xr:uid="{00000000-0005-0000-0000-0000FF090000}"/>
    <cellStyle name="백_공설운동진입(가실행)_BOOKCITY(전기)_04028적산수량집계" xfId="2560" xr:uid="{00000000-0005-0000-0000-0000000A0000}"/>
    <cellStyle name="백_공설운동진입(가실행)_사본 - 파주 북시티(이채)" xfId="2561" xr:uid="{00000000-0005-0000-0000-0000010A0000}"/>
    <cellStyle name="백_공설운동진입(가실행)_사본 - 파주 북시티(이채)_04028적산수량집계" xfId="2562" xr:uid="{00000000-0005-0000-0000-0000020A0000}"/>
    <cellStyle name="백_공설운동진입(가실행)_파주 BOOK CITY(통보용)" xfId="2563" xr:uid="{00000000-0005-0000-0000-0000030A0000}"/>
    <cellStyle name="백_공설운동진입(가실행)_파주 BOOK CITY(통보용)_04028적산수량집계" xfId="2564" xr:uid="{00000000-0005-0000-0000-0000040A0000}"/>
    <cellStyle name="백_공설운동진입(가실행)_파주 BOOK CITY가실행내역" xfId="2565" xr:uid="{00000000-0005-0000-0000-0000050A0000}"/>
    <cellStyle name="백_공설운동진입(가실행)_파주 BOOK CITY가실행내역_04028적산수량집계" xfId="2566" xr:uid="{00000000-0005-0000-0000-0000060A0000}"/>
    <cellStyle name="백_공설운동진입(가실행)_파주 북시티(이채)제출" xfId="2567" xr:uid="{00000000-0005-0000-0000-0000070A0000}"/>
    <cellStyle name="백_공설운동진입(가실행)_파주 북시티(이채)제출_04028적산수량집계" xfId="2568" xr:uid="{00000000-0005-0000-0000-0000080A0000}"/>
    <cellStyle name="백_공설운동진입(가실행)_파주 북시티(전체)제출(변경전)" xfId="2569" xr:uid="{00000000-0005-0000-0000-0000090A0000}"/>
    <cellStyle name="백_공설운동진입(가실행)_파주 북시티(전체)제출(변경전)_04028적산수량집계" xfId="2570" xr:uid="{00000000-0005-0000-0000-00000A0A0000}"/>
    <cellStyle name="백_사본 - 파주 북시티(이채)" xfId="2571" xr:uid="{00000000-0005-0000-0000-00000B0A0000}"/>
    <cellStyle name="백_사본 - 파주 북시티(이채)_04028적산수량집계" xfId="2572" xr:uid="{00000000-0005-0000-0000-00000C0A0000}"/>
    <cellStyle name="백_정산내역(0515)-검토" xfId="2573" xr:uid="{00000000-0005-0000-0000-00000D0A0000}"/>
    <cellStyle name="백_토목내역서" xfId="2574" xr:uid="{00000000-0005-0000-0000-00000E0A0000}"/>
    <cellStyle name="백_토목내역서_04028적산수량집계" xfId="2575" xr:uid="{00000000-0005-0000-0000-00000F0A0000}"/>
    <cellStyle name="백_토목내역서_BOOKCITY(전기)" xfId="2576" xr:uid="{00000000-0005-0000-0000-0000100A0000}"/>
    <cellStyle name="백_토목내역서_BOOKCITY(전기)_04028적산수량집계" xfId="2577" xr:uid="{00000000-0005-0000-0000-0000110A0000}"/>
    <cellStyle name="백_토목내역서_공설운동진입(가실행)" xfId="2578" xr:uid="{00000000-0005-0000-0000-0000120A0000}"/>
    <cellStyle name="백_토목내역서_공설운동진입(가실행)_04028적산수량집계" xfId="2579" xr:uid="{00000000-0005-0000-0000-0000130A0000}"/>
    <cellStyle name="백_토목내역서_공설운동진입(가실행)_BOOKCITY(전기)" xfId="2580" xr:uid="{00000000-0005-0000-0000-0000140A0000}"/>
    <cellStyle name="백_토목내역서_공설운동진입(가실행)_BOOKCITY(전기)_04028적산수량집계" xfId="2581" xr:uid="{00000000-0005-0000-0000-0000150A0000}"/>
    <cellStyle name="백_토목내역서_공설운동진입(가실행)_사본 - 파주 북시티(이채)" xfId="2582" xr:uid="{00000000-0005-0000-0000-0000160A0000}"/>
    <cellStyle name="백_토목내역서_공설운동진입(가실행)_사본 - 파주 북시티(이채)_04028적산수량집계" xfId="2583" xr:uid="{00000000-0005-0000-0000-0000170A0000}"/>
    <cellStyle name="백_토목내역서_공설운동진입(가실행)_파주 BOOK CITY(통보용)" xfId="2584" xr:uid="{00000000-0005-0000-0000-0000180A0000}"/>
    <cellStyle name="백_토목내역서_공설운동진입(가실행)_파주 BOOK CITY(통보용)_04028적산수량집계" xfId="2585" xr:uid="{00000000-0005-0000-0000-0000190A0000}"/>
    <cellStyle name="백_토목내역서_공설운동진입(가실행)_파주 BOOK CITY가실행내역" xfId="2586" xr:uid="{00000000-0005-0000-0000-00001A0A0000}"/>
    <cellStyle name="백_토목내역서_공설운동진입(가실행)_파주 BOOK CITY가실행내역_04028적산수량집계" xfId="2587" xr:uid="{00000000-0005-0000-0000-00001B0A0000}"/>
    <cellStyle name="백_토목내역서_공설운동진입(가실행)_파주 북시티(이채)제출" xfId="2588" xr:uid="{00000000-0005-0000-0000-00001C0A0000}"/>
    <cellStyle name="백_토목내역서_공설운동진입(가실행)_파주 북시티(이채)제출_04028적산수량집계" xfId="2589" xr:uid="{00000000-0005-0000-0000-00001D0A0000}"/>
    <cellStyle name="백_토목내역서_공설운동진입(가실행)_파주 북시티(전체)제출(변경전)" xfId="2590" xr:uid="{00000000-0005-0000-0000-00001E0A0000}"/>
    <cellStyle name="백_토목내역서_공설운동진입(가실행)_파주 북시티(전체)제출(변경전)_04028적산수량집계" xfId="2591" xr:uid="{00000000-0005-0000-0000-00001F0A0000}"/>
    <cellStyle name="백_토목내역서_사본 - 파주 북시티(이채)" xfId="2592" xr:uid="{00000000-0005-0000-0000-0000200A0000}"/>
    <cellStyle name="백_토목내역서_사본 - 파주 북시티(이채)_04028적산수량집계" xfId="2593" xr:uid="{00000000-0005-0000-0000-0000210A0000}"/>
    <cellStyle name="백_토목내역서_파주 BOOK CITY(통보용)" xfId="2594" xr:uid="{00000000-0005-0000-0000-0000220A0000}"/>
    <cellStyle name="백_토목내역서_파주 BOOK CITY(통보용)_04028적산수량집계" xfId="2595" xr:uid="{00000000-0005-0000-0000-0000230A0000}"/>
    <cellStyle name="백_토목내역서_파주 BOOK CITY가실행내역" xfId="2596" xr:uid="{00000000-0005-0000-0000-0000240A0000}"/>
    <cellStyle name="백_토목내역서_파주 BOOK CITY가실행내역_04028적산수량집계" xfId="2597" xr:uid="{00000000-0005-0000-0000-0000250A0000}"/>
    <cellStyle name="백_토목내역서_파주 북시티(이채)제출" xfId="2598" xr:uid="{00000000-0005-0000-0000-0000260A0000}"/>
    <cellStyle name="백_토목내역서_파주 북시티(이채)제출_04028적산수량집계" xfId="2599" xr:uid="{00000000-0005-0000-0000-0000270A0000}"/>
    <cellStyle name="백_토목내역서_파주 북시티(전체)제출(변경전)" xfId="2600" xr:uid="{00000000-0005-0000-0000-0000280A0000}"/>
    <cellStyle name="백_토목내역서_파주 북시티(전체)제출(변경전)_04028적산수량집계" xfId="2601" xr:uid="{00000000-0005-0000-0000-0000290A0000}"/>
    <cellStyle name="백_파주 BOOK CITY(통보용)" xfId="2602" xr:uid="{00000000-0005-0000-0000-00002A0A0000}"/>
    <cellStyle name="백_파주 BOOK CITY(통보용)_04028적산수량집계" xfId="2603" xr:uid="{00000000-0005-0000-0000-00002B0A0000}"/>
    <cellStyle name="백_파주 BOOK CITY가실행내역" xfId="2604" xr:uid="{00000000-0005-0000-0000-00002C0A0000}"/>
    <cellStyle name="백_파주 BOOK CITY가실행내역_04028적산수량집계" xfId="2605" xr:uid="{00000000-0005-0000-0000-00002D0A0000}"/>
    <cellStyle name="백_파주 북시티(이채)제출" xfId="2606" xr:uid="{00000000-0005-0000-0000-00002E0A0000}"/>
    <cellStyle name="백_파주 북시티(이채)제출_04028적산수량집계" xfId="2607" xr:uid="{00000000-0005-0000-0000-00002F0A0000}"/>
    <cellStyle name="백_파주 북시티(전체)제출(변경전)" xfId="2608" xr:uid="{00000000-0005-0000-0000-0000300A0000}"/>
    <cellStyle name="백_파주 북시티(전체)제출(변경전)_04028적산수량집계" xfId="2609" xr:uid="{00000000-0005-0000-0000-0000310A0000}"/>
    <cellStyle name="백분율 [△1]" xfId="2610" xr:uid="{00000000-0005-0000-0000-0000320A0000}"/>
    <cellStyle name="백분율 [△2]" xfId="2611" xr:uid="{00000000-0005-0000-0000-0000330A0000}"/>
    <cellStyle name="백분율 [0]" xfId="2612" xr:uid="{00000000-0005-0000-0000-0000340A0000}"/>
    <cellStyle name="백분율 [2]" xfId="2613" xr:uid="{00000000-0005-0000-0000-0000350A0000}"/>
    <cellStyle name="백분율 2" xfId="2614" xr:uid="{00000000-0005-0000-0000-0000360A0000}"/>
    <cellStyle name="백분율［△1］" xfId="2615" xr:uid="{00000000-0005-0000-0000-0000370A0000}"/>
    <cellStyle name="백분율［△2］" xfId="2616" xr:uid="{00000000-0005-0000-0000-0000380A0000}"/>
    <cellStyle name="분수" xfId="2617" xr:uid="{00000000-0005-0000-0000-0000390A0000}"/>
    <cellStyle name="뷭?" xfId="2618" xr:uid="{00000000-0005-0000-0000-00003A0A0000}"/>
    <cellStyle name="빨간색" xfId="2619" xr:uid="{00000000-0005-0000-0000-00003B0A0000}"/>
    <cellStyle name="常规_PhaseⅡ Detail" xfId="2620" xr:uid="{00000000-0005-0000-0000-00003C0A0000}"/>
    <cellStyle name="선택영역의 가운데로" xfId="2621" xr:uid="{00000000-0005-0000-0000-00003D0A0000}"/>
    <cellStyle name="설계서" xfId="2622" xr:uid="{00000000-0005-0000-0000-00003E0A0000}"/>
    <cellStyle name="수량" xfId="2623" xr:uid="{00000000-0005-0000-0000-00003F0A0000}"/>
    <cellStyle name="수량1" xfId="2624" xr:uid="{00000000-0005-0000-0000-0000400A0000}"/>
    <cellStyle name="수목명" xfId="2625" xr:uid="{00000000-0005-0000-0000-0000410A0000}"/>
    <cellStyle name="숫자(R)" xfId="2626" xr:uid="{00000000-0005-0000-0000-0000420A0000}"/>
    <cellStyle name="쉼표 [0]" xfId="2908" builtinId="6"/>
    <cellStyle name="쉼표 [0] 2" xfId="2628" xr:uid="{00000000-0005-0000-0000-0000440A0000}"/>
    <cellStyle name="쉼표 [0] 2 2" xfId="2629" xr:uid="{00000000-0005-0000-0000-0000450A0000}"/>
    <cellStyle name="쉼표 [0] 2 2 2" xfId="2903" xr:uid="{00000000-0005-0000-0000-0000460A0000}"/>
    <cellStyle name="쉼표 [0] 2 2 2 2" xfId="2904" xr:uid="{00000000-0005-0000-0000-0000470A0000}"/>
    <cellStyle name="쉼표 [0] 3" xfId="2630" xr:uid="{00000000-0005-0000-0000-0000480A0000}"/>
    <cellStyle name="쉼표 [0] 3 2" xfId="2906" xr:uid="{00000000-0005-0000-0000-0000490A0000}"/>
    <cellStyle name="쉼표 [0] 4" xfId="2631" xr:uid="{00000000-0005-0000-0000-00004A0A0000}"/>
    <cellStyle name="쉼표 [0] 5" xfId="2910" xr:uid="{00000000-0005-0000-0000-00004B0A0000}"/>
    <cellStyle name="스타일 1" xfId="2632" xr:uid="{00000000-0005-0000-0000-00004C0A0000}"/>
    <cellStyle name="스타일 10" xfId="2633" xr:uid="{00000000-0005-0000-0000-00004D0A0000}"/>
    <cellStyle name="스타일 11" xfId="2634" xr:uid="{00000000-0005-0000-0000-00004E0A0000}"/>
    <cellStyle name="스타일 12" xfId="2635" xr:uid="{00000000-0005-0000-0000-00004F0A0000}"/>
    <cellStyle name="스타일 13" xfId="2636" xr:uid="{00000000-0005-0000-0000-0000500A0000}"/>
    <cellStyle name="스타일 14" xfId="2637" xr:uid="{00000000-0005-0000-0000-0000510A0000}"/>
    <cellStyle name="스타일 15" xfId="2638" xr:uid="{00000000-0005-0000-0000-0000520A0000}"/>
    <cellStyle name="스타일 16" xfId="2639" xr:uid="{00000000-0005-0000-0000-0000530A0000}"/>
    <cellStyle name="스타일 17" xfId="2640" xr:uid="{00000000-0005-0000-0000-0000540A0000}"/>
    <cellStyle name="스타일 18" xfId="2641" xr:uid="{00000000-0005-0000-0000-0000550A0000}"/>
    <cellStyle name="스타일 19" xfId="2642" xr:uid="{00000000-0005-0000-0000-0000560A0000}"/>
    <cellStyle name="스타일 2" xfId="2643" xr:uid="{00000000-0005-0000-0000-0000570A0000}"/>
    <cellStyle name="스타일 20" xfId="2644" xr:uid="{00000000-0005-0000-0000-0000580A0000}"/>
    <cellStyle name="스타일 21" xfId="2645" xr:uid="{00000000-0005-0000-0000-0000590A0000}"/>
    <cellStyle name="스타일 22" xfId="2646" xr:uid="{00000000-0005-0000-0000-00005A0A0000}"/>
    <cellStyle name="스타일 23" xfId="2647" xr:uid="{00000000-0005-0000-0000-00005B0A0000}"/>
    <cellStyle name="스타일 24" xfId="2648" xr:uid="{00000000-0005-0000-0000-00005C0A0000}"/>
    <cellStyle name="스타일 25" xfId="2649" xr:uid="{00000000-0005-0000-0000-00005D0A0000}"/>
    <cellStyle name="스타일 26" xfId="2650" xr:uid="{00000000-0005-0000-0000-00005E0A0000}"/>
    <cellStyle name="스타일 27" xfId="2651" xr:uid="{00000000-0005-0000-0000-00005F0A0000}"/>
    <cellStyle name="스타일 28" xfId="2652" xr:uid="{00000000-0005-0000-0000-0000600A0000}"/>
    <cellStyle name="스타일 29" xfId="2653" xr:uid="{00000000-0005-0000-0000-0000610A0000}"/>
    <cellStyle name="스타일 3" xfId="2654" xr:uid="{00000000-0005-0000-0000-0000620A0000}"/>
    <cellStyle name="스타일 30" xfId="2655" xr:uid="{00000000-0005-0000-0000-0000630A0000}"/>
    <cellStyle name="스타일 31" xfId="2656" xr:uid="{00000000-0005-0000-0000-0000640A0000}"/>
    <cellStyle name="스타일 32" xfId="2657" xr:uid="{00000000-0005-0000-0000-0000650A0000}"/>
    <cellStyle name="스타일 33" xfId="2658" xr:uid="{00000000-0005-0000-0000-0000660A0000}"/>
    <cellStyle name="스타일 34" xfId="2659" xr:uid="{00000000-0005-0000-0000-0000670A0000}"/>
    <cellStyle name="스타일 35" xfId="2660" xr:uid="{00000000-0005-0000-0000-0000680A0000}"/>
    <cellStyle name="스타일 36" xfId="2661" xr:uid="{00000000-0005-0000-0000-0000690A0000}"/>
    <cellStyle name="스타일 37" xfId="2662" xr:uid="{00000000-0005-0000-0000-00006A0A0000}"/>
    <cellStyle name="스타일 38" xfId="2663" xr:uid="{00000000-0005-0000-0000-00006B0A0000}"/>
    <cellStyle name="스타일 39" xfId="2664" xr:uid="{00000000-0005-0000-0000-00006C0A0000}"/>
    <cellStyle name="스타일 4" xfId="2665" xr:uid="{00000000-0005-0000-0000-00006D0A0000}"/>
    <cellStyle name="스타일 40" xfId="2666" xr:uid="{00000000-0005-0000-0000-00006E0A0000}"/>
    <cellStyle name="스타일 41" xfId="2667" xr:uid="{00000000-0005-0000-0000-00006F0A0000}"/>
    <cellStyle name="스타일 42" xfId="2668" xr:uid="{00000000-0005-0000-0000-0000700A0000}"/>
    <cellStyle name="스타일 43" xfId="2669" xr:uid="{00000000-0005-0000-0000-0000710A0000}"/>
    <cellStyle name="스타일 44" xfId="2670" xr:uid="{00000000-0005-0000-0000-0000720A0000}"/>
    <cellStyle name="스타일 45" xfId="2671" xr:uid="{00000000-0005-0000-0000-0000730A0000}"/>
    <cellStyle name="스타일 5" xfId="2672" xr:uid="{00000000-0005-0000-0000-0000740A0000}"/>
    <cellStyle name="스타일 6" xfId="2673" xr:uid="{00000000-0005-0000-0000-0000750A0000}"/>
    <cellStyle name="스타일 7" xfId="2674" xr:uid="{00000000-0005-0000-0000-0000760A0000}"/>
    <cellStyle name="스타일 8" xfId="2675" xr:uid="{00000000-0005-0000-0000-0000770A0000}"/>
    <cellStyle name="스타일 9" xfId="2676" xr:uid="{00000000-0005-0000-0000-0000780A0000}"/>
    <cellStyle name="안건회계법인" xfId="2677" xr:uid="{00000000-0005-0000-0000-0000790A0000}"/>
    <cellStyle name="열어본 하이퍼링크" xfId="2678" xr:uid="{00000000-0005-0000-0000-00007A0A0000}"/>
    <cellStyle name="옛체" xfId="2679" xr:uid="{00000000-0005-0000-0000-00007B0A0000}"/>
    <cellStyle name="왼쪽2" xfId="2680" xr:uid="{00000000-0005-0000-0000-00007C0A0000}"/>
    <cellStyle name="원" xfId="2681" xr:uid="{00000000-0005-0000-0000-00007D0A0000}"/>
    <cellStyle name="원_02대여금" xfId="2682" xr:uid="{00000000-0005-0000-0000-00007E0A0000}"/>
    <cellStyle name="원_02투자" xfId="2683" xr:uid="{00000000-0005-0000-0000-00007F0A0000}"/>
    <cellStyle name="원_02투자및대여금종합" xfId="2684" xr:uid="{00000000-0005-0000-0000-0000800A0000}"/>
    <cellStyle name="원_NCF6BB2F" xfId="2685" xr:uid="{00000000-0005-0000-0000-0000810A0000}"/>
    <cellStyle name="원_남양주무궁화공정표(03.08.22)" xfId="2686" xr:uid="{00000000-0005-0000-0000-0000820A0000}"/>
    <cellStyle name="원_환경1팀수주최종본" xfId="2687" xr:uid="{00000000-0005-0000-0000-0000830A0000}"/>
    <cellStyle name="일위대가" xfId="2688" xr:uid="{00000000-0005-0000-0000-0000840A0000}"/>
    <cellStyle name="자리수" xfId="2689" xr:uid="{00000000-0005-0000-0000-0000850A0000}"/>
    <cellStyle name="자리수 - 유형1" xfId="2690" xr:uid="{00000000-0005-0000-0000-0000860A0000}"/>
    <cellStyle name="자리수_견적양식(가로)" xfId="2691" xr:uid="{00000000-0005-0000-0000-0000870A0000}"/>
    <cellStyle name="자리수0" xfId="2692" xr:uid="{00000000-0005-0000-0000-0000880A0000}"/>
    <cellStyle name="제목 1(左)" xfId="2693" xr:uid="{00000000-0005-0000-0000-0000890A0000}"/>
    <cellStyle name="제목 1(中)" xfId="2694" xr:uid="{00000000-0005-0000-0000-00008A0A0000}"/>
    <cellStyle name="제목[1 줄]" xfId="2695" xr:uid="{00000000-0005-0000-0000-00008B0A0000}"/>
    <cellStyle name="제목[2줄 아래]" xfId="2696" xr:uid="{00000000-0005-0000-0000-00008C0A0000}"/>
    <cellStyle name="제목[2줄 위]" xfId="2697" xr:uid="{00000000-0005-0000-0000-00008D0A0000}"/>
    <cellStyle name="제목1" xfId="2698" xr:uid="{00000000-0005-0000-0000-00008E0A0000}"/>
    <cellStyle name="지정되지 않음" xfId="2699" xr:uid="{00000000-0005-0000-0000-00008F0A0000}"/>
    <cellStyle name="콤" xfId="2700" xr:uid="{00000000-0005-0000-0000-0000900A0000}"/>
    <cellStyle name="콤_04028적산수량집계" xfId="2701" xr:uid="{00000000-0005-0000-0000-0000910A0000}"/>
    <cellStyle name="콤_BOOKCITY(전기)" xfId="2702" xr:uid="{00000000-0005-0000-0000-0000920A0000}"/>
    <cellStyle name="콤_BOOKCITY(전기)_04028적산수량집계" xfId="2703" xr:uid="{00000000-0005-0000-0000-0000930A0000}"/>
    <cellStyle name="콤_공설운동진입(가실행)" xfId="2704" xr:uid="{00000000-0005-0000-0000-0000940A0000}"/>
    <cellStyle name="콤_공설운동진입(가실행)_04028적산수량집계" xfId="2705" xr:uid="{00000000-0005-0000-0000-0000950A0000}"/>
    <cellStyle name="콤_공설운동진입(가실행)_BOOKCITY(전기)" xfId="2706" xr:uid="{00000000-0005-0000-0000-0000960A0000}"/>
    <cellStyle name="콤_공설운동진입(가실행)_BOOKCITY(전기)_04028적산수량집계" xfId="2707" xr:uid="{00000000-0005-0000-0000-0000970A0000}"/>
    <cellStyle name="콤_공설운동진입(가실행)_사본 - 파주 북시티(이채)" xfId="2708" xr:uid="{00000000-0005-0000-0000-0000980A0000}"/>
    <cellStyle name="콤_공설운동진입(가실행)_사본 - 파주 북시티(이채)_04028적산수량집계" xfId="2709" xr:uid="{00000000-0005-0000-0000-0000990A0000}"/>
    <cellStyle name="콤_공설운동진입(가실행)_파주 BOOK CITY(통보용)" xfId="2710" xr:uid="{00000000-0005-0000-0000-00009A0A0000}"/>
    <cellStyle name="콤_공설운동진입(가실행)_파주 BOOK CITY(통보용)_04028적산수량집계" xfId="2711" xr:uid="{00000000-0005-0000-0000-00009B0A0000}"/>
    <cellStyle name="콤_공설운동진입(가실행)_파주 BOOK CITY가실행내역" xfId="2712" xr:uid="{00000000-0005-0000-0000-00009C0A0000}"/>
    <cellStyle name="콤_공설운동진입(가실행)_파주 BOOK CITY가실행내역_04028적산수량집계" xfId="2713" xr:uid="{00000000-0005-0000-0000-00009D0A0000}"/>
    <cellStyle name="콤_공설운동진입(가실행)_파주 북시티(이채)제출" xfId="2714" xr:uid="{00000000-0005-0000-0000-00009E0A0000}"/>
    <cellStyle name="콤_공설운동진입(가실행)_파주 북시티(이채)제출_04028적산수량집계" xfId="2715" xr:uid="{00000000-0005-0000-0000-00009F0A0000}"/>
    <cellStyle name="콤_공설운동진입(가실행)_파주 북시티(전체)제출(변경전)" xfId="2716" xr:uid="{00000000-0005-0000-0000-0000A00A0000}"/>
    <cellStyle name="콤_공설운동진입(가실행)_파주 북시티(전체)제출(변경전)_04028적산수량집계" xfId="2717" xr:uid="{00000000-0005-0000-0000-0000A10A0000}"/>
    <cellStyle name="콤_사본 - 파주 북시티(이채)" xfId="2718" xr:uid="{00000000-0005-0000-0000-0000A20A0000}"/>
    <cellStyle name="콤_사본 - 파주 북시티(이채)_04028적산수량집계" xfId="2719" xr:uid="{00000000-0005-0000-0000-0000A30A0000}"/>
    <cellStyle name="콤_토목내역서" xfId="2720" xr:uid="{00000000-0005-0000-0000-0000A40A0000}"/>
    <cellStyle name="콤_토목내역서_04028적산수량집계" xfId="2721" xr:uid="{00000000-0005-0000-0000-0000A50A0000}"/>
    <cellStyle name="콤_토목내역서_BOOKCITY(전기)" xfId="2722" xr:uid="{00000000-0005-0000-0000-0000A60A0000}"/>
    <cellStyle name="콤_토목내역서_BOOKCITY(전기)_04028적산수량집계" xfId="2723" xr:uid="{00000000-0005-0000-0000-0000A70A0000}"/>
    <cellStyle name="콤_토목내역서_공설운동진입(가실행)" xfId="2724" xr:uid="{00000000-0005-0000-0000-0000A80A0000}"/>
    <cellStyle name="콤_토목내역서_공설운동진입(가실행)_04028적산수량집계" xfId="2725" xr:uid="{00000000-0005-0000-0000-0000A90A0000}"/>
    <cellStyle name="콤_토목내역서_공설운동진입(가실행)_BOOKCITY(전기)" xfId="2726" xr:uid="{00000000-0005-0000-0000-0000AA0A0000}"/>
    <cellStyle name="콤_토목내역서_공설운동진입(가실행)_BOOKCITY(전기)_04028적산수량집계" xfId="2727" xr:uid="{00000000-0005-0000-0000-0000AB0A0000}"/>
    <cellStyle name="콤_토목내역서_공설운동진입(가실행)_사본 - 파주 북시티(이채)" xfId="2728" xr:uid="{00000000-0005-0000-0000-0000AC0A0000}"/>
    <cellStyle name="콤_토목내역서_공설운동진입(가실행)_사본 - 파주 북시티(이채)_04028적산수량집계" xfId="2729" xr:uid="{00000000-0005-0000-0000-0000AD0A0000}"/>
    <cellStyle name="콤_토목내역서_공설운동진입(가실행)_파주 BOOK CITY(통보용)" xfId="2730" xr:uid="{00000000-0005-0000-0000-0000AE0A0000}"/>
    <cellStyle name="콤_토목내역서_공설운동진입(가실행)_파주 BOOK CITY(통보용)_04028적산수량집계" xfId="2731" xr:uid="{00000000-0005-0000-0000-0000AF0A0000}"/>
    <cellStyle name="콤_토목내역서_공설운동진입(가실행)_파주 BOOK CITY가실행내역" xfId="2732" xr:uid="{00000000-0005-0000-0000-0000B00A0000}"/>
    <cellStyle name="콤_토목내역서_공설운동진입(가실행)_파주 BOOK CITY가실행내역_04028적산수량집계" xfId="2733" xr:uid="{00000000-0005-0000-0000-0000B10A0000}"/>
    <cellStyle name="콤_토목내역서_공설운동진입(가실행)_파주 북시티(이채)제출" xfId="2734" xr:uid="{00000000-0005-0000-0000-0000B20A0000}"/>
    <cellStyle name="콤_토목내역서_공설운동진입(가실행)_파주 북시티(이채)제출_04028적산수량집계" xfId="2735" xr:uid="{00000000-0005-0000-0000-0000B30A0000}"/>
    <cellStyle name="콤_토목내역서_공설운동진입(가실행)_파주 북시티(전체)제출(변경전)" xfId="2736" xr:uid="{00000000-0005-0000-0000-0000B40A0000}"/>
    <cellStyle name="콤_토목내역서_공설운동진입(가실행)_파주 북시티(전체)제출(변경전)_04028적산수량집계" xfId="2737" xr:uid="{00000000-0005-0000-0000-0000B50A0000}"/>
    <cellStyle name="콤_토목내역서_사본 - 파주 북시티(이채)" xfId="2738" xr:uid="{00000000-0005-0000-0000-0000B60A0000}"/>
    <cellStyle name="콤_토목내역서_사본 - 파주 북시티(이채)_04028적산수량집계" xfId="2739" xr:uid="{00000000-0005-0000-0000-0000B70A0000}"/>
    <cellStyle name="콤_토목내역서_파주 BOOK CITY(통보용)" xfId="2740" xr:uid="{00000000-0005-0000-0000-0000B80A0000}"/>
    <cellStyle name="콤_토목내역서_파주 BOOK CITY(통보용)_04028적산수량집계" xfId="2741" xr:uid="{00000000-0005-0000-0000-0000B90A0000}"/>
    <cellStyle name="콤_토목내역서_파주 BOOK CITY가실행내역" xfId="2742" xr:uid="{00000000-0005-0000-0000-0000BA0A0000}"/>
    <cellStyle name="콤_토목내역서_파주 BOOK CITY가실행내역_04028적산수량집계" xfId="2743" xr:uid="{00000000-0005-0000-0000-0000BB0A0000}"/>
    <cellStyle name="콤_토목내역서_파주 북시티(이채)제출" xfId="2744" xr:uid="{00000000-0005-0000-0000-0000BC0A0000}"/>
    <cellStyle name="콤_토목내역서_파주 북시티(이채)제출_04028적산수량집계" xfId="2745" xr:uid="{00000000-0005-0000-0000-0000BD0A0000}"/>
    <cellStyle name="콤_토목내역서_파주 북시티(전체)제출(변경전)" xfId="2746" xr:uid="{00000000-0005-0000-0000-0000BE0A0000}"/>
    <cellStyle name="콤_토목내역서_파주 북시티(전체)제출(변경전)_04028적산수량집계" xfId="2747" xr:uid="{00000000-0005-0000-0000-0000BF0A0000}"/>
    <cellStyle name="콤_파주 BOOK CITY(통보용)" xfId="2748" xr:uid="{00000000-0005-0000-0000-0000C00A0000}"/>
    <cellStyle name="콤_파주 BOOK CITY(통보용)_04028적산수량집계" xfId="2749" xr:uid="{00000000-0005-0000-0000-0000C10A0000}"/>
    <cellStyle name="콤_파주 BOOK CITY가실행내역" xfId="2750" xr:uid="{00000000-0005-0000-0000-0000C20A0000}"/>
    <cellStyle name="콤_파주 BOOK CITY가실행내역_04028적산수량집계" xfId="2751" xr:uid="{00000000-0005-0000-0000-0000C30A0000}"/>
    <cellStyle name="콤_파주 북시티(이채)제출" xfId="2752" xr:uid="{00000000-0005-0000-0000-0000C40A0000}"/>
    <cellStyle name="콤_파주 북시티(이채)제출_04028적산수량집계" xfId="2753" xr:uid="{00000000-0005-0000-0000-0000C50A0000}"/>
    <cellStyle name="콤_파주 북시티(전체)제출(변경전)" xfId="2754" xr:uid="{00000000-0005-0000-0000-0000C60A0000}"/>
    <cellStyle name="콤_파주 북시티(전체)제출(변경전)_04028적산수량집계" xfId="2755" xr:uid="{00000000-0005-0000-0000-0000C70A0000}"/>
    <cellStyle name="콤냡?&lt;_x000f_$??: `1_1 " xfId="2756" xr:uid="{00000000-0005-0000-0000-0000C80A0000}"/>
    <cellStyle name="콤마" xfId="2757" xr:uid="{00000000-0005-0000-0000-0000C90A0000}"/>
    <cellStyle name="콤마 [" xfId="2758" xr:uid="{00000000-0005-0000-0000-0000CA0A0000}"/>
    <cellStyle name="콤마 [#]" xfId="2759" xr:uid="{00000000-0005-0000-0000-0000CB0A0000}"/>
    <cellStyle name="콤마 []" xfId="2760" xr:uid="{00000000-0005-0000-0000-0000CC0A0000}"/>
    <cellStyle name="콤마 [0]" xfId="2761" xr:uid="{00000000-0005-0000-0000-0000CD0A0000}"/>
    <cellStyle name="콤마 [2]" xfId="2762" xr:uid="{00000000-0005-0000-0000-0000CE0A0000}"/>
    <cellStyle name="콤마 [금액]" xfId="2763" xr:uid="{00000000-0005-0000-0000-0000CF0A0000}"/>
    <cellStyle name="콤마 [소수]" xfId="2764" xr:uid="{00000000-0005-0000-0000-0000D00A0000}"/>
    <cellStyle name="콤마 [수량]" xfId="2765" xr:uid="{00000000-0005-0000-0000-0000D10A0000}"/>
    <cellStyle name="콤마 1" xfId="2766" xr:uid="{00000000-0005-0000-0000-0000D20A0000}"/>
    <cellStyle name="콤마[ ]" xfId="2767" xr:uid="{00000000-0005-0000-0000-0000D30A0000}"/>
    <cellStyle name="콤마[*]" xfId="2768" xr:uid="{00000000-0005-0000-0000-0000D40A0000}"/>
    <cellStyle name="콤마[,]" xfId="2769" xr:uid="{00000000-0005-0000-0000-0000D50A0000}"/>
    <cellStyle name="콤마[.]" xfId="2770" xr:uid="{00000000-0005-0000-0000-0000D60A0000}"/>
    <cellStyle name="콤마[0]" xfId="2771" xr:uid="{00000000-0005-0000-0000-0000D70A0000}"/>
    <cellStyle name="콤마_  종  합  " xfId="2772" xr:uid="{00000000-0005-0000-0000-0000D80A0000}"/>
    <cellStyle name="통" xfId="2773" xr:uid="{00000000-0005-0000-0000-0000D90A0000}"/>
    <cellStyle name="통_04028적산수량집계" xfId="2774" xr:uid="{00000000-0005-0000-0000-0000DA0A0000}"/>
    <cellStyle name="통_BOOKCITY(전기)" xfId="2775" xr:uid="{00000000-0005-0000-0000-0000DB0A0000}"/>
    <cellStyle name="통_BOOKCITY(전기)_04028적산수량집계" xfId="2776" xr:uid="{00000000-0005-0000-0000-0000DC0A0000}"/>
    <cellStyle name="통_공설운동진입(가실행)" xfId="2777" xr:uid="{00000000-0005-0000-0000-0000DD0A0000}"/>
    <cellStyle name="통_공설운동진입(가실행)_04028적산수량집계" xfId="2778" xr:uid="{00000000-0005-0000-0000-0000DE0A0000}"/>
    <cellStyle name="통_공설운동진입(가실행)_BOOKCITY(전기)" xfId="2779" xr:uid="{00000000-0005-0000-0000-0000DF0A0000}"/>
    <cellStyle name="통_공설운동진입(가실행)_BOOKCITY(전기)_04028적산수량집계" xfId="2780" xr:uid="{00000000-0005-0000-0000-0000E00A0000}"/>
    <cellStyle name="통_공설운동진입(가실행)_사본 - 파주 북시티(이채)" xfId="2781" xr:uid="{00000000-0005-0000-0000-0000E10A0000}"/>
    <cellStyle name="통_공설운동진입(가실행)_사본 - 파주 북시티(이채)_04028적산수량집계" xfId="2782" xr:uid="{00000000-0005-0000-0000-0000E20A0000}"/>
    <cellStyle name="통_공설운동진입(가실행)_파주 BOOK CITY(통보용)" xfId="2783" xr:uid="{00000000-0005-0000-0000-0000E30A0000}"/>
    <cellStyle name="통_공설운동진입(가실행)_파주 BOOK CITY(통보용)_04028적산수량집계" xfId="2784" xr:uid="{00000000-0005-0000-0000-0000E40A0000}"/>
    <cellStyle name="통_공설운동진입(가실행)_파주 BOOK CITY가실행내역" xfId="2785" xr:uid="{00000000-0005-0000-0000-0000E50A0000}"/>
    <cellStyle name="통_공설운동진입(가실행)_파주 BOOK CITY가실행내역_04028적산수량집계" xfId="2786" xr:uid="{00000000-0005-0000-0000-0000E60A0000}"/>
    <cellStyle name="통_공설운동진입(가실행)_파주 북시티(이채)제출" xfId="2787" xr:uid="{00000000-0005-0000-0000-0000E70A0000}"/>
    <cellStyle name="통_공설운동진입(가실행)_파주 북시티(이채)제출_04028적산수량집계" xfId="2788" xr:uid="{00000000-0005-0000-0000-0000E80A0000}"/>
    <cellStyle name="통_공설운동진입(가실행)_파주 북시티(전체)제출(변경전)" xfId="2789" xr:uid="{00000000-0005-0000-0000-0000E90A0000}"/>
    <cellStyle name="통_공설운동진입(가실행)_파주 북시티(전체)제출(변경전)_04028적산수량집계" xfId="2790" xr:uid="{00000000-0005-0000-0000-0000EA0A0000}"/>
    <cellStyle name="통_사본 - 파주 북시티(이채)" xfId="2791" xr:uid="{00000000-0005-0000-0000-0000EB0A0000}"/>
    <cellStyle name="통_사본 - 파주 북시티(이채)_04028적산수량집계" xfId="2792" xr:uid="{00000000-0005-0000-0000-0000EC0A0000}"/>
    <cellStyle name="통_토목내역서" xfId="2793" xr:uid="{00000000-0005-0000-0000-0000ED0A0000}"/>
    <cellStyle name="통_토목내역서_04028적산수량집계" xfId="2794" xr:uid="{00000000-0005-0000-0000-0000EE0A0000}"/>
    <cellStyle name="통_토목내역서_BOOKCITY(전기)" xfId="2795" xr:uid="{00000000-0005-0000-0000-0000EF0A0000}"/>
    <cellStyle name="통_토목내역서_BOOKCITY(전기)_04028적산수량집계" xfId="2796" xr:uid="{00000000-0005-0000-0000-0000F00A0000}"/>
    <cellStyle name="통_토목내역서_공설운동진입(가실행)" xfId="2797" xr:uid="{00000000-0005-0000-0000-0000F10A0000}"/>
    <cellStyle name="통_토목내역서_공설운동진입(가실행)_04028적산수량집계" xfId="2798" xr:uid="{00000000-0005-0000-0000-0000F20A0000}"/>
    <cellStyle name="통_토목내역서_공설운동진입(가실행)_BOOKCITY(전기)" xfId="2799" xr:uid="{00000000-0005-0000-0000-0000F30A0000}"/>
    <cellStyle name="통_토목내역서_공설운동진입(가실행)_BOOKCITY(전기)_04028적산수량집계" xfId="2800" xr:uid="{00000000-0005-0000-0000-0000F40A0000}"/>
    <cellStyle name="통_토목내역서_공설운동진입(가실행)_사본 - 파주 북시티(이채)" xfId="2801" xr:uid="{00000000-0005-0000-0000-0000F50A0000}"/>
    <cellStyle name="통_토목내역서_공설운동진입(가실행)_사본 - 파주 북시티(이채)_04028적산수량집계" xfId="2802" xr:uid="{00000000-0005-0000-0000-0000F60A0000}"/>
    <cellStyle name="통_토목내역서_공설운동진입(가실행)_파주 BOOK CITY(통보용)" xfId="2803" xr:uid="{00000000-0005-0000-0000-0000F70A0000}"/>
    <cellStyle name="통_토목내역서_공설운동진입(가실행)_파주 BOOK CITY(통보용)_04028적산수량집계" xfId="2804" xr:uid="{00000000-0005-0000-0000-0000F80A0000}"/>
    <cellStyle name="통_토목내역서_공설운동진입(가실행)_파주 BOOK CITY가실행내역" xfId="2805" xr:uid="{00000000-0005-0000-0000-0000F90A0000}"/>
    <cellStyle name="통_토목내역서_공설운동진입(가실행)_파주 BOOK CITY가실행내역_04028적산수량집계" xfId="2806" xr:uid="{00000000-0005-0000-0000-0000FA0A0000}"/>
    <cellStyle name="통_토목내역서_공설운동진입(가실행)_파주 북시티(이채)제출" xfId="2807" xr:uid="{00000000-0005-0000-0000-0000FB0A0000}"/>
    <cellStyle name="통_토목내역서_공설운동진입(가실행)_파주 북시티(이채)제출_04028적산수량집계" xfId="2808" xr:uid="{00000000-0005-0000-0000-0000FC0A0000}"/>
    <cellStyle name="통_토목내역서_공설운동진입(가실행)_파주 북시티(전체)제출(변경전)" xfId="2809" xr:uid="{00000000-0005-0000-0000-0000FD0A0000}"/>
    <cellStyle name="통_토목내역서_공설운동진입(가실행)_파주 북시티(전체)제출(변경전)_04028적산수량집계" xfId="2810" xr:uid="{00000000-0005-0000-0000-0000FE0A0000}"/>
    <cellStyle name="통_토목내역서_사본 - 파주 북시티(이채)" xfId="2811" xr:uid="{00000000-0005-0000-0000-0000FF0A0000}"/>
    <cellStyle name="통_토목내역서_사본 - 파주 북시티(이채)_04028적산수량집계" xfId="2812" xr:uid="{00000000-0005-0000-0000-0000000B0000}"/>
    <cellStyle name="통_토목내역서_파주 BOOK CITY(통보용)" xfId="2813" xr:uid="{00000000-0005-0000-0000-0000010B0000}"/>
    <cellStyle name="통_토목내역서_파주 BOOK CITY(통보용)_04028적산수량집계" xfId="2814" xr:uid="{00000000-0005-0000-0000-0000020B0000}"/>
    <cellStyle name="통_토목내역서_파주 BOOK CITY가실행내역" xfId="2815" xr:uid="{00000000-0005-0000-0000-0000030B0000}"/>
    <cellStyle name="통_토목내역서_파주 BOOK CITY가실행내역_04028적산수량집계" xfId="2816" xr:uid="{00000000-0005-0000-0000-0000040B0000}"/>
    <cellStyle name="통_토목내역서_파주 북시티(이채)제출" xfId="2817" xr:uid="{00000000-0005-0000-0000-0000050B0000}"/>
    <cellStyle name="통_토목내역서_파주 북시티(이채)제출_04028적산수량집계" xfId="2818" xr:uid="{00000000-0005-0000-0000-0000060B0000}"/>
    <cellStyle name="통_토목내역서_파주 북시티(전체)제출(변경전)" xfId="2819" xr:uid="{00000000-0005-0000-0000-0000070B0000}"/>
    <cellStyle name="통_토목내역서_파주 북시티(전체)제출(변경전)_04028적산수량집계" xfId="2820" xr:uid="{00000000-0005-0000-0000-0000080B0000}"/>
    <cellStyle name="통_파주 BOOK CITY(통보용)" xfId="2821" xr:uid="{00000000-0005-0000-0000-0000090B0000}"/>
    <cellStyle name="통_파주 BOOK CITY(통보용)_04028적산수량집계" xfId="2822" xr:uid="{00000000-0005-0000-0000-00000A0B0000}"/>
    <cellStyle name="통_파주 BOOK CITY가실행내역" xfId="2823" xr:uid="{00000000-0005-0000-0000-00000B0B0000}"/>
    <cellStyle name="통_파주 BOOK CITY가실행내역_04028적산수량집계" xfId="2824" xr:uid="{00000000-0005-0000-0000-00000C0B0000}"/>
    <cellStyle name="통_파주 북시티(이채)제출" xfId="2825" xr:uid="{00000000-0005-0000-0000-00000D0B0000}"/>
    <cellStyle name="통_파주 북시티(이채)제출_04028적산수량집계" xfId="2826" xr:uid="{00000000-0005-0000-0000-00000E0B0000}"/>
    <cellStyle name="통_파주 북시티(전체)제출(변경전)" xfId="2827" xr:uid="{00000000-0005-0000-0000-00000F0B0000}"/>
    <cellStyle name="통_파주 북시티(전체)제출(변경전)_04028적산수량집계" xfId="2828" xr:uid="{00000000-0005-0000-0000-0000100B0000}"/>
    <cellStyle name="통화 [" xfId="2829" xr:uid="{00000000-0005-0000-0000-0000110B0000}"/>
    <cellStyle name="퍼센트" xfId="2830" xr:uid="{00000000-0005-0000-0000-0000120B0000}"/>
    <cellStyle name="표" xfId="2831" xr:uid="{00000000-0005-0000-0000-0000130B0000}"/>
    <cellStyle name="표_04028적산수량집계" xfId="2832" xr:uid="{00000000-0005-0000-0000-0000140B0000}"/>
    <cellStyle name="표_BOOKCITY(전기)" xfId="2833" xr:uid="{00000000-0005-0000-0000-0000150B0000}"/>
    <cellStyle name="표_BOOKCITY(전기)_04028적산수량집계" xfId="2834" xr:uid="{00000000-0005-0000-0000-0000160B0000}"/>
    <cellStyle name="표_공설운동진입(가실행)" xfId="2835" xr:uid="{00000000-0005-0000-0000-0000170B0000}"/>
    <cellStyle name="표_공설운동진입(가실행)_04028적산수량집계" xfId="2836" xr:uid="{00000000-0005-0000-0000-0000180B0000}"/>
    <cellStyle name="표_공설운동진입(가실행)_BOOKCITY(전기)" xfId="2837" xr:uid="{00000000-0005-0000-0000-0000190B0000}"/>
    <cellStyle name="표_공설운동진입(가실행)_BOOKCITY(전기)_04028적산수량집계" xfId="2838" xr:uid="{00000000-0005-0000-0000-00001A0B0000}"/>
    <cellStyle name="표_공설운동진입(가실행)_사본 - 파주 북시티(이채)" xfId="2839" xr:uid="{00000000-0005-0000-0000-00001B0B0000}"/>
    <cellStyle name="표_공설운동진입(가실행)_사본 - 파주 북시티(이채)_04028적산수량집계" xfId="2840" xr:uid="{00000000-0005-0000-0000-00001C0B0000}"/>
    <cellStyle name="표_공설운동진입(가실행)_파주 BOOK CITY(통보용)" xfId="2841" xr:uid="{00000000-0005-0000-0000-00001D0B0000}"/>
    <cellStyle name="표_공설운동진입(가실행)_파주 BOOK CITY(통보용)_04028적산수량집계" xfId="2842" xr:uid="{00000000-0005-0000-0000-00001E0B0000}"/>
    <cellStyle name="표_공설운동진입(가실행)_파주 BOOK CITY가실행내역" xfId="2843" xr:uid="{00000000-0005-0000-0000-00001F0B0000}"/>
    <cellStyle name="표_공설운동진입(가실행)_파주 BOOK CITY가실행내역_04028적산수량집계" xfId="2844" xr:uid="{00000000-0005-0000-0000-0000200B0000}"/>
    <cellStyle name="표_공설운동진입(가실행)_파주 북시티(이채)제출" xfId="2845" xr:uid="{00000000-0005-0000-0000-0000210B0000}"/>
    <cellStyle name="표_공설운동진입(가실행)_파주 북시티(이채)제출_04028적산수량집계" xfId="2846" xr:uid="{00000000-0005-0000-0000-0000220B0000}"/>
    <cellStyle name="표_공설운동진입(가실행)_파주 북시티(전체)제출(변경전)" xfId="2847" xr:uid="{00000000-0005-0000-0000-0000230B0000}"/>
    <cellStyle name="표_공설운동진입(가실행)_파주 북시티(전체)제출(변경전)_04028적산수량집계" xfId="2848" xr:uid="{00000000-0005-0000-0000-0000240B0000}"/>
    <cellStyle name="표_사본 - 파주 북시티(이채)" xfId="2849" xr:uid="{00000000-0005-0000-0000-0000250B0000}"/>
    <cellStyle name="표_사본 - 파주 북시티(이채)_04028적산수량집계" xfId="2850" xr:uid="{00000000-0005-0000-0000-0000260B0000}"/>
    <cellStyle name="표_토목내역서" xfId="2851" xr:uid="{00000000-0005-0000-0000-0000270B0000}"/>
    <cellStyle name="표_토목내역서_04028적산수량집계" xfId="2852" xr:uid="{00000000-0005-0000-0000-0000280B0000}"/>
    <cellStyle name="표_토목내역서_BOOKCITY(전기)" xfId="2853" xr:uid="{00000000-0005-0000-0000-0000290B0000}"/>
    <cellStyle name="표_토목내역서_BOOKCITY(전기)_04028적산수량집계" xfId="2854" xr:uid="{00000000-0005-0000-0000-00002A0B0000}"/>
    <cellStyle name="표_토목내역서_공설운동진입(가실행)" xfId="2855" xr:uid="{00000000-0005-0000-0000-00002B0B0000}"/>
    <cellStyle name="표_토목내역서_공설운동진입(가실행)_04028적산수량집계" xfId="2856" xr:uid="{00000000-0005-0000-0000-00002C0B0000}"/>
    <cellStyle name="표_토목내역서_공설운동진입(가실행)_BOOKCITY(전기)" xfId="2857" xr:uid="{00000000-0005-0000-0000-00002D0B0000}"/>
    <cellStyle name="표_토목내역서_공설운동진입(가실행)_BOOKCITY(전기)_04028적산수량집계" xfId="2858" xr:uid="{00000000-0005-0000-0000-00002E0B0000}"/>
    <cellStyle name="표_토목내역서_공설운동진입(가실행)_사본 - 파주 북시티(이채)" xfId="2859" xr:uid="{00000000-0005-0000-0000-00002F0B0000}"/>
    <cellStyle name="표_토목내역서_공설운동진입(가실행)_사본 - 파주 북시티(이채)_04028적산수량집계" xfId="2860" xr:uid="{00000000-0005-0000-0000-0000300B0000}"/>
    <cellStyle name="표_토목내역서_공설운동진입(가실행)_파주 BOOK CITY(통보용)" xfId="2861" xr:uid="{00000000-0005-0000-0000-0000310B0000}"/>
    <cellStyle name="표_토목내역서_공설운동진입(가실행)_파주 BOOK CITY(통보용)_04028적산수량집계" xfId="2862" xr:uid="{00000000-0005-0000-0000-0000320B0000}"/>
    <cellStyle name="표_토목내역서_공설운동진입(가실행)_파주 BOOK CITY가실행내역" xfId="2863" xr:uid="{00000000-0005-0000-0000-0000330B0000}"/>
    <cellStyle name="표_토목내역서_공설운동진입(가실행)_파주 BOOK CITY가실행내역_04028적산수량집계" xfId="2864" xr:uid="{00000000-0005-0000-0000-0000340B0000}"/>
    <cellStyle name="표_토목내역서_공설운동진입(가실행)_파주 북시티(이채)제출" xfId="2865" xr:uid="{00000000-0005-0000-0000-0000350B0000}"/>
    <cellStyle name="표_토목내역서_공설운동진입(가실행)_파주 북시티(이채)제출_04028적산수량집계" xfId="2866" xr:uid="{00000000-0005-0000-0000-0000360B0000}"/>
    <cellStyle name="표_토목내역서_공설운동진입(가실행)_파주 북시티(전체)제출(변경전)" xfId="2867" xr:uid="{00000000-0005-0000-0000-0000370B0000}"/>
    <cellStyle name="표_토목내역서_공설운동진입(가실행)_파주 북시티(전체)제출(변경전)_04028적산수량집계" xfId="2868" xr:uid="{00000000-0005-0000-0000-0000380B0000}"/>
    <cellStyle name="표_토목내역서_사본 - 파주 북시티(이채)" xfId="2869" xr:uid="{00000000-0005-0000-0000-0000390B0000}"/>
    <cellStyle name="표_토목내역서_사본 - 파주 북시티(이채)_04028적산수량집계" xfId="2870" xr:uid="{00000000-0005-0000-0000-00003A0B0000}"/>
    <cellStyle name="표_토목내역서_파주 BOOK CITY(통보용)" xfId="2871" xr:uid="{00000000-0005-0000-0000-00003B0B0000}"/>
    <cellStyle name="표_토목내역서_파주 BOOK CITY(통보용)_04028적산수량집계" xfId="2872" xr:uid="{00000000-0005-0000-0000-00003C0B0000}"/>
    <cellStyle name="표_토목내역서_파주 BOOK CITY가실행내역" xfId="2873" xr:uid="{00000000-0005-0000-0000-00003D0B0000}"/>
    <cellStyle name="표_토목내역서_파주 BOOK CITY가실행내역_04028적산수량집계" xfId="2874" xr:uid="{00000000-0005-0000-0000-00003E0B0000}"/>
    <cellStyle name="표_토목내역서_파주 북시티(이채)제출" xfId="2875" xr:uid="{00000000-0005-0000-0000-00003F0B0000}"/>
    <cellStyle name="표_토목내역서_파주 북시티(이채)제출_04028적산수량집계" xfId="2876" xr:uid="{00000000-0005-0000-0000-0000400B0000}"/>
    <cellStyle name="표_토목내역서_파주 북시티(전체)제출(변경전)" xfId="2877" xr:uid="{00000000-0005-0000-0000-0000410B0000}"/>
    <cellStyle name="표_토목내역서_파주 북시티(전체)제출(변경전)_04028적산수량집계" xfId="2878" xr:uid="{00000000-0005-0000-0000-0000420B0000}"/>
    <cellStyle name="표_파주 BOOK CITY(통보용)" xfId="2879" xr:uid="{00000000-0005-0000-0000-0000430B0000}"/>
    <cellStyle name="표_파주 BOOK CITY(통보용)_04028적산수량집계" xfId="2880" xr:uid="{00000000-0005-0000-0000-0000440B0000}"/>
    <cellStyle name="표_파주 BOOK CITY가실행내역" xfId="2881" xr:uid="{00000000-0005-0000-0000-0000450B0000}"/>
    <cellStyle name="표_파주 BOOK CITY가실행내역_04028적산수량집계" xfId="2882" xr:uid="{00000000-0005-0000-0000-0000460B0000}"/>
    <cellStyle name="표_파주 북시티(이채)제출" xfId="2883" xr:uid="{00000000-0005-0000-0000-0000470B0000}"/>
    <cellStyle name="표_파주 북시티(이채)제출_04028적산수량집계" xfId="2884" xr:uid="{00000000-0005-0000-0000-0000480B0000}"/>
    <cellStyle name="표_파주 북시티(전체)제출(변경전)" xfId="2885" xr:uid="{00000000-0005-0000-0000-0000490B0000}"/>
    <cellStyle name="표_파주 북시티(전체)제출(변경전)_04028적산수량집계" xfId="2886" xr:uid="{00000000-0005-0000-0000-00004A0B0000}"/>
    <cellStyle name="표머릿글(上)" xfId="2887" xr:uid="{00000000-0005-0000-0000-00004B0B0000}"/>
    <cellStyle name="표머릿글(中)" xfId="2888" xr:uid="{00000000-0005-0000-0000-00004C0B0000}"/>
    <cellStyle name="표머릿글(下)" xfId="2889" xr:uid="{00000000-0005-0000-0000-00004D0B0000}"/>
    <cellStyle name="표준" xfId="0" builtinId="0"/>
    <cellStyle name="표준 2" xfId="2890" xr:uid="{00000000-0005-0000-0000-00004F0B0000}"/>
    <cellStyle name="표준 2 2" xfId="2907" xr:uid="{00000000-0005-0000-0000-0000500B0000}"/>
    <cellStyle name="표준 2 32" xfId="2900" xr:uid="{00000000-0005-0000-0000-0000510B0000}"/>
    <cellStyle name="표준 28" xfId="2905" xr:uid="{00000000-0005-0000-0000-0000520B0000}"/>
    <cellStyle name="표준 3" xfId="2891" xr:uid="{00000000-0005-0000-0000-0000530B0000}"/>
    <cellStyle name="표준 3 2" xfId="2902" xr:uid="{00000000-0005-0000-0000-0000540B0000}"/>
    <cellStyle name="표준 3 2 2" xfId="2901" xr:uid="{00000000-0005-0000-0000-0000550B0000}"/>
    <cellStyle name="표준 4" xfId="2892" xr:uid="{00000000-0005-0000-0000-0000560B0000}"/>
    <cellStyle name="표준 5" xfId="2893" xr:uid="{00000000-0005-0000-0000-0000570B0000}"/>
    <cellStyle name="標準_Akia(F）-8" xfId="2894" xr:uid="{00000000-0005-0000-0000-0000580B0000}"/>
    <cellStyle name="표준_NY-FORM 2 2" xfId="2909" xr:uid="{00000000-0005-0000-0000-0000590B0000}"/>
    <cellStyle name="표준1" xfId="2895" xr:uid="{00000000-0005-0000-0000-00005A0B0000}"/>
    <cellStyle name="표쥰" xfId="2896" xr:uid="{00000000-0005-0000-0000-00005B0B0000}"/>
    <cellStyle name="합산" xfId="2897" xr:uid="{00000000-0005-0000-0000-00005C0B0000}"/>
    <cellStyle name="화폐기호" xfId="2898" xr:uid="{00000000-0005-0000-0000-00005D0B0000}"/>
    <cellStyle name="화폐기호0" xfId="2899" xr:uid="{00000000-0005-0000-0000-00005E0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1000125</xdr:colOff>
      <xdr:row>208</xdr:row>
      <xdr:rowOff>161925</xdr:rowOff>
    </xdr:from>
    <xdr:to>
      <xdr:col>2</xdr:col>
      <xdr:colOff>566531</xdr:colOff>
      <xdr:row>213</xdr:row>
      <xdr:rowOff>120512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ADA886-3032-4354-ACA5-1C7A44CAC676}"/>
            </a:ext>
          </a:extLst>
        </xdr:cNvPr>
        <xdr:cNvSpPr txBox="1"/>
      </xdr:nvSpPr>
      <xdr:spPr>
        <a:xfrm>
          <a:off x="1590675" y="31232475"/>
          <a:ext cx="1747631" cy="110158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50" b="1">
              <a:solidFill>
                <a:srgbClr val="FF0000"/>
              </a:solidFill>
            </a:rPr>
            <a:t>(</a:t>
          </a:r>
          <a:r>
            <a:rPr lang="ko-KR" altLang="en-US" sz="1050" b="1">
              <a:solidFill>
                <a:srgbClr val="FF0000"/>
              </a:solidFill>
            </a:rPr>
            <a:t>추가필요</a:t>
          </a:r>
          <a:r>
            <a:rPr lang="en-US" altLang="ko-KR" sz="1050" b="1">
              <a:solidFill>
                <a:srgbClr val="FF0000"/>
              </a:solidFill>
            </a:rPr>
            <a:t>) </a:t>
          </a:r>
          <a:r>
            <a:rPr lang="ko-KR" altLang="en-US" sz="1050" b="1">
              <a:solidFill>
                <a:srgbClr val="FF0000"/>
              </a:solidFill>
            </a:rPr>
            <a:t>거실화장실 </a:t>
          </a:r>
          <a:endParaRPr lang="en-US" altLang="ko-KR" sz="1050" b="1">
            <a:solidFill>
              <a:srgbClr val="FF0000"/>
            </a:solidFill>
          </a:endParaRPr>
        </a:p>
        <a:p>
          <a:r>
            <a:rPr lang="en-US" altLang="ko-KR" sz="1050" b="1">
              <a:solidFill>
                <a:srgbClr val="FF0000"/>
              </a:solidFill>
            </a:rPr>
            <a:t>- BAMO</a:t>
          </a:r>
          <a:r>
            <a:rPr lang="en-US" altLang="ko-KR" sz="1050" b="1" baseline="0">
              <a:solidFill>
                <a:srgbClr val="FF0000"/>
              </a:solidFill>
            </a:rPr>
            <a:t> </a:t>
          </a:r>
          <a:r>
            <a:rPr lang="ko-KR" altLang="en-US" sz="1050" b="1">
              <a:solidFill>
                <a:srgbClr val="FF0000"/>
              </a:solidFill>
            </a:rPr>
            <a:t>스프레이건 </a:t>
          </a:r>
          <a:r>
            <a:rPr lang="en-US" altLang="ko-KR" sz="1050" b="1">
              <a:solidFill>
                <a:srgbClr val="FF0000"/>
              </a:solidFill>
            </a:rPr>
            <a:t>1EA</a:t>
          </a:r>
        </a:p>
        <a:p>
          <a:r>
            <a:rPr lang="en-US" altLang="ko-KR" sz="1050" b="1">
              <a:solidFill>
                <a:srgbClr val="FF0000"/>
              </a:solidFill>
            </a:rPr>
            <a:t>- </a:t>
          </a:r>
          <a:r>
            <a:rPr lang="ko-KR" altLang="en-US" sz="1050" b="1">
              <a:solidFill>
                <a:srgbClr val="FF0000"/>
              </a:solidFill>
            </a:rPr>
            <a:t>샤워볼걸이 </a:t>
          </a:r>
          <a:r>
            <a:rPr lang="en-US" altLang="ko-KR" sz="1050" b="1">
              <a:solidFill>
                <a:srgbClr val="FF0000"/>
              </a:solidFill>
            </a:rPr>
            <a:t>1EA</a:t>
          </a:r>
        </a:p>
        <a:p>
          <a:r>
            <a:rPr lang="en-US" altLang="ko-KR" sz="1050" b="1">
              <a:solidFill>
                <a:srgbClr val="FF0000"/>
              </a:solidFill>
            </a:rPr>
            <a:t>- BAMO</a:t>
          </a:r>
          <a:r>
            <a:rPr lang="en-US" altLang="ko-KR" sz="1050" b="1" baseline="0">
              <a:solidFill>
                <a:srgbClr val="FF0000"/>
              </a:solidFill>
            </a:rPr>
            <a:t> </a:t>
          </a:r>
          <a:r>
            <a:rPr lang="ko-KR" altLang="en-US" sz="1050" b="1" baseline="0">
              <a:solidFill>
                <a:srgbClr val="FF0000"/>
              </a:solidFill>
            </a:rPr>
            <a:t>아크릴 욕조 </a:t>
          </a:r>
          <a:endParaRPr lang="en-US" altLang="ko-KR" sz="1050" b="1">
            <a:solidFill>
              <a:srgbClr val="FF0000"/>
            </a:solidFill>
          </a:endParaRPr>
        </a:p>
        <a:p>
          <a:endParaRPr lang="ko-KR" altLang="en-US" sz="105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1047750</xdr:colOff>
      <xdr:row>220</xdr:row>
      <xdr:rowOff>19050</xdr:rowOff>
    </xdr:from>
    <xdr:to>
      <xdr:col>2</xdr:col>
      <xdr:colOff>614156</xdr:colOff>
      <xdr:row>223</xdr:row>
      <xdr:rowOff>149916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E2DBEC-9852-48CA-A6D4-BBF64D6E4D24}"/>
            </a:ext>
          </a:extLst>
        </xdr:cNvPr>
        <xdr:cNvSpPr txBox="1"/>
      </xdr:nvSpPr>
      <xdr:spPr>
        <a:xfrm>
          <a:off x="1638300" y="33832800"/>
          <a:ext cx="1747631" cy="81666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50" b="1">
              <a:solidFill>
                <a:srgbClr val="FF0000"/>
              </a:solidFill>
            </a:rPr>
            <a:t>(</a:t>
          </a:r>
          <a:r>
            <a:rPr lang="ko-KR" altLang="en-US" sz="1050" b="1">
              <a:solidFill>
                <a:srgbClr val="FF0000"/>
              </a:solidFill>
            </a:rPr>
            <a:t>추가필요</a:t>
          </a:r>
          <a:r>
            <a:rPr lang="en-US" altLang="ko-KR" sz="1050" b="1">
              <a:solidFill>
                <a:srgbClr val="FF0000"/>
              </a:solidFill>
            </a:rPr>
            <a:t>) </a:t>
          </a:r>
          <a:r>
            <a:rPr lang="ko-KR" altLang="en-US" sz="1050" b="1">
              <a:solidFill>
                <a:srgbClr val="FF0000"/>
              </a:solidFill>
            </a:rPr>
            <a:t>안방화장실</a:t>
          </a:r>
          <a:endParaRPr lang="en-US" altLang="ko-KR" sz="1050" b="1">
            <a:solidFill>
              <a:srgbClr val="FF0000"/>
            </a:solidFill>
          </a:endParaRPr>
        </a:p>
        <a:p>
          <a:r>
            <a:rPr lang="en-US" altLang="ko-KR" sz="1050" b="1">
              <a:solidFill>
                <a:srgbClr val="FF0000"/>
              </a:solidFill>
            </a:rPr>
            <a:t>- BAMO</a:t>
          </a:r>
          <a:r>
            <a:rPr lang="en-US" altLang="ko-KR" sz="1050" b="1" baseline="0">
              <a:solidFill>
                <a:srgbClr val="FF0000"/>
              </a:solidFill>
            </a:rPr>
            <a:t> </a:t>
          </a:r>
          <a:r>
            <a:rPr lang="ko-KR" altLang="en-US" sz="1050" b="1">
              <a:solidFill>
                <a:srgbClr val="FF0000"/>
              </a:solidFill>
            </a:rPr>
            <a:t>스프레이건 </a:t>
          </a:r>
          <a:r>
            <a:rPr lang="en-US" altLang="ko-KR" sz="1050" b="1">
              <a:solidFill>
                <a:srgbClr val="FF0000"/>
              </a:solidFill>
            </a:rPr>
            <a:t>1EA</a:t>
          </a:r>
        </a:p>
        <a:p>
          <a:r>
            <a:rPr lang="en-US" altLang="ko-KR" sz="1050" b="1">
              <a:solidFill>
                <a:srgbClr val="FF0000"/>
              </a:solidFill>
            </a:rPr>
            <a:t>- </a:t>
          </a:r>
          <a:r>
            <a:rPr lang="ko-KR" altLang="en-US" sz="1050" b="1">
              <a:solidFill>
                <a:srgbClr val="FF0000"/>
              </a:solidFill>
            </a:rPr>
            <a:t>샤워볼걸이 </a:t>
          </a:r>
          <a:r>
            <a:rPr lang="en-US" altLang="ko-KR" sz="1050" b="1">
              <a:solidFill>
                <a:srgbClr val="FF0000"/>
              </a:solidFill>
            </a:rPr>
            <a:t>1EA</a:t>
          </a:r>
        </a:p>
        <a:p>
          <a:endParaRPr lang="ko-KR" altLang="en-US" sz="105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1133475</xdr:colOff>
      <xdr:row>182</xdr:row>
      <xdr:rowOff>28575</xdr:rowOff>
    </xdr:from>
    <xdr:to>
      <xdr:col>2</xdr:col>
      <xdr:colOff>699881</xdr:colOff>
      <xdr:row>186</xdr:row>
      <xdr:rowOff>9524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C3AEC8-D4D2-4742-991C-0C94E30D90EE}"/>
            </a:ext>
          </a:extLst>
        </xdr:cNvPr>
        <xdr:cNvSpPr txBox="1"/>
      </xdr:nvSpPr>
      <xdr:spPr>
        <a:xfrm>
          <a:off x="1724025" y="26298525"/>
          <a:ext cx="1747631" cy="89534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50" b="1">
              <a:solidFill>
                <a:srgbClr val="FF0000"/>
              </a:solidFill>
            </a:rPr>
            <a:t>(</a:t>
          </a:r>
          <a:r>
            <a:rPr lang="ko-KR" altLang="en-US" sz="1050" b="1">
              <a:solidFill>
                <a:srgbClr val="FF0000"/>
              </a:solidFill>
            </a:rPr>
            <a:t>추가필요</a:t>
          </a:r>
          <a:r>
            <a:rPr lang="en-US" altLang="ko-KR" sz="1050" b="1">
              <a:solidFill>
                <a:srgbClr val="FF0000"/>
              </a:solidFill>
            </a:rPr>
            <a:t>) </a:t>
          </a:r>
        </a:p>
        <a:p>
          <a:r>
            <a:rPr lang="en-US" altLang="ko-KR" sz="1050" b="1">
              <a:solidFill>
                <a:srgbClr val="FF0000"/>
              </a:solidFill>
            </a:rPr>
            <a:t>-</a:t>
          </a:r>
          <a:r>
            <a:rPr lang="en-US" altLang="ko-KR" sz="1050" b="1" baseline="0">
              <a:solidFill>
                <a:srgbClr val="FF0000"/>
              </a:solidFill>
            </a:rPr>
            <a:t> </a:t>
          </a:r>
          <a:r>
            <a:rPr lang="ko-KR" altLang="en-US" sz="1050" b="1" baseline="0">
              <a:solidFill>
                <a:srgbClr val="FF0000"/>
              </a:solidFill>
            </a:rPr>
            <a:t>융콘센트 홈바장에만</a:t>
          </a:r>
          <a:endParaRPr lang="en-US" altLang="ko-KR" sz="1050" b="1" baseline="0">
            <a:solidFill>
              <a:srgbClr val="FF0000"/>
            </a:solidFill>
          </a:endParaRPr>
        </a:p>
        <a:p>
          <a:r>
            <a:rPr lang="en-US" altLang="ko-KR" sz="1050" b="1" baseline="0">
              <a:solidFill>
                <a:srgbClr val="FF0000"/>
              </a:solidFill>
            </a:rPr>
            <a:t>- </a:t>
          </a:r>
          <a:r>
            <a:rPr lang="ko-KR" altLang="en-US" sz="1050" b="1" baseline="0">
              <a:solidFill>
                <a:srgbClr val="FF0000"/>
              </a:solidFill>
            </a:rPr>
            <a:t>실린더 두개 식탁 위</a:t>
          </a:r>
          <a:endParaRPr lang="en-US" altLang="ko-KR" sz="105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SOFFICE/EXCEL/YOON/&#51473;&#51216;&#49324;&#50629;/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73;&#50669;&#54924;&#51032;/96&#45380;10&#50900;/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1077;&#52272;/&#48264;&#50689;&#47196;/&#47924;&#50504;&#54616;&#49688;/&#49892;&#54665;(1)/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  <sheetName val="단가표 (건축)"/>
      <sheetName val="2공구산출내역"/>
      <sheetName val="수입"/>
      <sheetName val="현금흐름"/>
      <sheetName val="B"/>
      <sheetName val="70%"/>
      <sheetName val="대림경상68억"/>
      <sheetName val="Total"/>
      <sheetName val="도급원가"/>
      <sheetName val="직재"/>
      <sheetName val="설비내역"/>
      <sheetName val="입찰내역 발주처 양식"/>
      <sheetName val="금융"/>
      <sheetName val="자재일람"/>
      <sheetName val="D-3109"/>
      <sheetName val="설계명세서(선로)"/>
      <sheetName val="내역서을지"/>
      <sheetName val="EHP설치"/>
      <sheetName val="약품공급2"/>
      <sheetName val="SCHE"/>
      <sheetName val="UPRI"/>
      <sheetName val="12호기내역서(건축분)"/>
      <sheetName val="경율산정"/>
      <sheetName val="신우"/>
      <sheetName val="실행예산"/>
      <sheetName val="VXXXXXX"/>
      <sheetName val="인사자료총집계"/>
      <sheetName val="Hoja1"/>
      <sheetName val="BQMPALOC"/>
      <sheetName val="영업2"/>
      <sheetName val="영업3"/>
      <sheetName val="J直材4"/>
      <sheetName val="이토변실(A3-LINE)"/>
      <sheetName val="Sheet4"/>
      <sheetName val="매립"/>
      <sheetName val="Sheet3"/>
      <sheetName val="4차원가계산서"/>
      <sheetName val="분전함신설"/>
      <sheetName val="접지1종"/>
      <sheetName val="코드"/>
      <sheetName val="인원계획-미화"/>
      <sheetName val="시화점실행"/>
      <sheetName val="토목주소"/>
      <sheetName val="집계표(OPTION)"/>
      <sheetName val="공통부대비"/>
      <sheetName val="돈암사업"/>
      <sheetName val="타일산근"/>
      <sheetName val="1TL종점(1)"/>
      <sheetName val="EQUIP"/>
      <sheetName val="대치판정"/>
      <sheetName val="È£Ç¥"/>
      <sheetName val="건축공사실행"/>
      <sheetName val="직노"/>
      <sheetName val="집계표(육상)"/>
      <sheetName val="30신설일위대가"/>
      <sheetName val="NYS"/>
      <sheetName val="1-11조직표"/>
      <sheetName val="APT"/>
      <sheetName val="첨부#2.Cash Flow(현장작성)"/>
      <sheetName val="설비2차"/>
      <sheetName val="패널"/>
      <sheetName val="파이프류"/>
      <sheetName val="프랜트면허"/>
      <sheetName val="입상내역"/>
      <sheetName val="40총괄"/>
      <sheetName val="40집계"/>
      <sheetName val="가격조사서"/>
      <sheetName val="환경기계공정표 (3)"/>
      <sheetName val="982월원안"/>
      <sheetName val="하부철근수량"/>
      <sheetName val="설계내역2"/>
      <sheetName val="부표총괄"/>
      <sheetName val="요율"/>
      <sheetName val="세부내역서"/>
      <sheetName val="b_balju_cho"/>
      <sheetName val="3.공통공사대비"/>
      <sheetName val="연습"/>
      <sheetName val="동원인원"/>
      <sheetName val="401"/>
      <sheetName val="동해묵호1내역"/>
      <sheetName val="수량산출내역1115"/>
      <sheetName val="전계가"/>
      <sheetName val="산출내역서"/>
      <sheetName val="설비"/>
      <sheetName val="노임"/>
      <sheetName val="단위수량"/>
      <sheetName val="맨홀수량산출"/>
      <sheetName val="수정시산표"/>
      <sheetName val="산출내역서집계표"/>
      <sheetName val="수리결과"/>
      <sheetName val="마산월령동골조물량변경"/>
      <sheetName val="설계명세"/>
      <sheetName val="Category"/>
      <sheetName val="익산"/>
      <sheetName val="I一般比"/>
      <sheetName val="CABLE SIZE-3"/>
      <sheetName val="ENE-CAL 1"/>
      <sheetName val="제-노임"/>
      <sheetName val="N賃率-職"/>
      <sheetName val="PIPE"/>
      <sheetName val="일위대가(목록)"/>
      <sheetName val="재료비"/>
      <sheetName val="1.설계조건"/>
      <sheetName val="FORM-0"/>
      <sheetName val="조명시설"/>
      <sheetName val="판가반영"/>
      <sheetName val="경제성분석"/>
      <sheetName val="95월별매출"/>
      <sheetName val="유화"/>
      <sheetName val="HISTORICAL"/>
      <sheetName val="FORECASTING"/>
      <sheetName val="hGH정제"/>
      <sheetName val="하도금액분계"/>
      <sheetName val="본선 토공 분배표"/>
      <sheetName val="기계"/>
      <sheetName val="정화조"/>
      <sheetName val="조경"/>
      <sheetName val="토목"/>
      <sheetName val="Ⅴ-2.공종별내역"/>
      <sheetName val="설산1_나"/>
      <sheetName val="Shape_code"/>
      <sheetName val="조도계산서_(도서)"/>
      <sheetName val="TOWER_12TON"/>
      <sheetName val="TOWER_10TON"/>
      <sheetName val="분류코드_이름관리"/>
      <sheetName val="6PILE__(돌출)"/>
      <sheetName val="TRE_TABLE"/>
      <sheetName val="P_M_별"/>
      <sheetName val="기계_도급내역서"/>
      <sheetName val="방배동내역(리라)"/>
      <sheetName val="예상"/>
      <sheetName val="전기일위대가"/>
      <sheetName val="FAB별"/>
      <sheetName val="할증 "/>
      <sheetName val="예총"/>
      <sheetName val="설계조건"/>
      <sheetName val="공사비집계"/>
      <sheetName val="공예을"/>
      <sheetName val="공사내역"/>
      <sheetName val="변수 정의"/>
      <sheetName val="기초1"/>
      <sheetName val="기초"/>
      <sheetName val="입출재고현황 (2)"/>
      <sheetName val="한강운반비"/>
      <sheetName val="129"/>
      <sheetName val="질문"/>
      <sheetName val="예제"/>
      <sheetName val="공통비(전체)"/>
      <sheetName val="총괄"/>
      <sheetName val="피벗테이블데이터분석"/>
      <sheetName val="평균높이산출근거"/>
      <sheetName val="횡배수관위치조서"/>
      <sheetName val="토목공사"/>
      <sheetName val="횡배수관토공수량"/>
      <sheetName val="항목(1)"/>
      <sheetName val="동축분 종합설계서"/>
      <sheetName val="가설공사내역"/>
      <sheetName val="PAD TR보호대기초"/>
      <sheetName val="가로등기초"/>
      <sheetName val="HANDHOLE(2)"/>
      <sheetName val="000000"/>
      <sheetName val="1ST"/>
      <sheetName val="00노임기준"/>
      <sheetName val="BID"/>
      <sheetName val="106동"/>
      <sheetName val="설변내역서"/>
      <sheetName val="EP0618"/>
      <sheetName val="연동금액산출근거"/>
      <sheetName val="물가연동제총괄표"/>
      <sheetName val="Risk Catefory"/>
      <sheetName val="SPEC LIST(EQUP, SYS)"/>
      <sheetName val="SPEC LIST(COMM)"/>
      <sheetName val="CABLE &amp; WIRE"/>
      <sheetName val="CONDUIT &amp; FITTING"/>
      <sheetName val="BOXES &amp; ENCLOSURES"/>
      <sheetName val="SWITCH"/>
      <sheetName val="LIGHTING FIXTURES"/>
      <sheetName val="RECEPTACLE"/>
      <sheetName val="CABLING ACC'S &amp; MISC MAT'S"/>
      <sheetName val="SPEC LIST(BULK)"/>
      <sheetName val="01. 자재단가비교표"/>
      <sheetName val="노임단가표"/>
      <sheetName val="Cashflow Analysis"/>
      <sheetName val="예산실적전체당월"/>
      <sheetName val="CON'C"/>
      <sheetName val="단가비교표"/>
      <sheetName val="투찰"/>
      <sheetName val="인구"/>
      <sheetName val="환경평가"/>
      <sheetName val="wall"/>
      <sheetName val="archi(본사)"/>
      <sheetName val="식재수량표"/>
      <sheetName val="일위목록"/>
      <sheetName val="자재단가"/>
      <sheetName val="마감사양"/>
      <sheetName val="자재표"/>
      <sheetName val="단위중량"/>
      <sheetName val="공제량"/>
      <sheetName val="1-4-2.관(약)"/>
      <sheetName val="평가&amp;선급.미지급"/>
      <sheetName val="수량산출"/>
      <sheetName val="배관"/>
      <sheetName val="Proposal"/>
      <sheetName val="손익분석"/>
      <sheetName val="중기조종사 단위단가"/>
      <sheetName val="일위대가표"/>
      <sheetName val="기준"/>
      <sheetName val="갑지(인테리어수량산출서)"/>
      <sheetName val="직발주계획안(전기최종)"/>
      <sheetName val="단가산출"/>
      <sheetName val="미드수량"/>
      <sheetName val="교각계산"/>
      <sheetName val="PAD_TR보호대기초"/>
      <sheetName val="4_공사별1"/>
      <sheetName val="전선_및_전선관1"/>
      <sheetName val="7_(2)1"/>
      <sheetName val="시설물_1"/>
      <sheetName val="단가표_(건축)"/>
      <sheetName val="단면_(2)"/>
      <sheetName val="입찰내역_발주처_양식"/>
      <sheetName val="관기성공_내"/>
      <sheetName val="첨부#2_Cash_Flow(현장작성)"/>
      <sheetName val="1_토공사_수량산출_및_집계"/>
      <sheetName val="책임감리공제요율"/>
      <sheetName val="등급별 배치기준"/>
      <sheetName val="수우미양가(Vlookup)"/>
      <sheetName val="2000전체분"/>
      <sheetName val="2000년1차"/>
      <sheetName val="집계"/>
      <sheetName val="덤프"/>
      <sheetName val="부속동"/>
      <sheetName val="제출내역 (2)"/>
      <sheetName val="成本7.11"/>
      <sheetName val="ELECTRICAL"/>
      <sheetName val="HVAC"/>
      <sheetName val="PLUMBING&amp;FF"/>
      <sheetName val="Bldg Wise Summaries 20-10-09"/>
      <sheetName val="ValueList_Helper"/>
      <sheetName val="단가조사"/>
      <sheetName val="건설업종"/>
      <sheetName val="사통"/>
      <sheetName val="INPUT"/>
      <sheetName val="간접비"/>
      <sheetName val="목창호"/>
      <sheetName val="2.대외공문"/>
      <sheetName val="수량산출서 갑지"/>
      <sheetName val="유리단가"/>
      <sheetName val="공종별내역서"/>
      <sheetName val="기성내역"/>
      <sheetName val="CAL1"/>
      <sheetName val="설산1_나1"/>
      <sheetName val="TOWER_12TON1"/>
      <sheetName val="TOWER_10TON1"/>
      <sheetName val="Shape_code1"/>
      <sheetName val="분류코드_이름관리1"/>
      <sheetName val="6PILE__(돌출)1"/>
      <sheetName val="TRE_TABLE1"/>
      <sheetName val="조도계산서_(도서)1"/>
      <sheetName val="P_M_별1"/>
      <sheetName val="기계_도급내역서1"/>
      <sheetName val="환경기계공정표_(3)"/>
      <sheetName val="1_설계조건"/>
      <sheetName val="본선_토공_분배표"/>
      <sheetName val="입출재고현황_(2)"/>
      <sheetName val="할증_"/>
      <sheetName val="3_공통공사대비"/>
      <sheetName val="Ⅴ-2_공종별내역"/>
      <sheetName val="CABLE_SIZE-3"/>
      <sheetName val="ENE-CAL_1"/>
      <sheetName val="변수_정의"/>
      <sheetName val="동축분_종합설계서"/>
      <sheetName val="Risk_Catefory"/>
      <sheetName val="SPEC_LIST(EQUP,_SYS)"/>
      <sheetName val="SPEC_LIST(COMM)"/>
      <sheetName val="CABLE_&amp;_WIRE"/>
      <sheetName val="CONDUIT_&amp;_FITTING"/>
      <sheetName val="BOXES_&amp;_ENCLOSURES"/>
      <sheetName val="LIGHTING_FIXTURES"/>
      <sheetName val="CABLING_ACC'S_&amp;_MISC_MAT'S"/>
      <sheetName val="SPEC_LIST(BULK)"/>
      <sheetName val="01__자재단가비교표"/>
      <sheetName val="Cashflow_Analysis"/>
      <sheetName val="1-4-2_관(약)"/>
      <sheetName val="평가&amp;선급_미지급"/>
      <sheetName val="중기조종사_단위단가"/>
      <sheetName val="PIPING"/>
      <sheetName val="수주현황2월"/>
      <sheetName val="산출근거#2-3"/>
      <sheetName val="공사비증감"/>
      <sheetName val="폐수처리시설 신고과표(세무서제출용)_비목통합"/>
      <sheetName val="Summary"/>
      <sheetName val="작성참조"/>
      <sheetName val="대구은행"/>
      <sheetName val="내역전기"/>
      <sheetName val="배수내역"/>
      <sheetName val="95삼성급(본사)"/>
      <sheetName val="F1.4"/>
      <sheetName val="변경내역서"/>
      <sheetName val="터파기및재료"/>
      <sheetName val="변경내역대비표(2)"/>
      <sheetName val="산근"/>
      <sheetName val="Conn. Lib"/>
      <sheetName val="업체월별(전기)"/>
      <sheetName val="단중표"/>
      <sheetName val="7_(2)2"/>
      <sheetName val="4_공사별2"/>
      <sheetName val="전선_및_전선관2"/>
      <sheetName val="시설물_2"/>
      <sheetName val="PAD_TR보호대기초1"/>
      <sheetName val="단가표_(건축)1"/>
      <sheetName val="단면_(2)1"/>
      <sheetName val="입찰내역_발주처_양식1"/>
      <sheetName val="관기성공_내1"/>
      <sheetName val="첨부#2_Cash_Flow(현장작성)1"/>
      <sheetName val="1_토공사_수량산출_및_집계1"/>
      <sheetName val="철골LOG"/>
      <sheetName val="드롭다운"/>
      <sheetName val="LEGEND"/>
      <sheetName val="cp-e1"/>
      <sheetName val="호프"/>
      <sheetName val="부서코드표"/>
      <sheetName val="중속정보"/>
      <sheetName val="실행예산SHEET도장재검토"/>
      <sheetName val="0901"/>
      <sheetName val="989월실행"/>
      <sheetName val="자바라1"/>
      <sheetName val="8월차잔"/>
      <sheetName val="은행"/>
      <sheetName val="식문화"/>
      <sheetName val="SRS 월별 BS"/>
      <sheetName val="SRS"/>
      <sheetName val="45,46"/>
      <sheetName val="중기매출"/>
      <sheetName val="득점현황"/>
      <sheetName val="경쟁사생산량추이"/>
      <sheetName val="12매출실적Copy"/>
      <sheetName val="매출액"/>
      <sheetName val="경영현황"/>
      <sheetName val="제조비(신청)"/>
      <sheetName val="C"/>
      <sheetName val="10매출"/>
      <sheetName val="1유리"/>
      <sheetName val="자금운용계획표"/>
      <sheetName val="지질조사"/>
      <sheetName val="07년10~12월"/>
      <sheetName val="Master"/>
      <sheetName val="손익현황"/>
      <sheetName val="현황CODE"/>
      <sheetName val="생산량"/>
      <sheetName val="기초자료"/>
      <sheetName val="EXC IND"/>
      <sheetName val="SRS_월별_BS"/>
      <sheetName val="만기"/>
      <sheetName val="해외 기술훈련비 (합계)"/>
      <sheetName val="단가표"/>
      <sheetName val="COLOR별 인쇄"/>
      <sheetName val="양식(직판용)"/>
      <sheetName val="일정표"/>
      <sheetName val="FED"/>
      <sheetName val="급여인상효과-연간부담분"/>
      <sheetName val="유효성검사"/>
      <sheetName val="유효성 검사"/>
      <sheetName val="참조"/>
      <sheetName val="요약PL"/>
      <sheetName val="SRS_월별_BS1"/>
      <sheetName val="평가&amp;선급_미지급1"/>
      <sheetName val="EXC_IND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OPTION 2"/>
      <sheetName val="OPTION 3"/>
      <sheetName val="2002년 현장공사비 국내 실적"/>
      <sheetName val="2003년국내현장공사비 실적"/>
      <sheetName val="_REF"/>
      <sheetName val="집계표_OPTION_"/>
      <sheetName val="단가(자재)"/>
      <sheetName val="단가(노임)"/>
      <sheetName val="기초목록"/>
      <sheetName val="???"/>
      <sheetName val="VC2 10.99"/>
      <sheetName val="물량"/>
      <sheetName val="WEIGHT LIST"/>
      <sheetName val="산#2-1 (2)"/>
      <sheetName val="POL6차-PIPING"/>
      <sheetName val="산#3-1"/>
      <sheetName val="BEND LOSS"/>
      <sheetName val="KP1590_E"/>
      <sheetName val="1월"/>
      <sheetName val="예산"/>
      <sheetName val="inter"/>
      <sheetName val="BQ_Utl_Off"/>
      <sheetName val="BD集計用"/>
      <sheetName val="ERECIN"/>
      <sheetName val="INPUT DATA"/>
      <sheetName val="»ê±Ù"/>
      <sheetName val="집계표 (25,26ဩ"/>
      <sheetName val="Form 0"/>
      <sheetName val="12CGOU"/>
      <sheetName val="경영혁신본부"/>
      <sheetName val="??"/>
      <sheetName val="Final(1)summary"/>
      <sheetName val="세금자료"/>
      <sheetName val="___"/>
      <sheetName val="__"/>
      <sheetName val="General Data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INPUT_DATA"/>
      <sheetName val="General_Data"/>
      <sheetName val="집계표_(25,26ဩ"/>
      <sheetName val="Form_0"/>
      <sheetName val="SALA-002"/>
      <sheetName val="CB"/>
      <sheetName val="M-EQPT-Z"/>
      <sheetName val="TTL"/>
      <sheetName val="주간기성"/>
      <sheetName val="간접비 총괄"/>
      <sheetName val="ESCON"/>
      <sheetName val="뜃맟뭁돽띿맟_-BLDG"/>
      <sheetName val="???(OPTION)"/>
      <sheetName val="내역ࠜĀ_x0000_M4)"/>
      <sheetName val="POWER"/>
      <sheetName val="h-013211-2"/>
      <sheetName val="내역서 耰&quot;_x0000__x0000_"/>
      <sheetName val="_x0008_"/>
      <sheetName val="비교검토"/>
      <sheetName val="Price Schedule"/>
      <sheetName val="간접비내역-1"/>
      <sheetName val="Lup2"/>
      <sheetName val="合成単価作成表-BLDG"/>
      <sheetName val="INSTR"/>
      <sheetName val="당진1,2호기전선관설치및접지4차공사내역서-을지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Rate Analysis"/>
      <sheetName val="Q&amp;pl-V"/>
      <sheetName val="IN"/>
      <sheetName val="찍기"/>
      <sheetName val="WE'T"/>
      <sheetName val="EQUIPMENT -2"/>
      <sheetName val="공사비 내역 (가)"/>
      <sheetName val="내역서 耰&quot;??"/>
      <sheetName val="24V"/>
      <sheetName val="내역ࠜĀ_x005f_x0000_M4)"/>
      <sheetName val="내역서 耰&quot;_x005f_x0000__x005f_x0000_"/>
      <sheetName val="_x005f_x0008_"/>
      <sheetName val="SOURCE"/>
      <sheetName val="국내"/>
      <sheetName val="criteria"/>
      <sheetName val="jobhist"/>
      <sheetName val="Static Equip"/>
      <sheetName val="CAT_5"/>
      <sheetName val="Form A "/>
      <sheetName val="PROCURE"/>
      <sheetName val="내역ࠜĀ"/>
      <sheetName val="당초내역서"/>
      <sheetName val="___(OPTION)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ELEC_DCI"/>
      <sheetName val="INST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PBS"/>
      <sheetName val="내역ࠜĀ?M4)"/>
      <sheetName val="Compare"/>
      <sheetName val="3.Breakdown Direct Paint"/>
      <sheetName val="Spl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간접비_총괄"/>
      <sheetName val="Price_Schedule"/>
      <sheetName val="내역서_耰&quot;"/>
      <sheetName val=""/>
      <sheetName val="EQUIPMENT_-2"/>
      <sheetName val="CAL_"/>
      <sheetName val="Rate_Analysis"/>
      <sheetName val="내역서_耰&quot;??"/>
      <sheetName val="7. 월별투입내역서"/>
      <sheetName val="AREA"/>
      <sheetName val="바닥판"/>
      <sheetName val="TYPE1"/>
      <sheetName val="철근량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조건표"/>
      <sheetName val="산출2-기기동력"/>
      <sheetName val="30집계표"/>
      <sheetName val="NSCP견적물량"/>
      <sheetName val="float&amp;bear"/>
      <sheetName val="Kfracture"/>
      <sheetName val="Sheet1 (2)"/>
      <sheetName val="수로보호공"/>
      <sheetName val="경영혁신본뷀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데이타"/>
      <sheetName val="식재인부"/>
      <sheetName val="입력시트"/>
      <sheetName val="9906"/>
      <sheetName val="계측 내역서"/>
      <sheetName val="내역ࠜĀ_x005f_x005f_x005f_x0000_M4)"/>
      <sheetName val="내역서 耰&quot;_x005f_x005f_x005f_x0000__x005f_x005f_x0000"/>
      <sheetName val="_x005f_x005f_x005f_x0008_"/>
      <sheetName val="EQUIPOS"/>
      <sheetName val="견적"/>
      <sheetName val="CIVIL"/>
      <sheetName val="ERECT"/>
      <sheetName val="PROSUM"/>
      <sheetName val="내역ࠜĀ_M4)"/>
      <sheetName val="2.2 STAFF Scedule"/>
      <sheetName val="내역서_耰&quot;__"/>
      <sheetName val="기계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고압수량(철거)"/>
      <sheetName val="인부신상자료"/>
      <sheetName val="Z- GENERAL PRICE SUMMARY"/>
      <sheetName val=" Estimate  "/>
      <sheetName val="배관내역"/>
      <sheetName val="cable-data"/>
      <sheetName val="T 3"/>
      <sheetName val="HORI. VESSEL"/>
      <sheetName val="SummaryC"/>
      <sheetName val="Detail"/>
      <sheetName val="MP MOB"/>
      <sheetName val="AILC004"/>
      <sheetName val="BM DATA SHEET"/>
      <sheetName val="입찰품의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w't table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DB@Acess"/>
      <sheetName val="변경집계표"/>
      <sheetName val="PI"/>
      <sheetName val="EQUIP LIST"/>
      <sheetName val="Insts"/>
      <sheetName val="Vind - BtB"/>
      <sheetName val="LV induction motors"/>
      <sheetName val="인원계획"/>
      <sheetName val="BSD (2)"/>
      <sheetName val="BCPAB"/>
      <sheetName val="cable"/>
      <sheetName val="Form B"/>
      <sheetName val="sum"/>
      <sheetName val="BATCH"/>
      <sheetName val="_x0002__x0000_뻘N_x0000__x0000__x0001_ࠀ역서"/>
      <sheetName val="수주추정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All_2"/>
      <sheetName val="97 사업추정(WEKI)"/>
      <sheetName val="[SANDAN.XLS??"/>
      <sheetName val="Lstsub"/>
      <sheetName val="DCS"/>
      <sheetName val="FWBS7000,8000"/>
      <sheetName val="ANALYSER"/>
      <sheetName val="Eq. Mobilization"/>
      <sheetName val="출금실적"/>
      <sheetName val="Direct"/>
      <sheetName val="FORM-12"/>
      <sheetName val="Hot"/>
      <sheetName val="Monthly Load"/>
      <sheetName val="Weekly Load"/>
      <sheetName val="RFP002"/>
      <sheetName val="일일총괄"/>
      <sheetName val="M_DB"/>
      <sheetName val="실행집계"/>
      <sheetName val="breakdown of wage rate"/>
      <sheetName val="Indirect Cost"/>
      <sheetName val="Unit"/>
      <sheetName val="HP-Steamdrum"/>
      <sheetName val="내역서 (∮ἀ嘆ɶ_x0000_᠀㬁_x0000_"/>
      <sheetName val="당초_xd8b4_∸ἀ"/>
      <sheetName val="Material Selections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내역서_耰&quot;_x005f_x0000__x005f_x0000_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Basic_Rate"/>
      <sheetName val="appendix_2_5_final_accounts"/>
      <sheetName val="Format"/>
      <sheetName val="Labour"/>
      <sheetName val="Material"/>
      <sheetName val="Sheet1_(2)"/>
      <sheetName val="TDTKP"/>
      <sheetName val="DK-KH"/>
      <sheetName val="수량집계"/>
      <sheetName val="총괄집계표"/>
      <sheetName val="Cal"/>
      <sheetName val="BREAKDOWN(신규설치)"/>
      <sheetName val="Piping BQ for one turbine"/>
      <sheetName val="COVER-P"/>
      <sheetName val="총괄표"/>
      <sheetName val="일위대가(계측기설치)"/>
      <sheetName val="부대비율"/>
      <sheetName val="첨부1-집행내역(요약)"/>
      <sheetName val="중기일위대가"/>
      <sheetName val="Item code"/>
      <sheetName val="업체코드"/>
      <sheetName val="공정계획(내부계획25%,내부w.f)"/>
      <sheetName val="7422CW00"/>
      <sheetName val="Utility and Fire flange"/>
      <sheetName val="품셈"/>
      <sheetName val="1350-A"/>
      <sheetName val="SFN ORIG"/>
      <sheetName val="SFN"/>
      <sheetName val="R2564AHDTS"/>
      <sheetName val="CPS"/>
      <sheetName val="General"/>
      <sheetName val="Menus"/>
      <sheetName val="_x0004__x0000__x000d__x0000__x0003__x0000__x0004__x0000__x0016__x0000__x000d__x0000__x0004_"/>
      <sheetName val="_x000a__x0000__x001b__x0000__x0006__x0000__x0006__x0000__x0008__x0000__x000a__x0000__x0000_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_x0002_?뻘N??_x0001_ࠀ역서"/>
      <sheetName val="AG Pipe Qty Analysis"/>
      <sheetName val="원가"/>
      <sheetName val="중기"/>
      <sheetName val="BM-Elec"/>
      <sheetName val="BM-Inst"/>
      <sheetName val="97"/>
      <sheetName val="MANP"/>
      <sheetName val="Equipment List"/>
      <sheetName val="info"/>
      <sheetName val="TP"/>
      <sheetName val="Form1.SQP"/>
      <sheetName val="_SANDAN.XLS__"/>
      <sheetName val="_x0002_"/>
      <sheetName val="Heavy Equipments"/>
      <sheetName val="BOQ-B.DOWN"/>
      <sheetName val="강재"/>
      <sheetName val="D-623D"/>
      <sheetName val="SS2"/>
      <sheetName val="실행예산 MM"/>
      <sheetName val="OD5000"/>
      <sheetName val="Dir Manpower Other Exp."/>
      <sheetName val="SCHEDD TAMBAHAN"/>
      <sheetName val="사급자재집계표"/>
      <sheetName val="HVAC(사급자재)"/>
      <sheetName val="U-W"/>
      <sheetName val="수량산출서"/>
      <sheetName val="Preliminaries"/>
      <sheetName val="Mech"/>
      <sheetName val="Fire Protection"/>
      <sheetName val="Buildings"/>
      <sheetName val="Instrument"/>
      <sheetName val="LOB"/>
      <sheetName val="실행내역"/>
      <sheetName val="도"/>
      <sheetName val="단가 (2)"/>
      <sheetName val="4-3LEVEL-5 epic.4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운반"/>
      <sheetName val="FWBS 1530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입출재고현황_(2)2"/>
      <sheetName val="3_공통공사대비2"/>
      <sheetName val="간접비_총괄2"/>
      <sheetName val="Price_Schedule2"/>
      <sheetName val="CAL_2"/>
      <sheetName val="Rate_Analysis2"/>
      <sheetName val="EQUIPMENT_-22"/>
      <sheetName val="공사비_내역_(가)1"/>
      <sheetName val="WEIGHT_LIST1"/>
      <sheetName val="산#2-1_(2)1"/>
      <sheetName val="BEND_LOSS1"/>
      <sheetName val="내역서_耰&quot;??2"/>
      <sheetName val="Static_Equip1"/>
      <sheetName val="Form_A_1"/>
      <sheetName val="내역서_耰&quot;_x005f_x0000__x005f_x0000_1"/>
      <sheetName val="3_Breakdown_Direct_Paint1"/>
      <sheetName val="내역서_耰&quot;__2"/>
      <sheetName val="Summary_Sheets1"/>
      <sheetName val="Civil_11"/>
      <sheetName val="Civil_21"/>
      <sheetName val="Civil_31"/>
      <sheetName val="Site_11"/>
      <sheetName val="Site_21"/>
      <sheetName val="Site_31"/>
      <sheetName val="Site_Faci1"/>
      <sheetName val="Man_Hole"/>
      <sheetName val="7__월별투입내역서"/>
      <sheetName val="Sheet1_(2)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내역서_耰&quot;_x005f_x005f_x005f_x0000__x005f_x005f_x0000"/>
      <sheetName val="2_2_STAFF_Scedule"/>
      <sheetName val="내역서_耰&quot;_x005f_x005f_x005f_x005f_x005f_x005f_x005f_x0000_"/>
      <sheetName val="계측_내역서"/>
      <sheetName val="EQUIP_LIST"/>
      <sheetName val="Z-_GENERAL_PRICE_SUMMARY"/>
      <sheetName val="_Estimate__"/>
      <sheetName val="T_3"/>
      <sheetName val="HORI__VESSEL"/>
      <sheetName val="MP_MOB"/>
      <sheetName val="Form_B"/>
      <sheetName val="Precios_Unitarios"/>
      <sheetName val="Vind_-_BtB"/>
      <sheetName val="LV_induction_motors"/>
      <sheetName val="BSD_(2)"/>
      <sheetName val="Administrative_Prices"/>
      <sheetName val="WBS_44"/>
      <sheetName val="WBS_41"/>
      <sheetName val="Precios_por_Administración"/>
      <sheetName val="Subcon_A"/>
      <sheetName val="뻘Nࠀ역서"/>
      <sheetName val="BM_DATA_SHEET1"/>
      <sheetName val="내역서_耰&quot;_x005f_x005f_x005f_x005f_x005f_x005f_x005f_x005f_"/>
      <sheetName val="Monthly_Load"/>
      <sheetName val="Weekly_Load"/>
      <sheetName val="97_사업추정(WEKI)"/>
      <sheetName val="내역서_(∮ἀ嘆ɶ᠀㬁"/>
      <sheetName val="Eq__Mobilization"/>
      <sheetName val="[SANDAN_XLS??"/>
      <sheetName val="Piping_BQ_for_one_turbine"/>
      <sheetName val="Material_Selections"/>
      <sheetName val="Resource_table"/>
      <sheetName val="Utility_and_Fire_flange"/>
      <sheetName val="_x000a__x000a_"/>
      <sheetName val="Equipment_List"/>
      <sheetName val="Form1_SQP"/>
      <sheetName val="AG_Pipe_Qty_Analysis"/>
      <sheetName val="공정계획(내부계획25%,내부w_f)"/>
      <sheetName val="Heavy_Equipments"/>
      <sheetName val="분전반계산서(석관)"/>
      <sheetName val="이자율"/>
      <sheetName val="MODULE CONFIRM"/>
      <sheetName val="내역서 (∮ἀ嘆ɶ"/>
      <sheetName val="VIZ4"/>
      <sheetName val="VIZ7"/>
      <sheetName val="UZ"/>
      <sheetName val="K_SURFACES"/>
      <sheetName val="ITB COST"/>
      <sheetName val="내역서_耰&quot;1"/>
      <sheetName val="SFN_ORIG"/>
      <sheetName val="?뻘N??ࠀ역서"/>
      <sheetName val="_SANDAN_XLS__"/>
      <sheetName val="Costo-MO"/>
      <sheetName val="WIND"/>
      <sheetName val="SCHEDD_TAMBAHAN"/>
      <sheetName val="Dir_Manpower_Other_Exp_"/>
      <sheetName val="w't_table"/>
      <sheetName val="Fire_Protection"/>
      <sheetName val="CÓDIGOS"/>
      <sheetName val="CHANNEL"/>
      <sheetName val="PROTECTION "/>
      <sheetName val="CIBATU5OO"/>
      <sheetName val="MTP"/>
      <sheetName val="PROGRESS"/>
      <sheetName val="Cash In-Cash Out Actual"/>
      <sheetName val="Database"/>
      <sheetName val="노임9월"/>
      <sheetName val="설계명세1-1"/>
      <sheetName val="SILICATE"/>
      <sheetName val="_x0004_"/>
      <sheetName val="_x000a_"/>
      <sheetName val="견적대비표"/>
      <sheetName val="ANX3A11"/>
      <sheetName val="5.) Time Delays"/>
      <sheetName val="KP_List"/>
      <sheetName val="Site Findings Status Sheet"/>
      <sheetName val="경비실"/>
      <sheetName val="Labor"/>
      <sheetName val="CUADRO DE PRECIOS"/>
      <sheetName val="9_1차이내역"/>
      <sheetName val="pipeline-1"/>
      <sheetName val="전기"/>
      <sheetName val="plan&amp;section of foundation"/>
      <sheetName val="working load at the btm ft."/>
      <sheetName val="stability check"/>
      <sheetName val="design criteria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FWBS"/>
      <sheetName val="Hoja2"/>
      <sheetName val="경제지표"/>
      <sheetName val="1100-1200-1300-1910-2140-LEV 2"/>
      <sheetName val="Material Price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AG-2"/>
      <sheetName val="Overall"/>
      <sheetName val="salary"/>
      <sheetName val="Rekapitulasi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실행(ALT1)"/>
      <sheetName val="내역서1999.8최종"/>
      <sheetName val="REDUCER"/>
      <sheetName val="DESIGN"/>
      <sheetName val="Closeout Control"/>
      <sheetName val="Weekl_x0004__x0000__x0016__x0000__x000d__x0000_"/>
      <sheetName val="_x0000__x000e__x0000__x0005_"/>
      <sheetName val="SEX"/>
      <sheetName val="Currency Rate"/>
      <sheetName val="Personnel"/>
      <sheetName val="ANALISA"/>
      <sheetName val="Unit Price 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Library"/>
      <sheetName val="RAB AR&amp;STR"/>
      <sheetName val="I-KAMAR"/>
      <sheetName val="영업소실적"/>
      <sheetName val="PROJECT BRIEF"/>
      <sheetName val="tggwan(mac)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Sum (Case-3)"/>
      <sheetName val="예산-내부"/>
      <sheetName val="DB"/>
      <sheetName val=" _x0000__x001b__x0000__x0006__x0000__x0006__x0000__x0008__x0000_ _x0000__x0000_"/>
      <sheetName val="PWA"/>
      <sheetName val="Air Cooler-E"/>
      <sheetName val="2. 현장 자금투입 집계표"/>
      <sheetName val="검측서"/>
      <sheetName val="내역서_(N _x000e__x000e__x000e_  _x0012__x0010__x000a_"/>
      <sheetName val="ഀࠀကЀЀԀЀԀ̀ᤀഀ؀Ѐༀ"/>
      <sheetName val="내역서_(N_x0009__x000e__x000e__x000e__x0009__x0009__x0012__x0010__x000a_"/>
      <sheetName val="CONFIG"/>
      <sheetName val="Datos"/>
      <sheetName val="경상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_x0002__x0000_뻘N_x0000__x0000__"/>
      <sheetName val="_x0004__x0000__x000d__x0000__x0"/>
      <sheetName val="_x000a__x0000__x001b__x0000__x0"/>
      <sheetName val="내역서_耰&quot;_x005f_x0000__x0000"/>
      <sheetName val="UP MINOR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99. FWBS(Ref)"/>
      <sheetName val="99. Change Rate"/>
      <sheetName val="In-House Summary"/>
      <sheetName val="7422CW_x0013__x0000_"/>
      <sheetName val="??-BLDG"/>
      <sheetName val="Unt rate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Item_code"/>
      <sheetName val="MODULE_CONFIRM1"/>
      <sheetName val="PROTECTION_"/>
      <sheetName val="Cash_In-Cash_Out_Actual"/>
      <sheetName val="5_)_Time_Delays"/>
      <sheetName val="Site_Findings_Status_Sheet"/>
      <sheetName val="CUADRO_DE_PRECIOS"/>
      <sheetName val="plan&amp;section_of_foundation1"/>
      <sheetName val="working_load_at_the_btm_ft_1"/>
      <sheetName val="stability_check1"/>
      <sheetName val="design_criteria1"/>
      <sheetName val="design_load1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내역서1999_8최종"/>
      <sheetName val="PROJECT_BRIEF"/>
      <sheetName val="Man_Power_&amp;_Comp"/>
      <sheetName val="Data_List"/>
      <sheetName val="4-Basic_Price"/>
      <sheetName val="Evaluasi_Penw"/>
      <sheetName val="RAB_AR&amp;STR"/>
      <sheetName val="내역서_耰&quot;_x005f_x005f_x005f_x0000_"/>
      <sheetName val="내역서_耰&quot;_x005f_x005f_x005f_x005f_"/>
      <sheetName val="Currency_Rate"/>
      <sheetName val="Unit_Price_"/>
      <sheetName val="Closeout_Control"/>
      <sheetName val="Weekl_x000a_"/>
      <sheetName val="Updating_Form-Oct_2011"/>
      <sheetName val="Weld_Consumable"/>
      <sheetName val="NDE_Cost-Summary"/>
      <sheetName val="9July_Above_Ground_Pipe"/>
      <sheetName val="M_11"/>
      <sheetName val="Process_Data_1"/>
      <sheetName val="Sum_(Case-3)"/>
      <sheetName val="Discounted Cash Flow"/>
      <sheetName val="Ocean Transporation Charge"/>
      <sheetName val="Cash Flow bulanan"/>
      <sheetName val="schalt"/>
      <sheetName val="schtng"/>
      <sheetName val="schbhn"/>
      <sheetName val="H.Satuan"/>
      <sheetName val="I_KAMAR"/>
      <sheetName val="OCT.FDN"/>
      <sheetName val="배수공"/>
      <sheetName val="Codes.Pers"/>
      <sheetName val="장산"/>
      <sheetName val="_x0002__뻘N___x0001_ࠀ역서"/>
      <sheetName val="시행분석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_도면 및 도서 제출목록 및 일정_170202.xlsx"/>
      <sheetName val="Direct PMS"/>
      <sheetName val="OPT_x0012__x0000__x0010__x0000__x000a__x0000_"/>
      <sheetName val="_x0000__x0013__x0000__x0014_"/>
      <sheetName val="AUX"/>
      <sheetName val="Aux."/>
      <sheetName val="SCH"/>
      <sheetName val="Rates &amp; Legend"/>
      <sheetName val="Pengesahan "/>
      <sheetName val="00-Summary Information-ABB"/>
      <sheetName val="Sheet5"/>
      <sheetName val="Harga Satuan"/>
      <sheetName val="LISTRIK"/>
      <sheetName val="F ALARM"/>
      <sheetName val="Distribution Table"/>
      <sheetName val="BA1047集約"/>
      <sheetName val="2.Overall Summary "/>
      <sheetName val="Pipe-Hot"/>
      <sheetName val="  "/>
      <sheetName val=" "/>
      <sheetName val="breakdown of wage ra`f"/>
      <sheetName val="breakdown of wage ra"/>
      <sheetName val="breakdown of wage rað-"/>
      <sheetName val="Raw data"/>
      <sheetName val="Exchange Rate"/>
      <sheetName val="BQ_IMPORT"/>
      <sheetName val="TYPE"/>
      <sheetName val="Bill rekap"/>
      <sheetName val="w't_table2"/>
      <sheetName val="SCHEDD_TAMBAHAN2"/>
      <sheetName val="Fire_Protection2"/>
      <sheetName val="입찰내역_발주처_양식2"/>
      <sheetName val="Dir_Manpower_Other_Exp_2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차트 (2)"/>
      <sheetName val="BD"/>
      <sheetName val="2003상반기노임기준"/>
      <sheetName val="Action Item"/>
      <sheetName val="Direct_PMS"/>
      <sheetName val="7422CW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Aux_"/>
      <sheetName val="물량표"/>
      <sheetName val="PABS,Site info"/>
      <sheetName val="0. Resource　Code"/>
      <sheetName val="Codes_Pers"/>
      <sheetName val="Material code"/>
      <sheetName val="EE-PROP"/>
      <sheetName val="DATA MENTAH"/>
      <sheetName val="breakdown of wage rap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rocess Data (2)"/>
      <sheetName val="Process_Data_(2)"/>
      <sheetName val="실행집_x0005_"/>
      <sheetName val="실행집聈"/>
      <sheetName val="breakdown of wage ra"/>
      <sheetName val="RE9604"/>
      <sheetName val="추가예산"/>
      <sheetName val="2.주요계수총괄"/>
      <sheetName val="실행기초"/>
      <sheetName val="10년01월부터"/>
      <sheetName val="EBMB"/>
      <sheetName val="D1.2 COF모듈자재 입출재고 (B급)"/>
      <sheetName val="선급비용"/>
      <sheetName val="PAINT"/>
      <sheetName val="분류표"/>
      <sheetName val="2_주요계수총괄"/>
      <sheetName val="D1_2_COF모듈자재_입출재고_(B급)"/>
      <sheetName val="명단"/>
      <sheetName val="01is(누계)"/>
      <sheetName val="97년추정손익계산서"/>
      <sheetName val="Supplement2"/>
      <sheetName val="1차 내역서"/>
      <sheetName val="빗물받이(910-510-410)"/>
      <sheetName val="01.총괄표"/>
      <sheetName val="FB25JN"/>
      <sheetName val="YES-T"/>
      <sheetName val="misc"/>
      <sheetName val="0.Cover"/>
      <sheetName val="1.집계표Summary"/>
      <sheetName val="1.내역서BOQ"/>
      <sheetName val="2.QtyCal"/>
      <sheetName val="2.산출집계QtySum"/>
      <sheetName val="3-0.단가표"/>
      <sheetName val="3-1.INTERPOLATION"/>
      <sheetName val="3-2.SUMMERY SHEET"/>
      <sheetName val="3-3 Quotation"/>
      <sheetName val="3-3.1 Quotation"/>
      <sheetName val="설계서"/>
      <sheetName val="7.수지"/>
      <sheetName val="총 원가계산"/>
      <sheetName val="IW-LIST"/>
      <sheetName val="Finishes code"/>
      <sheetName val="anti-termite"/>
      <sheetName val="15100"/>
      <sheetName val="간접비 총괄표"/>
      <sheetName val="자료"/>
      <sheetName val="O-단가조사서"/>
      <sheetName val="설내역서 "/>
      <sheetName val="토목내역"/>
      <sheetName val="6월인원"/>
      <sheetName val="MOS"/>
      <sheetName val="차액보증"/>
      <sheetName val="Sheet9"/>
      <sheetName val="전기자료"/>
      <sheetName val="정화조동내역"/>
      <sheetName val="내역서총괄표"/>
      <sheetName val="일위대가총괄표"/>
      <sheetName val="단가산출총괄표"/>
      <sheetName val="기계경비총괄표"/>
      <sheetName val="기계경비"/>
      <sheetName val="기계경비적용기준"/>
      <sheetName val="실적단가"/>
      <sheetName val="아파트-가설"/>
      <sheetName val="원익 IPS 단가"/>
      <sheetName val="표 지"/>
      <sheetName val="장비사양"/>
      <sheetName val="철골LOG(설치)"/>
      <sheetName val="ELECTRIC"/>
      <sheetName val="SCHEDULE"/>
      <sheetName val="아파트 기성내역서"/>
      <sheetName val="2.223M_due to adj profit"/>
      <sheetName val="Site"/>
      <sheetName val="BM"/>
      <sheetName val="bi-mnthly rep Villa"/>
      <sheetName val="CPA_EQP"/>
      <sheetName val="RefG"/>
      <sheetName val="IRR sponsor"/>
      <sheetName val="C3"/>
      <sheetName val="5600"/>
      <sheetName val="토사(PE)"/>
      <sheetName val="Fitting"/>
      <sheetName val="2st"/>
      <sheetName val="첨부목차"/>
      <sheetName val="1-1제원"/>
      <sheetName val="1-2CHANGE CONTENTS"/>
      <sheetName val="1-3 주요사양"/>
      <sheetName val="2.종합추진일정표"/>
      <sheetName val="3.투자및자금조달계획"/>
      <sheetName val="4.계정합"/>
      <sheetName val="4-1.내자"/>
      <sheetName val="4-2.외자"/>
      <sheetName val="5.분야별주요투자명세"/>
      <sheetName val="6-1.PRESS"/>
      <sheetName val="6-2.차체"/>
      <sheetName val="6-3.도장"/>
      <sheetName val="6-4.조립"/>
      <sheetName val="7.개발소요인원"/>
      <sheetName val="8.국내외연수출장계획"/>
      <sheetName val="9.PILOTVEHICLE소요계획 "/>
      <sheetName val="10.START UP PLAN "/>
      <sheetName val="11.생산인원계획"/>
      <sheetName val="12.MH-자동화"/>
      <sheetName val="13. 판매계획"/>
      <sheetName val="14.유사실적비교(종합)"/>
      <sheetName val="14-1. 유사실적비교"/>
      <sheetName val="2003 Bud. Vs Act."/>
      <sheetName val="작성양식"/>
      <sheetName val="scard"/>
      <sheetName val="WEIGHT"/>
      <sheetName val="시설투자"/>
      <sheetName val="KXV01"/>
      <sheetName val="01.02월 성과급"/>
      <sheetName val="T150Ar"/>
      <sheetName val="OPT"/>
      <sheetName val="THT"/>
      <sheetName val="#1"/>
      <sheetName val="조사종합"/>
      <sheetName val="사양조정"/>
      <sheetName val="all"/>
      <sheetName val="All-TB"/>
      <sheetName val="Mapping Sheet"/>
      <sheetName val="TB-Vidamco"/>
      <sheetName val="Dropdown Items"/>
      <sheetName val="매출DATA"/>
      <sheetName val="ORIGIN"/>
      <sheetName val="완성차 미수금"/>
      <sheetName val="검기갑지"/>
      <sheetName val="차입"/>
      <sheetName val="시산표"/>
      <sheetName val="BV"/>
      <sheetName val="평가&amp;선급_미지급2"/>
      <sheetName val="SRS_월별_BS2"/>
      <sheetName val="해외_기술훈련비_(합계)"/>
      <sheetName val="EXC_IND1"/>
      <sheetName val="COLOR별_인쇄"/>
      <sheetName val="유효성_검사"/>
      <sheetName val="1-2CHANGE_CONTENTS"/>
      <sheetName val="1-3_주요사양"/>
      <sheetName val="2_종합추진일정표"/>
      <sheetName val="3_투자및자금조달계획"/>
      <sheetName val="4_계정합"/>
      <sheetName val="4-1_내자"/>
      <sheetName val="4-2_외자"/>
      <sheetName val="5_분야별주요투자명세"/>
      <sheetName val="6-1_PRESS"/>
      <sheetName val="6-2_차체"/>
      <sheetName val="6-3_도장"/>
      <sheetName val="6-4_조립"/>
      <sheetName val="7_개발소요인원"/>
      <sheetName val="8_국내외연수출장계획"/>
      <sheetName val="9_PILOTVEHICLE소요계획_"/>
      <sheetName val="10_START_UP_PLAN_"/>
      <sheetName val="11_생산인원계획"/>
      <sheetName val="12_MH-자동화"/>
      <sheetName val="13__판매계획"/>
      <sheetName val="14_유사실적비교(종합)"/>
      <sheetName val="14-1__유사실적비교"/>
      <sheetName val="2003_Bud__Vs_Act_"/>
      <sheetName val="01_02월_성과급"/>
      <sheetName val="Mapping_Sheet"/>
      <sheetName val="Dropdown_Items"/>
      <sheetName val="완성차_미수금"/>
      <sheetName val="평가&amp;선급_미지급3"/>
      <sheetName val="SRS_월별_BS3"/>
      <sheetName val="해외_기술훈련비_(합계)1"/>
      <sheetName val="EXC_IND2"/>
      <sheetName val="COLOR별_인쇄1"/>
      <sheetName val="유효성_검사1"/>
      <sheetName val="1-2CHANGE_CONTENTS1"/>
      <sheetName val="1-3_주요사양1"/>
      <sheetName val="2_종합추진일정표1"/>
      <sheetName val="3_투자및자금조달계획1"/>
      <sheetName val="4_계정합1"/>
      <sheetName val="4-1_내자1"/>
      <sheetName val="4-2_외자1"/>
      <sheetName val="5_분야별주요투자명세1"/>
      <sheetName val="6-1_PRESS1"/>
      <sheetName val="6-2_차체1"/>
      <sheetName val="6-3_도장1"/>
      <sheetName val="6-4_조립1"/>
      <sheetName val="7_개발소요인원1"/>
      <sheetName val="8_국내외연수출장계획1"/>
      <sheetName val="9_PILOTVEHICLE소요계획_1"/>
      <sheetName val="10_START_UP_PLAN_1"/>
      <sheetName val="11_생산인원계획1"/>
      <sheetName val="12_MH-자동화1"/>
      <sheetName val="13__판매계획1"/>
      <sheetName val="14_유사실적비교(종합)1"/>
      <sheetName val="14-1__유사실적비교1"/>
      <sheetName val="2003_Bud__Vs_Act_1"/>
      <sheetName val="01_02월_성과급1"/>
      <sheetName val="Mapping_Sheet1"/>
      <sheetName val="Dropdown_Items1"/>
      <sheetName val="완성차_미수금1"/>
      <sheetName val="평가&amp;선급_미지급4"/>
      <sheetName val="SRS_월별_BS4"/>
      <sheetName val="해외_기술훈련비_(합계)2"/>
      <sheetName val="EXC_IND3"/>
      <sheetName val="COLOR별_인쇄2"/>
      <sheetName val="유효성_검사2"/>
      <sheetName val="1-2CHANGE_CONTENTS2"/>
      <sheetName val="1-3_주요사양2"/>
      <sheetName val="2_종합추진일정표2"/>
      <sheetName val="3_투자및자금조달계획2"/>
      <sheetName val="4_계정합2"/>
      <sheetName val="4-1_내자2"/>
      <sheetName val="4-2_외자2"/>
      <sheetName val="5_분야별주요투자명세2"/>
      <sheetName val="6-1_PRESS2"/>
      <sheetName val="6-2_차체2"/>
      <sheetName val="6-3_도장2"/>
      <sheetName val="6-4_조립2"/>
      <sheetName val="7_개발소요인원2"/>
      <sheetName val="8_국내외연수출장계획2"/>
      <sheetName val="9_PILOTVEHICLE소요계획_2"/>
      <sheetName val="10_START_UP_PLAN_2"/>
      <sheetName val="11_생산인원계획2"/>
      <sheetName val="12_MH-자동화2"/>
      <sheetName val="13__판매계획2"/>
      <sheetName val="14_유사실적비교(종합)2"/>
      <sheetName val="14-1__유사실적비교2"/>
      <sheetName val="2003_Bud__Vs_Act_2"/>
      <sheetName val="01_02월_성과급2"/>
      <sheetName val="Mapping_Sheet2"/>
      <sheetName val="Dropdown_Items2"/>
      <sheetName val="완성차_미수금2"/>
      <sheetName val="주행"/>
      <sheetName val="설직재-1"/>
      <sheetName val="지불결의"/>
      <sheetName val="실행비교"/>
      <sheetName val="G2설비도급"/>
      <sheetName val="날개벽수량표"/>
      <sheetName val="OPT_x0012_"/>
      <sheetName val="구간공종"/>
      <sheetName val="成本7_11"/>
      <sheetName val="Bldg_Wise_Summaries_20-10-09"/>
      <sheetName val="제출내역_(2)"/>
      <sheetName val="수량산출서_갑지"/>
      <sheetName val="등급별_배치기준"/>
      <sheetName val="2_대외공문"/>
      <sheetName val="4_공사별3"/>
      <sheetName val="7_(2)3"/>
      <sheetName val="전선_및_전선관3"/>
      <sheetName val="시설물_3"/>
      <sheetName val="설산1_나2"/>
      <sheetName val="Shape_code2"/>
      <sheetName val="조도계산서_(도서)2"/>
      <sheetName val="단가표_(건축)2"/>
      <sheetName val="TOWER_12TON2"/>
      <sheetName val="TOWER_10TON2"/>
      <sheetName val="P_M_별2"/>
      <sheetName val="분류코드_이름관리2"/>
      <sheetName val="6PILE__(돌출)7"/>
      <sheetName val="TRE_TABLE2"/>
      <sheetName val="단면_(2)7"/>
      <sheetName val="관기성공_내2"/>
      <sheetName val="기계_도급내역서2"/>
      <sheetName val="입찰내역_발주처_양식6"/>
      <sheetName val="첨부#2_Cash_Flow(현장작성)2"/>
      <sheetName val="1_토공사_수량산출_및_집계2"/>
      <sheetName val="1_설계조건1"/>
      <sheetName val="본선_토공_분배표1"/>
      <sheetName val="환경기계공정표_(3)1"/>
      <sheetName val="3_공통공사대비8"/>
      <sheetName val="Ⅴ-2_공종별내역1"/>
      <sheetName val="CABLE_SIZE-31"/>
      <sheetName val="ENE-CAL_11"/>
      <sheetName val="입출재고현황_(2)8"/>
      <sheetName val="할증_1"/>
      <sheetName val="변수_정의1"/>
      <sheetName val="PAD_TR보호대기초2"/>
      <sheetName val="동축분_종합설계서1"/>
      <sheetName val="Risk_Catefory1"/>
      <sheetName val="Cashflow_Analysis1"/>
      <sheetName val="SPEC_LIST(EQUP,_SYS)1"/>
      <sheetName val="SPEC_LIST(COMM)1"/>
      <sheetName val="CABLE_&amp;_WIRE1"/>
      <sheetName val="CONDUIT_&amp;_FITTING1"/>
      <sheetName val="BOXES_&amp;_ENCLOSURES1"/>
      <sheetName val="LIGHTING_FIXTURES1"/>
      <sheetName val="CABLING_ACC'S_&amp;_MISC_MAT'S1"/>
      <sheetName val="SPEC_LIST(BULK)1"/>
      <sheetName val="01__자재단가비교표1"/>
      <sheetName val="중기조종사_단위단가1"/>
      <sheetName val="1-4-2_관(약)1"/>
      <sheetName val="F1_4"/>
      <sheetName val="폐수처리시설_신고과표(세무서제출용)_비목통합"/>
      <sheetName val="01_총괄표"/>
      <sheetName val="0_Cover"/>
      <sheetName val="1_집계표Summary"/>
      <sheetName val="1_내역서BOQ"/>
      <sheetName val="2_QtyCal"/>
      <sheetName val="2_산출집계QtySum"/>
      <sheetName val="3-0_단가표"/>
      <sheetName val="3-1_INTERPOLATION"/>
      <sheetName val="3-2_SUMMERY_SHEET"/>
      <sheetName val="3-3_Quotation"/>
      <sheetName val="3-3_1_Quotation"/>
      <sheetName val="Conn__Lib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WEIGHT_LIST7"/>
      <sheetName val="산#2-1_(2)7"/>
      <sheetName val="BEND_LOSS7"/>
      <sheetName val="INPUT_DATA9"/>
      <sheetName val="집계표_(25,26ဩ9"/>
      <sheetName val="Form_09"/>
      <sheetName val="General_Data9"/>
      <sheetName val="LABOR_&amp;_자재8"/>
      <sheetName val="Form_D-18"/>
      <sheetName val="Form_B-18"/>
      <sheetName val="Form_F-18"/>
      <sheetName val="Form_A8"/>
      <sheetName val="간접비_총괄8"/>
      <sheetName val="Price_Schedule8"/>
      <sheetName val="CAL_8"/>
      <sheetName val="Rate_Analysis8"/>
      <sheetName val="EQUIPMENT_-28"/>
      <sheetName val="공사비_내역_(가)7"/>
      <sheetName val="내역서_耰&quot;??8"/>
      <sheetName val="내역서_耰&quot;_x005f_x0000__x005f_x0000_7"/>
      <sheetName val="Static_Equip7"/>
      <sheetName val="Form_A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Man_Hole6"/>
      <sheetName val="Sheet1_(2)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계측_내역서6"/>
      <sheetName val="내역서_耰&quot;_x005f_x005f_x005f_x0000__x005f_x005f_x0006"/>
      <sheetName val="2_2_STAFF_Scedule6"/>
      <sheetName val="내역서_耰&quot;_x005f_x005f_x005f_x005f_x005f_x005f_x00006"/>
      <sheetName val="Z-_GENERAL_PRICE_SUMMARY6"/>
      <sheetName val="_Estimate__6"/>
      <sheetName val="T_36"/>
      <sheetName val="HORI__VESSEL6"/>
      <sheetName val="MP_MOB6"/>
      <sheetName val="BM_DATA_SHEET7"/>
      <sheetName val="w't_table6"/>
      <sheetName val="Administrative_Prices6"/>
      <sheetName val="WBS_446"/>
      <sheetName val="WBS_416"/>
      <sheetName val="Precios_por_Administración6"/>
      <sheetName val="Precios_Unitarios6"/>
      <sheetName val="Subcon_A6"/>
      <sheetName val="EQUIP_LIST6"/>
      <sheetName val="Vind_-_BtB6"/>
      <sheetName val="LV_induction_motors6"/>
      <sheetName val="BSD_(2)6"/>
      <sheetName val="Form_B6"/>
      <sheetName val="내역서_耰&quot;_x005f_x005f_x005f_x005f_x005f_x005f_x005f6"/>
      <sheetName val="97_사업추정(WEKI)6"/>
      <sheetName val="[SANDAN_XLS??6"/>
      <sheetName val="Eq__Mobilization6"/>
      <sheetName val="Monthly_Load6"/>
      <sheetName val="Weekly_Load6"/>
      <sheetName val="breakdown_of_wage_rate6"/>
      <sheetName val="Indirect_Cost6"/>
      <sheetName val="Material_Selections6"/>
      <sheetName val="Piping_BQ_for_one_turbine6"/>
      <sheetName val="Item_code1"/>
      <sheetName val="공정계획(내부계획25%,내부w_f)6"/>
      <sheetName val="Utility_and_Fire_flange6"/>
      <sheetName val="SFN_ORIG6"/>
      <sheetName val="Resource_table6"/>
      <sheetName val="AG_Pipe_Qty_Analysis6"/>
      <sheetName val="Equipment_List6"/>
      <sheetName val="Form1_SQP6"/>
      <sheetName val="_SANDAN_XLS__6"/>
      <sheetName val="Heavy_Equipments6"/>
      <sheetName val="BOQ-B_DOWN5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5_)_Time_Delays1"/>
      <sheetName val="Site_Findings_Status_Sheet1"/>
      <sheetName val="CUADRO_DE_PRECIOS5"/>
      <sheetName val="plan&amp;section_of_foundation2"/>
      <sheetName val="working_load_at_the_btm_ft_2"/>
      <sheetName val="stability_check2"/>
      <sheetName val="design_criteria2"/>
      <sheetName val="design_load2"/>
      <sheetName val="1100-1200-1300-1910-2140-LEV_21"/>
      <sheetName val="Material_Price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내역서1999_8최종1"/>
      <sheetName val="Closeout_Control1"/>
      <sheetName val="Currency_Rate1"/>
      <sheetName val="Unit_Price_1"/>
      <sheetName val="4-Basic_Price1"/>
      <sheetName val="Evaluasi_Penw1"/>
      <sheetName val="Man_Power_&amp;_Comp1"/>
      <sheetName val="Data_List1"/>
      <sheetName val="RAB_AR&amp;STR1"/>
      <sheetName val="PROJECT_BRIEF1"/>
      <sheetName val="내역서_耰&quot;_x005f_x005f_x005f_x0000_1"/>
      <sheetName val="내역서_耰&quot;_x005f_x005f_x005f_x005f_1"/>
      <sheetName val="내역서_耰&quot;_x005f_x0000__x00001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Sum_(Case-3)1"/>
      <sheetName val="Air_Cooler-E"/>
      <sheetName val="2__현장_자금투입_집계표"/>
      <sheetName val="내역서_(N____x000a_"/>
      <sheetName val="내역서_(N   _x000a_"/>
      <sheetName val="Tools_&amp;_Settings1"/>
      <sheetName val="Data_Summary1"/>
      <sheetName val="Crew_Costs1"/>
      <sheetName val="Spread_Costs1"/>
      <sheetName val="Unique_List_Misc1"/>
      <sheetName val="뻘N_"/>
      <sheetName val="_x000a__x0"/>
      <sheetName val="UP_MINOR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99__FWBS(Ref)"/>
      <sheetName val="99__Change_Rate"/>
      <sheetName val="In-House_Summary1"/>
      <sheetName val="Unt_rat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Discounted_Cash_Flow"/>
      <sheetName val="Ocean_Transporation_Charge"/>
      <sheetName val="Cash_Flow_bulanan"/>
      <sheetName val="H_Satuan"/>
      <sheetName val="OCT_FDN"/>
      <sheetName val="Codes_Pers1"/>
      <sheetName val="_뻘N__ࠀ역서"/>
      <sheetName val="General_Notes"/>
      <sheetName val="BO䁑-B_䁄OWN"/>
      <sheetName val="_도면_및_도서_제출목록_및_일정_170202_xlsx"/>
      <sheetName val="Direct_PMS1"/>
      <sheetName val="Aux_1"/>
      <sheetName val="Rates_&amp;_Legend"/>
      <sheetName val="Pengesahan_"/>
      <sheetName val="00-Summary_Information-ABB"/>
      <sheetName val="Harga_Satuan"/>
      <sheetName val="F_ALARM"/>
      <sheetName val="Distribution_Table"/>
      <sheetName val="2_Overall_Summary_"/>
      <sheetName val="__1"/>
      <sheetName val="_"/>
      <sheetName val="breakdown_of_wage_ra`f"/>
      <sheetName val="breakdown_of_wage_ra"/>
      <sheetName val="breakdown_of_wage_rað-"/>
      <sheetName val="Raw_data"/>
      <sheetName val="Exchange_Rate"/>
      <sheetName val="Bill_rekap"/>
      <sheetName val="차트_(2)"/>
      <sheetName val="Action_Item"/>
      <sheetName val="PABS,Site_info"/>
      <sheetName val="0__Resource　Code"/>
      <sheetName val="Material_code"/>
      <sheetName val="DATA_MENTAH"/>
      <sheetName val="breakdown_of_wage_rap"/>
      <sheetName val="내역서_耰&quot;_x005f_x0000_"/>
      <sheetName val="내역서_耰&quot;_x005f_x005f_"/>
      <sheetName val="내역서_耰&quot;_x00001"/>
      <sheetName val="Weekl"/>
      <sheetName val="Process_Data_(2)1"/>
      <sheetName val="실행집"/>
      <sheetName val="breakdown_of_wage_ra"/>
      <sheetName val="2_주요계수총괄1"/>
      <sheetName val="D1_2_COF모듈자재_입출재고_(B급)1"/>
      <sheetName val="1차_내역서"/>
      <sheetName val="건축원가"/>
      <sheetName val="건축갑지"/>
      <sheetName val="건축내역서"/>
      <sheetName val="견적보고서"/>
      <sheetName val="직종부호"/>
      <sheetName val="WEIGHT LI_x0000__x0000_"/>
      <sheetName val="JUCKEYK"/>
      <sheetName val="강교대비"/>
      <sheetName val="kjplan"/>
      <sheetName val="인원계획표"/>
      <sheetName val="예정공정표"/>
      <sheetName val="인원조직표 (2)"/>
      <sheetName val="PLAN"/>
      <sheetName val="터널조도"/>
      <sheetName val="개요"/>
      <sheetName val="본지점중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제어계측"/>
      <sheetName val="Sheet16"/>
      <sheetName val="지역개발"/>
      <sheetName val="OtherKPI"/>
      <sheetName val="기성집계표 (KRW)"/>
      <sheetName val="자재단가비교표"/>
      <sheetName val="품셈(기초)"/>
      <sheetName val="실행내역서"/>
      <sheetName val="4.2.1 마루높이 검토"/>
      <sheetName val="0226"/>
      <sheetName val="공정"/>
      <sheetName val="일위"/>
      <sheetName val="QandAJunior"/>
      <sheetName val="ENE-CAL"/>
      <sheetName val="기계경비(시간당)"/>
      <sheetName val="램머"/>
      <sheetName val="내역서(음성금왕)"/>
      <sheetName val="기성책정기준"/>
      <sheetName val="사급자재"/>
      <sheetName val="직공비"/>
      <sheetName val="grpsr2"/>
      <sheetName val="0.Lead_data"/>
      <sheetName val="손익차총괄2"/>
      <sheetName val="소화실적"/>
      <sheetName val="간접비_총괄표"/>
      <sheetName val="DATA박스"/>
      <sheetName val="콘크리트"/>
      <sheetName val="slipsumpR"/>
      <sheetName val="집계표 (CIVIL_x0000__x0000__x0000__x0000_"/>
      <sheetName val="기성내역서"/>
      <sheetName val="비계_노"/>
      <sheetName val="PW3"/>
      <sheetName val="PW4"/>
      <sheetName val="SC1"/>
      <sheetName val="합천내역"/>
      <sheetName val="SG"/>
      <sheetName val="간지"/>
      <sheetName val="CAPVC"/>
      <sheetName val="단면가정"/>
      <sheetName val="다이꾸"/>
      <sheetName val="공통비"/>
      <sheetName val="WIND-EQ"/>
      <sheetName val="TYPE-B 평균H"/>
      <sheetName val="Instruction"/>
      <sheetName val="steam table"/>
      <sheetName val="FEXS"/>
      <sheetName val="전차선로 물량표"/>
      <sheetName val="C &amp; G RHS"/>
      <sheetName val="TAREC"/>
      <sheetName val="DATE"/>
      <sheetName val="WORK-VOL"/>
      <sheetName val="member design"/>
      <sheetName val="soil bearing check"/>
      <sheetName val="1,2,3,4,5단위수량"/>
      <sheetName val="UNIT PRICES"/>
      <sheetName val="Sch.1"/>
      <sheetName val="負荷集計（断熱不燃）"/>
      <sheetName val="의뢰서"/>
      <sheetName val="COST"/>
      <sheetName val="보험료산출"/>
      <sheetName val="96보완계획7.12"/>
      <sheetName val="기술인수 산정"/>
      <sheetName val="건설사업관리비 총괄표"/>
      <sheetName val="건설사업관리비(건설)"/>
      <sheetName val="건설사업관리비(전통소)"/>
      <sheetName val="도서인쇄비 집계표"/>
      <sheetName val="손해배상공제료 산출표"/>
      <sheetName val="PSV2701F"/>
      <sheetName val="eqpmt"/>
      <sheetName val="Bin"/>
      <sheetName val="materials"/>
      <sheetName val="MANHOLE"/>
      <sheetName val="계수시트"/>
      <sheetName val="Dir-Conc "/>
      <sheetName val="G.R300경비"/>
      <sheetName val="경비2내역"/>
      <sheetName val="마감물량"/>
      <sheetName val="______C_______________________2"/>
      <sheetName val="IT투자참고"/>
      <sheetName val="MTP1"/>
      <sheetName val="건물(30년)"/>
      <sheetName val="명세12월(ZFIR4020)"/>
      <sheetName val="engineering"/>
      <sheetName val="revenue"/>
      <sheetName val="sga"/>
      <sheetName val="건축공사"/>
      <sheetName val="단면치수"/>
      <sheetName val="1.설계기준"/>
      <sheetName val="설계예시"/>
      <sheetName val="5사남"/>
      <sheetName val="데리네이타현황"/>
      <sheetName val="CVT산정"/>
      <sheetName val="통장출금액"/>
      <sheetName val="공사금액 내역 (1)"/>
      <sheetName val="SITE-E"/>
      <sheetName val="Summary (overall)"/>
      <sheetName val="공사비SUM"/>
      <sheetName val="tabulation of deductions"/>
      <sheetName val="Land Dev't. Ph-1"/>
      <sheetName val="4-Lane bridge"/>
      <sheetName val="CIM"/>
      <sheetName val="Dwg_List"/>
      <sheetName val="03-13 Anticipated"/>
      <sheetName val="03-13 Approved"/>
      <sheetName val="Others"/>
      <sheetName val="sum mdc"/>
      <sheetName val="작성기준"/>
      <sheetName val="Matls"/>
      <sheetName val="GFA"/>
      <sheetName val="Schedule S-Curve Revision#3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DESBASTE"/>
      <sheetName val="Arch"/>
      <sheetName val="costing_Misc"/>
      <sheetName val="Door &amp; Window Sched"/>
      <sheetName val="Elevations"/>
      <sheetName val="Room Sched"/>
      <sheetName val="材料マスタ"/>
      <sheetName val="FLOOR"/>
      <sheetName val="LOADDAT"/>
      <sheetName val="Parameters"/>
      <sheetName val="REBAR"/>
      <sheetName val="Bored Pile"/>
      <sheetName val="石炭性状"/>
      <sheetName val="DESBAST"/>
      <sheetName val="WTB-STAR CINEMA"/>
      <sheetName val="marpost"/>
      <sheetName val="subcquentbill"/>
      <sheetName val="aprpost"/>
      <sheetName val="janpost"/>
      <sheetName val="Ex-Rate"/>
      <sheetName val="チューブ仕様"/>
      <sheetName val="수안보-MBR1"/>
      <sheetName val="Named Range"/>
      <sheetName val="특수선일위대가"/>
      <sheetName val="Rates"/>
      <sheetName val="sumoflaborates"/>
      <sheetName val="HaulingLine hardware"/>
      <sheetName val="비품"/>
      <sheetName val="SENSITIVITAS"/>
      <sheetName val="Koordinat"/>
      <sheetName val="PDS U-1400"/>
      <sheetName val="자재단가조사표-수목"/>
      <sheetName val="RLB"/>
      <sheetName val="ANLISA K"/>
      <sheetName val="Budgetary Fixed Detector"/>
      <sheetName val="Urai _Resap pengikat"/>
      <sheetName val="Eng_Hrs"/>
      <sheetName val="HARGA MATERIAL"/>
      <sheetName val="351BQMCN"/>
      <sheetName val="Inkindo 2015"/>
      <sheetName val="Assmpns"/>
      <sheetName val="UNIT 3"/>
      <sheetName val="품셈TABLE"/>
      <sheetName val="가로등내역서"/>
      <sheetName val="지하시설물작성"/>
      <sheetName val="사다리"/>
      <sheetName val="BS_PA"/>
      <sheetName val="조립지적"/>
      <sheetName val="汇总"/>
      <sheetName val="SSL IND"/>
      <sheetName val="평가&amp;선급_미지급5"/>
      <sheetName val="SRS_월별_BS5"/>
      <sheetName val="EXC_IND4"/>
      <sheetName val="해외_기술훈련비_(합계)3"/>
      <sheetName val="COLOR별_인쇄3"/>
      <sheetName val="유효성_검사3"/>
      <sheetName val="7_수지"/>
      <sheetName val="총_원가계산"/>
      <sheetName val="Finishes_code"/>
      <sheetName val="2_223M_due_to_adj_profit"/>
      <sheetName val="bi-mnthly_rep_Villa"/>
      <sheetName val="IRR_sponsor"/>
      <sheetName val="1-2CHANGE_CONTENTS3"/>
      <sheetName val="1-3_주요사양3"/>
      <sheetName val="2_종합추진일정표3"/>
      <sheetName val="3_투자및자금조달계획3"/>
      <sheetName val="4_계정합3"/>
      <sheetName val="4-1_내자3"/>
      <sheetName val="4-2_외자3"/>
      <sheetName val="5_분야별주요투자명세3"/>
      <sheetName val="6-1_PRESS3"/>
      <sheetName val="6-2_차체3"/>
      <sheetName val="6-3_도장3"/>
      <sheetName val="6-4_조립3"/>
      <sheetName val="7_개발소요인원3"/>
      <sheetName val="8_국내외연수출장계획3"/>
      <sheetName val="9_PILOTVEHICLE소요계획_3"/>
      <sheetName val="10_START_UP_PLAN_3"/>
      <sheetName val="11_생산인원계획3"/>
      <sheetName val="12_MH-자동화3"/>
      <sheetName val="13__판매계획3"/>
      <sheetName val="14_유사실적비교(종합)3"/>
      <sheetName val="14-1__유사실적비교3"/>
      <sheetName val="2003_Bud__Vs_Act_3"/>
      <sheetName val="01_02월_성과급3"/>
      <sheetName val="Mapping_Sheet3"/>
      <sheetName val="Dropdown_Items3"/>
      <sheetName val="완성차_미수금3"/>
      <sheetName val="설내역서_"/>
      <sheetName val="원익_IPS_단가"/>
      <sheetName val="WEIGHT_LI"/>
      <sheetName val="CFS3"/>
      <sheetName val="장비명"/>
      <sheetName val="견적 (2)"/>
      <sheetName val="(건축)공종별집계표"/>
      <sheetName val="대비"/>
      <sheetName val="입찰내역"/>
      <sheetName val="热力"/>
      <sheetName val="내역서_(N _x000e__x000e__x000e_  _x0012__x0010__"/>
      <sheetName val="__-BLDG"/>
      <sheetName val="Weekl_"/>
      <sheetName val="OPT_"/>
      <sheetName val="__x001b__x0006__x0006__x0008__"/>
      <sheetName val="__x001b__x0"/>
      <sheetName val="OPT_x0012__x0010__"/>
      <sheetName val="表二"/>
      <sheetName val="表三"/>
      <sheetName val="2002년 현장공사비_x0000__x0000__x0000__x0000__x0000__x0000_"/>
      <sheetName val="내역서_(N _x000e__x000e__x000e_  _x0012__x0010_ "/>
      <sheetName val=" _x0000__x001b__x0000__x0"/>
      <sheetName val="Weekl "/>
      <sheetName val="OPT_x0012__x0000__x0010__x0000_ _x0000_"/>
      <sheetName val="OPT "/>
      <sheetName val="O_Curve"/>
      <sheetName val="mrySummary Information-ABB"/>
      <sheetName val="내역서_(N___ "/>
      <sheetName val="내역서_(N    "/>
      <sheetName val=" _x0"/>
      <sheetName val="구분자"/>
      <sheetName val="말뚝지지력산정"/>
      <sheetName val="List Equip"/>
      <sheetName val="LabCost"/>
      <sheetName val="MatCost"/>
      <sheetName val="Concrete"/>
      <sheetName val="Process C (1-166)"/>
      <sheetName val="Budget"/>
      <sheetName val="THISWORKSHEET"/>
      <sheetName val="2003SaleHC"/>
      <sheetName val="당초?∸ἀ"/>
      <sheetName val="경상비"/>
      <sheetName val="원형1호맨홀토공수량"/>
      <sheetName val="6MONTHS"/>
      <sheetName val="UC"/>
      <sheetName val="COMPARATIVE SUMMARY"/>
      <sheetName val="BOQ (typ-accent)"/>
      <sheetName val="SORT"/>
      <sheetName val="교각1"/>
      <sheetName val="울산시산표"/>
      <sheetName val="기본일위"/>
      <sheetName val="상품입고집계"/>
      <sheetName val="Droplist"/>
      <sheetName val="콘크리트타설집계표"/>
      <sheetName val="Competitors"/>
      <sheetName val="Perm. Test"/>
      <sheetName val="VS P-Q"/>
      <sheetName val="현장경비"/>
      <sheetName val="테이블"/>
      <sheetName val="수량산출서_갑지1"/>
      <sheetName val="成本7_111"/>
      <sheetName val="Bldg_Wise_Summaries_20-10-091"/>
      <sheetName val="2_대외공문1"/>
      <sheetName val="제출내역_(2)1"/>
      <sheetName val="등급별_배치기준1"/>
      <sheetName val="아파트_기성내역서"/>
      <sheetName val="표_지"/>
      <sheetName val="인원조직표_(2)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0_Lead_data"/>
      <sheetName val="4_2_1_마루높이_검토"/>
      <sheetName val="집계표_(CIVIL"/>
      <sheetName val="공용학생회관화장실"/>
      <sheetName val="JER3"/>
      <sheetName val="FraisPers"/>
      <sheetName val="경영계획1월"/>
      <sheetName val="원가(총괄)"/>
      <sheetName val="수문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 refreshError="1"/>
      <sheetData sheetId="1240"/>
      <sheetData sheetId="1241" refreshError="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/>
      <sheetData sheetId="1492"/>
      <sheetData sheetId="1493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/>
      <sheetData sheetId="2120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/>
      <sheetData sheetId="2358"/>
      <sheetData sheetId="2359"/>
      <sheetData sheetId="2360" refreshError="1"/>
      <sheetData sheetId="2361" refreshError="1"/>
      <sheetData sheetId="2362" refreshError="1"/>
      <sheetData sheetId="2363"/>
      <sheetData sheetId="2364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/>
      <sheetData sheetId="2418"/>
      <sheetData sheetId="2419"/>
      <sheetData sheetId="2420"/>
      <sheetData sheetId="242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/>
      <sheetData sheetId="3050" refreshError="1"/>
      <sheetData sheetId="3051" refreshError="1"/>
      <sheetData sheetId="3052" refreshError="1"/>
      <sheetData sheetId="3053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/>
      <sheetData sheetId="3258"/>
      <sheetData sheetId="3259"/>
      <sheetData sheetId="3260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/>
      <sheetData sheetId="3291"/>
      <sheetData sheetId="3292"/>
      <sheetData sheetId="3293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  <sheetName val="6호기"/>
      <sheetName val="선홈통"/>
      <sheetName val="공통비(전체)"/>
      <sheetName val="토목공사"/>
      <sheetName val="새공통(96임금인상기준)"/>
      <sheetName val="비교1"/>
      <sheetName val="유림총괄"/>
      <sheetName val="단가표"/>
      <sheetName val="1ST"/>
      <sheetName val="1공구Ȩ_x0000_ꠀ"/>
      <sheetName val="의뢰서"/>
      <sheetName val="프랜트면허"/>
      <sheetName val="무늬목판넬단가분석_(2)1"/>
      <sheetName val="LIST"/>
      <sheetName val="표"/>
      <sheetName val="참조_세부공종코드"/>
      <sheetName val="아파트 "/>
      <sheetName val="1공구Ȩ"/>
      <sheetName val="Option"/>
      <sheetName val="경량공사물량산출서_05.10.xlsx"/>
      <sheetName val="TRE TABLE"/>
      <sheetName val="3.공통공사대비"/>
      <sheetName val="연수동"/>
      <sheetName val="차액보증"/>
      <sheetName val="갑지(추정)"/>
      <sheetName val="실행내역"/>
      <sheetName val="1.취수장"/>
      <sheetName val="시험연구비상각"/>
      <sheetName val="견적대비표"/>
      <sheetName val="1공구Ȩ_x005f_x0000_ꠀ"/>
      <sheetName val="1공구Ȩ_x005f_x005f_x005f_x0000_ꠀ"/>
      <sheetName val="Sheet4"/>
      <sheetName val="이음정착"/>
      <sheetName val="공현기준"/>
      <sheetName val="내역표지"/>
      <sheetName val="부속동"/>
      <sheetName val="조명시설"/>
      <sheetName val="석공사"/>
      <sheetName val="소요자재"/>
      <sheetName val="1공구Ȩ_x005f_x005f_x005f_x005f_x005f_x005f_x005f_x0000_ꠀ"/>
      <sheetName val="200"/>
      <sheetName val="득점현황"/>
      <sheetName val="일위대가 (호표)"/>
      <sheetName val="와동25-3(변경)"/>
      <sheetName val="조직도"/>
      <sheetName val="인원"/>
      <sheetName val="무늬목판넬단가분석_(2)2"/>
      <sheetName val="_견적서1"/>
      <sheetName val="220_(2)1"/>
      <sheetName val="6PILE__(돌출)1"/>
      <sheetName val="전기_내역서(1차)1"/>
      <sheetName val="설산1_나1"/>
      <sheetName val="0_0ControlSheet"/>
      <sheetName val="공종별집계표_0단계"/>
      <sheetName val="Project_Brief"/>
      <sheetName val="아파트_"/>
      <sheetName val="경량공사물량산출서_05_10_xlsx"/>
      <sheetName val="TRE_TABLE"/>
      <sheetName val="3_공통공사대비"/>
      <sheetName val="1_취수장"/>
      <sheetName val="부서코드표"/>
      <sheetName val="_x0002__x0000__x0000__x0000_x"/>
      <sheetName val="_x0000__x0000__x0000__x0001__x0000__x0000__x0008_ÁD¾Ç_x0000_¬_x0008__x0000__x0001_XÕÄ³ ®_x0015_È°ÀÔX"/>
      <sheetName val=""/>
      <sheetName val="_x0002_"/>
      <sheetName val="갑지(인테리어수량산출서)"/>
      <sheetName val="정렬"/>
      <sheetName val="자재단가"/>
      <sheetName val="_x0002__x0000__x0000__x0000_x‚"/>
      <sheetName val="_x0000__x0000__x0000__x0001__x0000__x0000__x0008_ŒÁD¾Ç_x0000_¬_x0008__x0000__x0001_XÕÄ³ ®_x0015_È°ÀˆÔX"/>
      <sheetName val="Sheet186"/>
      <sheetName val="입찰내역 발주처 양식"/>
      <sheetName val="1공구Ȩ_x005f_x005f_x005f_x005f_x005f_x005f_x005f_x005f_x0"/>
      <sheetName val="입찰"/>
      <sheetName val="현경"/>
      <sheetName val="Sheet5"/>
      <sheetName val="공통가설"/>
      <sheetName val="Details"/>
      <sheetName val="_x005f_x0002__x005f_x0000__x005f_x0000__x005f_x0000_x"/>
      <sheetName val="_x005f_x0000__x005f_x0000__x005f_x0000__x005f_x0001__x0"/>
      <sheetName val="_x005f_x0002_"/>
      <sheetName val="TOWER 12TON"/>
      <sheetName val="TOWER 10TON"/>
      <sheetName val="JIB CRANE,HOIST"/>
      <sheetName val="96노임기준"/>
      <sheetName val="약품공급2"/>
      <sheetName val="Sheet3"/>
      <sheetName val="_x0000__x0000__x0000__x0001__x0000__x0000__x0008_ÁD¾Ç_x0000_¬_x0008__x0000__x0001_XÕÄ³_x0009_®_x0015_È°ÀÔX"/>
      <sheetName val="무늬목판넬단가분석_(2)3"/>
      <sheetName val="_견적서2"/>
      <sheetName val="220_(2)2"/>
      <sheetName val="6PILE__(돌출)2"/>
      <sheetName val="전기_내역서(1차)2"/>
      <sheetName val="설산1_나2"/>
      <sheetName val="0_0ControlSheet1"/>
      <sheetName val="공종별집계표_0단계1"/>
      <sheetName val="Project_Brief1"/>
      <sheetName val="아파트_1"/>
      <sheetName val="경량공사물량산출서_05_10_xlsx1"/>
      <sheetName val="TRE_TABLE1"/>
      <sheetName val="3_공통공사대비1"/>
      <sheetName val="1_취수장1"/>
      <sheetName val="일위대가_(호표)"/>
      <sheetName val="x"/>
      <sheetName val="ÁD¾Ç¬XÕÄ³_®È°ÀÔX"/>
      <sheetName val="입찰내역_발주처_양식"/>
      <sheetName val="을지"/>
      <sheetName val="MTO REV.2(ARMOR)"/>
      <sheetName val="시산표"/>
      <sheetName val="노임단가"/>
      <sheetName val="6MONTHS"/>
      <sheetName val="F4-F7"/>
      <sheetName val="RAB AR&amp;STR"/>
      <sheetName val="몰탈콘크리트"/>
      <sheetName val="철근집계"/>
      <sheetName val="98지급계획"/>
      <sheetName val="발주현황"/>
      <sheetName val="B동내역"/>
      <sheetName val="#3_일위대가목록"/>
      <sheetName val="품셈"/>
      <sheetName val="실행내역서"/>
      <sheetName val="본선 토공 분배표"/>
      <sheetName val="8.PILE  (돌출)"/>
      <sheetName val="무늬목판넬단가분석_(2)4"/>
      <sheetName val="_견적서3"/>
      <sheetName val="220_(2)3"/>
      <sheetName val="6PILE__(돌출)3"/>
      <sheetName val="전기_내역서(1차)3"/>
      <sheetName val="설산1_나3"/>
      <sheetName val="0_0ControlSheet2"/>
      <sheetName val="공종별집계표_0단계2"/>
      <sheetName val="Project_Brief2"/>
      <sheetName val="아파트_2"/>
      <sheetName val="경량공사물량산출서_05_10_xlsx2"/>
      <sheetName val="TRE_TABLE2"/>
      <sheetName val="3_공통공사대비2"/>
      <sheetName val="1_취수장2"/>
      <sheetName val="일위대가_(호표)1"/>
      <sheetName val="입찰내역_발주처_양식1"/>
      <sheetName val="x‚"/>
      <sheetName val="ŒÁD¾Ç¬XÕÄ³_®È°ÀˆÔX"/>
      <sheetName val="TOWER_12TON"/>
      <sheetName val="TOWER_10TON"/>
      <sheetName val="JIB_CRANE,HOIST"/>
      <sheetName val="ÁD¾Ç¬XÕÄ³ ®È°ÀÔX"/>
      <sheetName val="공사요율"/>
      <sheetName val="MTO_REV_2(ARMOR)"/>
      <sheetName val="RAB_AR&amp;STR"/>
      <sheetName val="본선_토공_분배표"/>
      <sheetName val="급수 (LPM)"/>
      <sheetName val=" 냉각수펌프"/>
      <sheetName val="프로젝트"/>
      <sheetName val="답십리"/>
      <sheetName val="영등포1"/>
      <sheetName val="영등포-1"/>
      <sheetName val="길음7"/>
      <sheetName val="Repair"/>
      <sheetName val="Consumable"/>
      <sheetName val="Spare parts"/>
      <sheetName val="Recondition"/>
      <sheetName val="기본원칙"/>
      <sheetName val="주요지표"/>
      <sheetName val=" PL"/>
      <sheetName val="매출액명세"/>
      <sheetName val="매출원가명세"/>
      <sheetName val="매출이익명세"/>
      <sheetName val="인력계획"/>
      <sheetName val="인건비"/>
      <sheetName val="판관비-공통"/>
      <sheetName val="판관비-기타경비명세"/>
      <sheetName val="기타&amp;특별수지 명세"/>
      <sheetName val="매출채권산출"/>
      <sheetName val="재고자산산출"/>
      <sheetName val="수입계획"/>
      <sheetName val="매입채무산출"/>
      <sheetName val="투자계획"/>
      <sheetName val="이자비용"/>
      <sheetName val="BS"/>
      <sheetName val="BS계정"/>
      <sheetName val="ROIC"/>
      <sheetName val=" Cash Flow"/>
      <sheetName val="Sensible Indicator"/>
      <sheetName val="10현장조직"/>
      <sheetName val="전제조건"/>
      <sheetName val="관로내역원"/>
      <sheetName val="간지"/>
      <sheetName val="2006년 제조경비 추정"/>
      <sheetName val="제조경비 계획"/>
      <sheetName val="2006년 일반관리비 추정"/>
      <sheetName val="일반관리비계획"/>
      <sheetName val="지급수수료"/>
      <sheetName val="제작비"/>
      <sheetName val="잡급 (일반)"/>
      <sheetName val="복리후생비 (일반)"/>
      <sheetName val="여비교통비 (일반)"/>
      <sheetName val="통신비 (일반)"/>
      <sheetName val="세금과공과 (일반)"/>
      <sheetName val="지급임차료 (일반)"/>
      <sheetName val="감가상각비 (일반)"/>
      <sheetName val="수선비 (일반)"/>
      <sheetName val="보험료 (일반)"/>
      <sheetName val="접대비 (일반)"/>
      <sheetName val="광고선전비(일반)"/>
      <sheetName val="지급수수료 (일반)"/>
      <sheetName val="교육훈련비 (일반)"/>
      <sheetName val="도서인쇄비 (일반)"/>
      <sheetName val="사무비 (일반)"/>
      <sheetName val="소모품비 (일반)"/>
      <sheetName val="운반비 (일반)"/>
      <sheetName val="지급용역비 (일반)"/>
      <sheetName val="2000년1차"/>
      <sheetName val="2000전체분"/>
      <sheetName val="RE9604"/>
      <sheetName val="자금운용계획표"/>
      <sheetName val="자료"/>
      <sheetName val="101동"/>
      <sheetName val="조립지적"/>
      <sheetName val="해외 기술훈련비 (합계)"/>
      <sheetName val="첨부1"/>
      <sheetName val="Assumption"/>
      <sheetName val="종가"/>
      <sheetName val="당월금액"/>
      <sheetName val="자금운용표"/>
      <sheetName val="조명율표"/>
      <sheetName val="1유리"/>
      <sheetName val="재료집계표3"/>
      <sheetName val="매입"/>
      <sheetName val="지질조사"/>
      <sheetName val="견적조건"/>
      <sheetName val="잡철물"/>
      <sheetName val="조명일위"/>
      <sheetName val="세부내역"/>
      <sheetName val="비교손익계산서"/>
      <sheetName val="97출고현황(SEC)"/>
      <sheetName val="97입고현황(사내)"/>
      <sheetName val="97출고현황(매출분)"/>
      <sheetName val="채권채무조회서CS"/>
      <sheetName val="점유현황"/>
      <sheetName val="회사정보"/>
      <sheetName val="982월원안"/>
      <sheetName val="DATE"/>
      <sheetName val="8월차잔"/>
      <sheetName val="99총공사내역서"/>
      <sheetName val="controll"/>
      <sheetName val="1 자원총괄"/>
      <sheetName val="#REF!"/>
      <sheetName val="2000.05"/>
      <sheetName val="99년하반기"/>
      <sheetName val="호봉피치"/>
      <sheetName val="견적"/>
      <sheetName val="수 량 명 세 서 - 1"/>
      <sheetName val="4.전기"/>
      <sheetName val="설비2차"/>
      <sheetName val="배수내역"/>
      <sheetName val="D-623D"/>
      <sheetName val="member design"/>
      <sheetName val="무늬목판넬단가분석_(2)5"/>
      <sheetName val="_견적서4"/>
      <sheetName val="220_(2)4"/>
      <sheetName val="설산1_나4"/>
      <sheetName val="6PILE__(돌출)4"/>
      <sheetName val="전기_내역서(1차)4"/>
      <sheetName val="0_0ControlSheet3"/>
      <sheetName val="공종별집계표_0단계3"/>
      <sheetName val="Project_Brief3"/>
      <sheetName val="아파트_3"/>
      <sheetName val="경량공사물량산출서_05_10_xlsx3"/>
      <sheetName val="TRE_TABLE3"/>
      <sheetName val="3_공통공사대비3"/>
      <sheetName val="1_취수장3"/>
      <sheetName val="일위대가_(호표)2"/>
      <sheetName val="입찰내역_발주처_양식2"/>
      <sheetName val="TOWER_12TON1"/>
      <sheetName val="TOWER_10TON1"/>
      <sheetName val="JIB_CRANE,HOIST1"/>
      <sheetName val="MTO_REV_2(ARMOR)1"/>
      <sheetName val="RAB_AR&amp;STR1"/>
      <sheetName val="본선_토공_분배표1"/>
      <sheetName val="8_PILE__(돌출)"/>
      <sheetName val="ÁD¾Ç¬XÕÄ³_®È°ÀÔX1"/>
      <sheetName val="급수_(LPM)"/>
      <sheetName val="_냉각수펌프"/>
      <sheetName val="예가표"/>
      <sheetName val="VS P-Q"/>
      <sheetName val="상반기손익차2총괄"/>
      <sheetName val="1공구Ȩ_x005f_x005f_x005f_x005f_x0"/>
      <sheetName val="_x0000__x0000__x0000__x0001__x0"/>
      <sheetName val="Eq. Mobilization"/>
      <sheetName val="남양시작동자105노65기1.3화1.2"/>
      <sheetName val="J直材4"/>
      <sheetName val="표지"/>
      <sheetName val="직재"/>
      <sheetName val="I一般比"/>
      <sheetName val="설직재-1"/>
      <sheetName val="工완성공사율"/>
      <sheetName val="일위"/>
      <sheetName val="일위대가(4층원격)"/>
      <sheetName val="일위대가목록"/>
      <sheetName val="Book4"/>
      <sheetName val="2F 회의실견적(5_14 일대)"/>
      <sheetName val="FAB별"/>
      <sheetName val="참고용"/>
      <sheetName val="무늬목판넬단가분석_(2)6"/>
      <sheetName val="_견적서5"/>
      <sheetName val="220_(2)5"/>
      <sheetName val="6PILE__(돌출)5"/>
      <sheetName val="전기_내역서(1차)5"/>
      <sheetName val="설산1_나5"/>
      <sheetName val="0_0ControlSheet4"/>
      <sheetName val="공종별집계표_0단계4"/>
      <sheetName val="Project_Brief4"/>
      <sheetName val="아파트_4"/>
      <sheetName val="경량공사물량산출서_05_10_xlsx4"/>
      <sheetName val="TRE_TABLE4"/>
      <sheetName val="3_공통공사대비4"/>
      <sheetName val="1_취수장4"/>
      <sheetName val="일위대가_(호표)3"/>
      <sheetName val="입찰내역_발주처_양식3"/>
      <sheetName val="TOWER_12TON2"/>
      <sheetName val="TOWER_10TON2"/>
      <sheetName val="JIB_CRANE,HOIST2"/>
      <sheetName val="MTO_REV_2(ARMOR)2"/>
      <sheetName val="RAB_AR&amp;STR2"/>
      <sheetName val="본선_토공_분배표2"/>
      <sheetName val="8_PILE__(돌출)1"/>
      <sheetName val="ÁD¾Ç¬XÕÄ³_®È°ÀÔX2"/>
      <sheetName val="급수_(LPM)1"/>
      <sheetName val="_냉각수펌프1"/>
      <sheetName val="Spare_parts"/>
      <sheetName val="_PL"/>
      <sheetName val="기타&amp;특별수지_명세"/>
      <sheetName val="_Cash_Flow"/>
      <sheetName val="Sensible_Indicator"/>
      <sheetName val="2006년_제조경비_추정"/>
      <sheetName val="제조경비_계획"/>
      <sheetName val="2006년_일반관리비_추정"/>
      <sheetName val="잡급_(일반)"/>
      <sheetName val="복리후생비_(일반)"/>
      <sheetName val="여비교통비_(일반)"/>
      <sheetName val="통신비_(일반)"/>
      <sheetName val="세금과공과_(일반)"/>
      <sheetName val="지급임차료_(일반)"/>
      <sheetName val="감가상각비_(일반)"/>
      <sheetName val="수선비_(일반)"/>
      <sheetName val="보험료_(일반)"/>
      <sheetName val="접대비_(일반)"/>
      <sheetName val="지급수수료_(일반)"/>
      <sheetName val="교육훈련비_(일반)"/>
      <sheetName val="도서인쇄비_(일반)"/>
      <sheetName val="사무비_(일반)"/>
      <sheetName val="소모품비_(일반)"/>
      <sheetName val="운반비_(일반)"/>
      <sheetName val="지급용역비_(일반)"/>
      <sheetName val="해외_기술훈련비_(합계)"/>
      <sheetName val="1_자원총괄"/>
      <sheetName val="2000_05"/>
      <sheetName val="수_량_명_세_서_-_1"/>
      <sheetName val="4_전기"/>
      <sheetName val="member_design"/>
      <sheetName val="무늬목판넬단가분석_(2)8"/>
      <sheetName val="_견적서7"/>
      <sheetName val="220_(2)7"/>
      <sheetName val="6PILE__(돌출)7"/>
      <sheetName val="전기_내역서(1차)7"/>
      <sheetName val="설산1_나7"/>
      <sheetName val="0_0ControlSheet6"/>
      <sheetName val="공종별집계표_0단계6"/>
      <sheetName val="Project_Brief6"/>
      <sheetName val="아파트_6"/>
      <sheetName val="경량공사물량산출서_05_10_xlsx6"/>
      <sheetName val="TRE_TABLE6"/>
      <sheetName val="3_공통공사대비6"/>
      <sheetName val="1_취수장6"/>
      <sheetName val="일위대가_(호표)5"/>
      <sheetName val="입찰내역_발주처_양식5"/>
      <sheetName val="TOWER_12TON4"/>
      <sheetName val="TOWER_10TON4"/>
      <sheetName val="JIB_CRANE,HOIST4"/>
      <sheetName val="MTO_REV_2(ARMOR)4"/>
      <sheetName val="RAB_AR&amp;STR4"/>
      <sheetName val="ÁD¾Ç¬XÕÄ³_®È°ÀÔX4"/>
      <sheetName val="8_PILE__(돌출)3"/>
      <sheetName val="본선_토공_분배표4"/>
      <sheetName val="급수_(LPM)3"/>
      <sheetName val="_냉각수펌프3"/>
      <sheetName val="Spare_parts2"/>
      <sheetName val="_PL2"/>
      <sheetName val="기타&amp;특별수지_명세2"/>
      <sheetName val="_Cash_Flow2"/>
      <sheetName val="Sensible_Indicator2"/>
      <sheetName val="2006년_제조경비_추정2"/>
      <sheetName val="제조경비_계획2"/>
      <sheetName val="2006년_일반관리비_추정2"/>
      <sheetName val="잡급_(일반)2"/>
      <sheetName val="복리후생비_(일반)2"/>
      <sheetName val="여비교통비_(일반)2"/>
      <sheetName val="통신비_(일반)2"/>
      <sheetName val="세금과공과_(일반)2"/>
      <sheetName val="지급임차료_(일반)2"/>
      <sheetName val="감가상각비_(일반)2"/>
      <sheetName val="수선비_(일반)2"/>
      <sheetName val="보험료_(일반)2"/>
      <sheetName val="접대비_(일반)2"/>
      <sheetName val="지급수수료_(일반)2"/>
      <sheetName val="교육훈련비_(일반)2"/>
      <sheetName val="도서인쇄비_(일반)2"/>
      <sheetName val="사무비_(일반)2"/>
      <sheetName val="소모품비_(일반)2"/>
      <sheetName val="운반비_(일반)2"/>
      <sheetName val="지급용역비_(일반)2"/>
      <sheetName val="해외_기술훈련비_(합계)2"/>
      <sheetName val="1_자원총괄2"/>
      <sheetName val="2000_052"/>
      <sheetName val="수_량_명_세_서_-_12"/>
      <sheetName val="4_전기2"/>
      <sheetName val="member_design2"/>
      <sheetName val="남양시작동자105노65기1_3화1_22"/>
      <sheetName val="VS_P-Q2"/>
      <sheetName val="Eq__Mobilization2"/>
      <sheetName val="남양시작동자105노65기1_3화1_2"/>
      <sheetName val="VS_P-Q"/>
      <sheetName val="Eq__Mobilization"/>
      <sheetName val="무늬목판넬단가분석_(2)7"/>
      <sheetName val="_견적서6"/>
      <sheetName val="220_(2)6"/>
      <sheetName val="6PILE__(돌출)6"/>
      <sheetName val="전기_내역서(1차)6"/>
      <sheetName val="설산1_나6"/>
      <sheetName val="0_0ControlSheet5"/>
      <sheetName val="공종별집계표_0단계5"/>
      <sheetName val="Project_Brief5"/>
      <sheetName val="아파트_5"/>
      <sheetName val="경량공사물량산출서_05_10_xlsx5"/>
      <sheetName val="TRE_TABLE5"/>
      <sheetName val="3_공통공사대비5"/>
      <sheetName val="1_취수장5"/>
      <sheetName val="일위대가_(호표)4"/>
      <sheetName val="입찰내역_발주처_양식4"/>
      <sheetName val="TOWER_12TON3"/>
      <sheetName val="TOWER_10TON3"/>
      <sheetName val="JIB_CRANE,HOIST3"/>
      <sheetName val="MTO_REV_2(ARMOR)3"/>
      <sheetName val="RAB_AR&amp;STR3"/>
      <sheetName val="ÁD¾Ç¬XÕÄ³_®È°ÀÔX3"/>
      <sheetName val="8_PILE__(돌출)2"/>
      <sheetName val="본선_토공_분배표3"/>
      <sheetName val="급수_(LPM)2"/>
      <sheetName val="_냉각수펌프2"/>
      <sheetName val="Spare_parts1"/>
      <sheetName val="_PL1"/>
      <sheetName val="기타&amp;특별수지_명세1"/>
      <sheetName val="_Cash_Flow1"/>
      <sheetName val="Sensible_Indicator1"/>
      <sheetName val="2006년_제조경비_추정1"/>
      <sheetName val="제조경비_계획1"/>
      <sheetName val="2006년_일반관리비_추정1"/>
      <sheetName val="잡급_(일반)1"/>
      <sheetName val="복리후생비_(일반)1"/>
      <sheetName val="여비교통비_(일반)1"/>
      <sheetName val="통신비_(일반)1"/>
      <sheetName val="세금과공과_(일반)1"/>
      <sheetName val="지급임차료_(일반)1"/>
      <sheetName val="감가상각비_(일반)1"/>
      <sheetName val="수선비_(일반)1"/>
      <sheetName val="보험료_(일반)1"/>
      <sheetName val="접대비_(일반)1"/>
      <sheetName val="지급수수료_(일반)1"/>
      <sheetName val="교육훈련비_(일반)1"/>
      <sheetName val="도서인쇄비_(일반)1"/>
      <sheetName val="사무비_(일반)1"/>
      <sheetName val="소모품비_(일반)1"/>
      <sheetName val="운반비_(일반)1"/>
      <sheetName val="지급용역비_(일반)1"/>
      <sheetName val="해외_기술훈련비_(합계)1"/>
      <sheetName val="1_자원총괄1"/>
      <sheetName val="2000_051"/>
      <sheetName val="수_량_명_세_서_-_11"/>
      <sheetName val="4_전기1"/>
      <sheetName val="member_design1"/>
      <sheetName val="남양시작동자105노65기1_3화1_21"/>
      <sheetName val="VS_P-Q1"/>
      <sheetName val="Eq__Mobilization1"/>
      <sheetName val="지급제한자"/>
      <sheetName val="1공구Ȩ_x005f_x005f_x0"/>
      <sheetName val="당사"/>
      <sheetName val="원가계산서"/>
      <sheetName val="시설이용권명세서"/>
      <sheetName val="강교(Sub)"/>
      <sheetName val="대,유,램"/>
      <sheetName val="DATA1"/>
      <sheetName val="물가정보"/>
      <sheetName val="정부노임"/>
      <sheetName val="소야공정계획표"/>
      <sheetName val="B"/>
      <sheetName val="변경내역대비표(2)"/>
      <sheetName val="INPUT"/>
      <sheetName val="내2"/>
      <sheetName val="10매출"/>
      <sheetName val="무늬목판넬단가분석_(2)9"/>
      <sheetName val="_견적서8"/>
      <sheetName val="220_(2)8"/>
      <sheetName val="6PILE__(돌출)8"/>
      <sheetName val="전기_내역서(1차)8"/>
      <sheetName val="설산1_나8"/>
      <sheetName val="0_0ControlSheet7"/>
      <sheetName val="공종별집계표_0단계7"/>
      <sheetName val="Project_Brief7"/>
      <sheetName val="아파트_7"/>
      <sheetName val="경량공사물량산출서_05_10_xlsx7"/>
      <sheetName val="TRE_TABLE7"/>
      <sheetName val="3_공통공사대비7"/>
      <sheetName val="1_취수장7"/>
      <sheetName val="일위대가_(호표)6"/>
      <sheetName val="입찰내역_발주처_양식6"/>
      <sheetName val="TOWER_12TON5"/>
      <sheetName val="TOWER_10TON5"/>
      <sheetName val="JIB_CRANE,HOIST5"/>
      <sheetName val="MTO_REV_2(ARMOR)5"/>
      <sheetName val="RAB_AR&amp;STR5"/>
      <sheetName val="본선_토공_분배표5"/>
      <sheetName val="급수_(LPM)4"/>
      <sheetName val="_냉각수펌프4"/>
      <sheetName val="8_PILE__(돌출)4"/>
      <sheetName val="ÁD¾Ç¬XÕÄ³_®È°ÀÔX5"/>
      <sheetName val="Spare_parts3"/>
      <sheetName val="_PL3"/>
      <sheetName val="기타&amp;특별수지_명세3"/>
      <sheetName val="_Cash_Flow3"/>
      <sheetName val="Sensible_Indicator3"/>
      <sheetName val="2006년_제조경비_추정3"/>
      <sheetName val="제조경비_계획3"/>
      <sheetName val="2006년_일반관리비_추정3"/>
      <sheetName val="잡급_(일반)3"/>
      <sheetName val="복리후생비_(일반)3"/>
      <sheetName val="여비교통비_(일반)3"/>
      <sheetName val="통신비_(일반)3"/>
      <sheetName val="세금과공과_(일반)3"/>
      <sheetName val="지급임차료_(일반)3"/>
      <sheetName val="감가상각비_(일반)3"/>
      <sheetName val="수선비_(일반)3"/>
      <sheetName val="보험료_(일반)3"/>
      <sheetName val="접대비_(일반)3"/>
      <sheetName val="지급수수료_(일반)3"/>
      <sheetName val="교육훈련비_(일반)3"/>
      <sheetName val="도서인쇄비_(일반)3"/>
      <sheetName val="사무비_(일반)3"/>
      <sheetName val="소모품비_(일반)3"/>
      <sheetName val="운반비_(일반)3"/>
      <sheetName val="지급용역비_(일반)3"/>
      <sheetName val="해외_기술훈련비_(합계)3"/>
      <sheetName val="1_자원총괄3"/>
      <sheetName val="2000_053"/>
      <sheetName val="수_량_명_세_서_-_13"/>
      <sheetName val="4_전기3"/>
      <sheetName val="member_design3"/>
      <sheetName val="VS_P-Q3"/>
      <sheetName val="Eq__Mobilization3"/>
      <sheetName val="_x0"/>
      <sheetName val="남양시작동자105노65기1_3화1_23"/>
      <sheetName val="2F_회의실견적(5_14_일대)"/>
      <sheetName val="설계조건"/>
      <sheetName val="손익합산"/>
      <sheetName val="견적 (2)"/>
      <sheetName val="_x005f_x0002__x005f_x0000__x005f_x0000__x005f_x0000_x‚"/>
      <sheetName val="_x005f_x005f_x005f_x0002__x005f_x005f_x005f_x0000__x005"/>
      <sheetName val="_x005f_x005f_x005f_x0000__x005f_x005f_x005f_x0000__x005"/>
      <sheetName val="_x005f_x005f_x005f_x0002_"/>
      <sheetName val="Sheet1 (2)"/>
      <sheetName val="준검 내역서"/>
      <sheetName val="은행"/>
      <sheetName val="1공구Ȩ?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  <sheetName val="내역서"/>
      <sheetName val="Sheet9"/>
      <sheetName val="전기자료"/>
      <sheetName val="Sheet14"/>
      <sheetName val="Sheet10"/>
      <sheetName val="Sheet13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PROJECT_BRIEF(EX_NEW)"/>
      <sheetName val="목표세부명세"/>
      <sheetName val="★"/>
      <sheetName val="도급 내역서"/>
      <sheetName val="카메라3"/>
      <sheetName val="금액내역서"/>
      <sheetName val="원가계산서"/>
      <sheetName val="총괄내역서"/>
      <sheetName val="노무비목록표"/>
      <sheetName val="자재단가대비표"/>
      <sheetName val="중기목록표"/>
      <sheetName val="기계경비"/>
      <sheetName val="단가산출근거목록표"/>
      <sheetName val="내역산근"/>
      <sheetName val="총괄내역서 (2)"/>
      <sheetName val="내역서 (2)"/>
      <sheetName val="일위대가목록표"/>
      <sheetName val="일위대가"/>
      <sheetName val="일위대가 (2)"/>
      <sheetName val="내역산근 (2)"/>
      <sheetName val="약품공급2"/>
      <sheetName val="연돌일위집계"/>
      <sheetName val="세대내부"/>
      <sheetName val="0226"/>
      <sheetName val="1ST"/>
      <sheetName val="PROJECT BRIEF"/>
      <sheetName val="골조시행"/>
      <sheetName val="결과조달"/>
      <sheetName val="변경내역대비표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  <sheetName val="품목"/>
      <sheetName val="PIPE"/>
      <sheetName val="FLANGE"/>
      <sheetName val="VALVE"/>
      <sheetName val="철골공사"/>
      <sheetName val="구성비"/>
      <sheetName val="공통비(전체)"/>
      <sheetName val="토목공사"/>
      <sheetName val="새공통(96임금인상기준)"/>
      <sheetName val="비교1"/>
      <sheetName val="유림총괄"/>
      <sheetName val="부대공"/>
      <sheetName val="원가서"/>
      <sheetName val="자금운용계획표"/>
      <sheetName val="국내총괄"/>
      <sheetName val="특판제외"/>
      <sheetName val="건축원가"/>
      <sheetName val="5사남"/>
      <sheetName val="020114"/>
      <sheetName val="0111월"/>
      <sheetName val="양식3"/>
      <sheetName val="퇴충"/>
      <sheetName val="요약PL"/>
      <sheetName val="FAB"/>
      <sheetName val="수지"/>
      <sheetName val="시화점실행"/>
      <sheetName val="설치원가"/>
      <sheetName val="인원계획-미화"/>
      <sheetName val="일위(PN)"/>
      <sheetName val="1.본사계정별"/>
      <sheetName val="YES-T"/>
      <sheetName val="P-산#1-1(WOWA1)"/>
      <sheetName val="전도품의"/>
      <sheetName val="감가상각비"/>
      <sheetName val="BAND(200)"/>
      <sheetName val="OUTER AREA(겹침없음)"/>
      <sheetName val="EG-09"/>
      <sheetName val="M3산출"/>
      <sheetName val="EL 표면적"/>
      <sheetName val="양식(직판용)"/>
      <sheetName val="部署名"/>
      <sheetName val="車両別燃費及び油類単価"/>
      <sheetName val="1_종합손익(도급)1"/>
      <sheetName val="推移グラフ"/>
      <sheetName val="조정내역"/>
      <sheetName val="Year"/>
      <sheetName val="Prices"/>
      <sheetName val="CF6"/>
      <sheetName val="FRQ"/>
      <sheetName val="기준"/>
      <sheetName val="Sheet4"/>
      <sheetName val="주행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KAM설비"/>
      <sheetName val="시산표"/>
      <sheetName val="목록"/>
      <sheetName val="중기"/>
      <sheetName val="연돌일위집계"/>
      <sheetName val="월별예산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음료실행"/>
      <sheetName val="내역(한신APT)"/>
      <sheetName val="합천내역"/>
      <sheetName val="전기단가조사서"/>
      <sheetName val="Training"/>
      <sheetName val="General"/>
      <sheetName val="Instructions"/>
      <sheetName val="People"/>
      <sheetName val="Quality"/>
      <sheetName val="Risk"/>
      <sheetName val="A"/>
      <sheetName val="Facility Information"/>
      <sheetName val="주차"/>
      <sheetName val="자재목록"/>
      <sheetName val="터파기및재료"/>
      <sheetName val="3본사"/>
      <sheetName val="98지급계획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Cover"/>
      <sheetName val="목차"/>
      <sheetName val="기본원칙"/>
      <sheetName val="예산전제"/>
      <sheetName val="직재"/>
      <sheetName val="PAD TR보호대기초"/>
      <sheetName val="HANDHOLE(2)"/>
      <sheetName val="가로등기초"/>
      <sheetName val="상가지급현황"/>
      <sheetName val="공사내역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FB25JN"/>
      <sheetName val="BOX-1510"/>
      <sheetName val="도"/>
      <sheetName val="의정부문예회관변경내역"/>
      <sheetName val="125PIECE"/>
      <sheetName val="건축2"/>
      <sheetName val="22철거수량"/>
      <sheetName val="분전함신설"/>
      <sheetName val="접지1종"/>
      <sheetName val="1. 시공측량"/>
      <sheetName val="설계명세서(선로)"/>
      <sheetName val="原価センタ"/>
      <sheetName val="Data Validation"/>
      <sheetName val="_x005f_x0018__x005f_x0000_"/>
      <sheetName val="경비2내역"/>
      <sheetName val="근거 및 가정"/>
      <sheetName val="2 카드채권(대출포함)"/>
      <sheetName val="_x0018_?"/>
      <sheetName val="부하(성남)"/>
      <sheetName val="15년"/>
      <sheetName val="16년"/>
      <sheetName val="Sheet5"/>
      <sheetName val="납부내역총괄표 (수정)"/>
      <sheetName val="감액총괄표"/>
      <sheetName val="9GNG운반"/>
      <sheetName val="수종별수량 (2)"/>
      <sheetName val="구간별수량"/>
      <sheetName val="118.세금과공과"/>
      <sheetName val="수선비"/>
      <sheetName val="기초"/>
      <sheetName val="재무상태표"/>
      <sheetName val="총괄표"/>
      <sheetName val="배수공"/>
      <sheetName val="공사비예산서(토목분)"/>
      <sheetName val="노동부"/>
      <sheetName val="전선 및 전선관"/>
      <sheetName val="연습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본문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ETC"/>
      <sheetName val="95하U$가격"/>
      <sheetName val="3.6.2남양주택배"/>
      <sheetName val="Manual"/>
      <sheetName val="Back Data 1"/>
      <sheetName val="__"/>
      <sheetName val="판가반영"/>
      <sheetName val="수량산출"/>
      <sheetName val="개산공사비"/>
      <sheetName val="견적"/>
      <sheetName val="기둥(원형)"/>
      <sheetName val="최적단면"/>
      <sheetName val="일위대가(계측기설치)"/>
      <sheetName val="전체철근집계"/>
      <sheetName val="슬래԰"/>
      <sheetName val="슬래"/>
      <sheetName val="슬래렀"/>
      <sheetName val="슬래㰀"/>
      <sheetName val="슬래밀"/>
      <sheetName val="선급비용"/>
      <sheetName val="접대비"/>
      <sheetName val="해외 기술훈련비 (합계)"/>
      <sheetName val="최소가치(간편)-회계"/>
      <sheetName val="회사제시"/>
      <sheetName val="소총괄표"/>
      <sheetName val="아파트연면적비율(참고1)"/>
      <sheetName val="1월 예산"/>
      <sheetName val="슬래　"/>
      <sheetName val="슬래尀"/>
      <sheetName val="슬래⠀"/>
      <sheetName val="슬래"/>
      <sheetName val="슬래堌"/>
      <sheetName val="슬래䰀"/>
      <sheetName val="슬래簀"/>
      <sheetName val="슬래퀀"/>
      <sheetName val="슬래뀀"/>
      <sheetName val="슬래瀀"/>
      <sheetName val="슬래鰀"/>
      <sheetName val="BD%_70s"/>
      <sheetName val="11월"/>
      <sheetName val="특외대"/>
      <sheetName val=" 견적서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기초정보"/>
      <sheetName val="#1) 투자 구분"/>
      <sheetName val="선평원내역"/>
      <sheetName val="BID"/>
      <sheetName val="식재품셈"/>
      <sheetName val="Master"/>
      <sheetName val="Macro1"/>
      <sheetName val="설문 평가"/>
      <sheetName val="Weekly Progress(계장)"/>
      <sheetName val="수량산출내역1115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청천내"/>
      <sheetName val="현장경비"/>
      <sheetName val="데이타"/>
      <sheetName val="세금자료"/>
      <sheetName val="1_종합손익(도급)4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입찰내역_발주처_양식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Facility_Information"/>
      <sheetName val="sum_x0008__x0000__x000d__x0000__x0006__x0000_"/>
      <sheetName val="Ѐ܀ऀ܀؀਀؀Ԁ̀Ѐ̀Ѐࠀ܀ఀ؀܀"/>
      <sheetName val="RAW"/>
      <sheetName val="배열수식"/>
      <sheetName val="1월~9월"/>
      <sheetName val="Utility Usage YTN TOWER"/>
      <sheetName val="공정"/>
      <sheetName val="sheet6"/>
      <sheetName val="화전내"/>
      <sheetName val="명단원자료(이전)"/>
      <sheetName val="소야공정계획표"/>
      <sheetName val="인수기간별S"/>
      <sheetName val="본부유지율"/>
      <sheetName val="4-2물건누계"/>
      <sheetName val="자동차추정자료"/>
      <sheetName val="손해감소유형"/>
      <sheetName val="7"/>
      <sheetName val="품목코드표"/>
      <sheetName val="Data_Validation"/>
      <sheetName val="B-1.기본정보"/>
      <sheetName val="부서별집계표"/>
      <sheetName val="금년실적"/>
      <sheetName val="Bond"/>
      <sheetName val="원본"/>
      <sheetName val="要員用master"/>
      <sheetName val="선택창"/>
      <sheetName val="외주현황.wq1"/>
      <sheetName val="TB"/>
      <sheetName val="PL"/>
      <sheetName val="CS"/>
      <sheetName val="예산계정INDEX"/>
      <sheetName val="환율change"/>
      <sheetName val="항목"/>
      <sheetName val="RE"/>
      <sheetName val="FP"/>
      <sheetName val="대투_보관자료 변경"/>
      <sheetName val="내수자재"/>
      <sheetName val="손익실적"/>
      <sheetName val="손익실적(매출원가)"/>
      <sheetName val="당년사별실적"/>
      <sheetName val="VXXXX"/>
      <sheetName val="탄산"/>
      <sheetName val="IS"/>
      <sheetName val="일반관리비"/>
      <sheetName val="보고서"/>
      <sheetName val="원가1"/>
      <sheetName val="원가2"/>
      <sheetName val="U_TYPE_1_"/>
      <sheetName val="表21_净利润夐#奜#"/>
      <sheetName val="날개수량1.5"/>
      <sheetName val="MAT"/>
      <sheetName val="1"/>
      <sheetName val="EP0618"/>
      <sheetName val="98수문일위"/>
      <sheetName val="종단계산"/>
      <sheetName val="산출근거(S4)"/>
      <sheetName val="2013.2월 연결대상"/>
      <sheetName val="BS_Package_내부거래"/>
      <sheetName val="PL_Package_내부거래"/>
      <sheetName val="TYPE-1"/>
      <sheetName val="설계조건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Code"/>
      <sheetName val="전기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요율"/>
      <sheetName val="2공구하도급내역서"/>
      <sheetName val="시설물"/>
      <sheetName val="연결임시"/>
      <sheetName val="구조물공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기초자료"/>
      <sheetName val="자재대"/>
      <sheetName val="조명율표"/>
      <sheetName val="원가"/>
      <sheetName val="공정코드"/>
      <sheetName val="토공"/>
      <sheetName val="총괄-1"/>
      <sheetName val="도급"/>
      <sheetName val="포장공"/>
      <sheetName val="설 계"/>
      <sheetName val="현경"/>
      <sheetName val="단가대비표"/>
      <sheetName val="배수내역"/>
      <sheetName val="수량산출서 갑지"/>
      <sheetName val="실행기성 갑지"/>
      <sheetName val="Eq. Mobilization"/>
      <sheetName val="제-노임"/>
      <sheetName val="N賃率-職"/>
      <sheetName val="설치자재"/>
      <sheetName val="설비등록׃⼫"/>
      <sheetName val="설비등록_x0010__x0000_"/>
      <sheetName val="준검 내역서"/>
      <sheetName val="F 월별기성수금현황 "/>
      <sheetName val="기계경비"/>
      <sheetName val="을-ATYPE"/>
      <sheetName val="기계"/>
      <sheetName val="정화조"/>
      <sheetName val="토목"/>
      <sheetName val="_x0018__"/>
      <sheetName val="KEY CODE"/>
      <sheetName val="compare2"/>
      <sheetName val="Krw"/>
      <sheetName val="BS"/>
      <sheetName val="1. 작성방식"/>
      <sheetName val="코드"/>
      <sheetName val="C1.3.1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2-1.강사료,교통비 지급명세"/>
      <sheetName val="予算実績管理現況"/>
      <sheetName val="FA-LISTING"/>
      <sheetName val="추정pl"/>
      <sheetName val="13.포장용역비표준"/>
      <sheetName val="9.가공부자재표준"/>
      <sheetName val="8.ROLL표준(TSW)"/>
      <sheetName val="4.톤당조관량표준"/>
      <sheetName val="5.조관부자재표준"/>
      <sheetName val="고정자산-회사제시"/>
      <sheetName val="해외_기술훈련비_(합계)"/>
      <sheetName val="118_세금과공과"/>
      <sheetName val="수목단가"/>
      <sheetName val="시설수량표"/>
      <sheetName val="식재수량표"/>
      <sheetName val="97년"/>
      <sheetName val="????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현용"/>
      <sheetName val="현장"/>
      <sheetName val="MH_생산"/>
      <sheetName val="구분List"/>
      <sheetName val="터널전기"/>
      <sheetName val="Rev. Recon 1"/>
      <sheetName val="1.고객불만건수"/>
      <sheetName val="1.변경범위"/>
      <sheetName val="CF表示組替表"/>
      <sheetName val="대투_보관자료_변경"/>
      <sheetName val="토목주소"/>
      <sheetName val="프랜트면허"/>
      <sheetName val="I一般比"/>
      <sheetName val="분석가정"/>
      <sheetName val="호남본"/>
      <sheetName val="대전-교대(A1-A2)"/>
      <sheetName val="CAT_5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입찰내역_발주처_양식1"/>
      <sheetName val="근거_및_가정"/>
      <sheetName val="09~10년_매출계획1"/>
      <sheetName val="2_카드채권(대출포함)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1_차입금"/>
      <sheetName val="2_주요계수총괄1"/>
      <sheetName val="Data_Validation1"/>
      <sheetName val="1_본사계정별1"/>
      <sheetName val="부대시행1_(2)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PAD_TR보호대기초"/>
      <sheetName val="1월_예산"/>
      <sheetName val="_견적서"/>
      <sheetName val="해외_기술훈련비_(합계)1"/>
      <sheetName val="#1)_투자_구분"/>
      <sheetName val="1__시공측량"/>
      <sheetName val="수종별수량_(2)"/>
      <sheetName val="Utility_Usage_YTN_TOWER"/>
      <sheetName val="B-1_기본정보"/>
      <sheetName val="설산1_나"/>
      <sheetName val="?"/>
      <sheetName val="설문_평가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기본"/>
      <sheetName val="10월_vs_12월_채권잔액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007전체투자세액공제_2008년처분"/>
      <sheetName val="득점현황"/>
      <sheetName val="#5"/>
      <sheetName val="#3"/>
      <sheetName val="Appendix(권장,단체)"/>
      <sheetName val="환율표"/>
      <sheetName val="세액계산"/>
      <sheetName val="TO"/>
      <sheetName val="C2121"/>
      <sheetName val="C2123"/>
      <sheetName val="C2124"/>
      <sheetName val="C2125"/>
      <sheetName val="C2127"/>
      <sheetName val="C2122"/>
      <sheetName val="表21_净利润墨-닑⿕"/>
      <sheetName val="FitOutConfCentre"/>
      <sheetName val="MTP"/>
      <sheetName val="7.Utility Analysis"/>
      <sheetName val="Operational Activities"/>
      <sheetName val="상품입력"/>
      <sheetName val="월별자료"/>
      <sheetName val="Index"/>
      <sheetName val="숨김"/>
      <sheetName val="계좌정보"/>
      <sheetName val="기초정보 코드"/>
      <sheetName val="6월 공嚺㓶가"/>
      <sheetName val="갑지"/>
      <sheetName val="부산제일극장"/>
      <sheetName val="조도계산서 (도서)"/>
      <sheetName val="부대공Ⅱ"/>
      <sheetName val="입찰내역 Ĉ_x0000__x0000_ᇆ"/>
      <sheetName val="입찰내역 Ĉ_x0000__x0000_ᇆ"/>
      <sheetName val="정보화기기매출"/>
      <sheetName val="시험장S자로가로등공사"/>
      <sheetName val="안산기계장치"/>
      <sheetName val="공시용PL"/>
      <sheetName val="T6-6(7)"/>
      <sheetName val="97손익계획"/>
      <sheetName val="가정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그룹자료"/>
      <sheetName val="임율자료"/>
      <sheetName val="드롭다운"/>
      <sheetName val="カテゴリ表"/>
      <sheetName val="support"/>
      <sheetName val="000000"/>
      <sheetName val="목록!"/>
      <sheetName val="마스터0919"/>
      <sheetName val="공시용CF"/>
      <sheetName val="BM_NEW2"/>
      <sheetName val="표시트"/>
      <sheetName val="카드채권(대출포함)"/>
      <sheetName val="공통"/>
      <sheetName val="pg15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노임단가(공사)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기성현황집계표"/>
      <sheetName val="일위대가목차"/>
      <sheetName val="중기일위대가"/>
      <sheetName val="전기자료"/>
      <sheetName val="Sheet10"/>
      <sheetName val="A(Rev.3)"/>
      <sheetName val="Sheet17"/>
      <sheetName val="_x005f_x005f_x005f_x0018__x005f_x005f_x005f_x0000_"/>
      <sheetName val="_x005f_x0018_?"/>
      <sheetName val="BATCH"/>
      <sheetName val="특수선일위대가"/>
      <sheetName val="1.수인터널"/>
      <sheetName val="6호기"/>
      <sheetName val="지장물C"/>
      <sheetName val="일위대가(목록)"/>
      <sheetName val="재료비"/>
      <sheetName val="견적내역서"/>
      <sheetName val="1-1"/>
      <sheetName val="첨부#2.Cash Flow(현장작성)"/>
      <sheetName val="집계"/>
      <sheetName val="선택지"/>
      <sheetName val="Congfig"/>
      <sheetName val="Bank code"/>
      <sheetName val="총수율"/>
      <sheetName val="11"/>
      <sheetName val="Drop-down RAW"/>
      <sheetName val="01_02월_성B_x0000_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BQ"/>
      <sheetName val="Basic"/>
      <sheetName val="기성"/>
      <sheetName val="코드관리"/>
      <sheetName val="4.1 월별 에너지 사용량"/>
      <sheetName val="_x005f_x0000_"/>
      <sheetName val="기타수지&amp;특별손익_ﹴÕ"/>
      <sheetName val="총괄집계표"/>
      <sheetName val="합계표"/>
      <sheetName val="_x005f_x0018__"/>
      <sheetName val="_x005f_x005f_x005f_x005f_x005f_x005f_x005f_x0018__x005f"/>
      <sheetName val="_x005f_x005f_x005f_x0018__"/>
      <sheetName val="간접비"/>
      <sheetName val="wall"/>
      <sheetName val="1공구산출내역서"/>
      <sheetName val="7_공사비집_x0000__x0000_Ā_x0000__x0005__x0000_翸_x0000_"/>
      <sheetName val="입찰내역 Ĉ"/>
      <sheetName val="M&amp;Q Lead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산출"/>
      <sheetName val="C1ㅇ"/>
      <sheetName val="단가조정"/>
      <sheetName val="나_출_x0000__x0000_"/>
      <sheetName val="가설공사내역"/>
      <sheetName val="401"/>
      <sheetName val="진행 DATA (2)"/>
      <sheetName val="_x005f_x005f_x005f_x0000__x005f_x005f_x005f_x0000_"/>
      <sheetName val="견적 맵"/>
      <sheetName val="Cntmrs"/>
      <sheetName val="JT3.0견적-구1"/>
      <sheetName val="슬래_xd800_"/>
      <sheetName val="Dropbox 목록"/>
      <sheetName val="월간공정표(04월))"/>
      <sheetName val="교량하부공"/>
      <sheetName val="1~9 하중계산"/>
      <sheetName val="정공공사"/>
      <sheetName val="月度設定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산자사 운전용품"/>
      <sheetName val="CODE生成机"/>
      <sheetName val="조직필터"/>
      <sheetName val="有型区分分类"/>
      <sheetName val="업무 분류(Category)"/>
      <sheetName val="견적을지"/>
      <sheetName val="단기차입금(200006)"/>
      <sheetName val="Exchange rate"/>
      <sheetName val="작성양식"/>
      <sheetName val="전기요금 산출내역"/>
      <sheetName val="오류항목"/>
      <sheetName val="기본일위"/>
      <sheetName val="3.일반사상"/>
      <sheetName val="외부자료"/>
      <sheetName val="STANDARD"/>
      <sheetName val="유효성검사"/>
      <sheetName val="7상품수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TOWER 12TON"/>
      <sheetName val="TOWER 10TON"/>
      <sheetName val="JIB CRANE,HOIST"/>
      <sheetName val="BSD (2)"/>
      <sheetName val="필요면적"/>
      <sheetName val="아산추가1220"/>
      <sheetName val="협가표"/>
      <sheetName val="수정양식"/>
      <sheetName val="#1 Basic"/>
      <sheetName val="만기"/>
      <sheetName val="월별비교(물리)"/>
      <sheetName val="운반"/>
      <sheetName val="공통비_x0000__x0000_ʯ"/>
      <sheetName val="공통비_x0000_í遘̩"/>
      <sheetName val="Eq__Mobilization"/>
      <sheetName val="Basic Information"/>
      <sheetName val="NG Item"/>
      <sheetName val="증감대비"/>
      <sheetName val="공종단가"/>
      <sheetName val="자판실행"/>
      <sheetName val="_x005f_x0000___x0000__x0000__x0005__x0000_㴐ኰ"/>
      <sheetName val="_x005f_x0000___x0000__x0000__x0005__x0000_움ᕕ"/>
      <sheetName val="工완성공사율"/>
      <sheetName val="항목(1)"/>
      <sheetName val="BOOK4"/>
      <sheetName val="자금_제_x0000__x0000_Ԁ_x0000_"/>
      <sheetName val="640ꠌ᜹렀㣃씃"/>
      <sheetName val="640ꠏ᜹쀀씃"/>
      <sheetName val="DB"/>
      <sheetName val="504전기실_x0000__x0000__x0001_Ԁ_x0000_"/>
      <sheetName val="euc"/>
      <sheetName val="한계원가"/>
      <sheetName val="시스템 개요 유효값"/>
      <sheetName val="유리단가"/>
      <sheetName val="OUTER_A՜_x0000_缀_x0000__x0000__x0000_尀빙끯"/>
      <sheetName val="1_종합손익(도급)6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__한국_AMP_ASP-23_판매가격__4"/>
      <sheetName val="제조원가_원단위_분석4"/>
      <sheetName val="종합표양식(품의_&amp;_입고)_24"/>
      <sheetName val="기성청구_공문5"/>
      <sheetName val="b_balju_(2)4"/>
      <sheetName val="중기조종사_단위단가4"/>
      <sheetName val="6PILE__(돌출)4"/>
      <sheetName val="원가관리_(동월대비)4"/>
      <sheetName val="2-2_매출분석4"/>
      <sheetName val="몰드시스템_리스트4"/>
      <sheetName val="7_(2)4"/>
      <sheetName val="11_외화채무증권(AFS,HTM)084"/>
      <sheetName val="13_감액TEST_084"/>
      <sheetName val="Sheet1_(2)4"/>
      <sheetName val="12년_CF(9월)4"/>
      <sheetName val="sum1_(2)4"/>
      <sheetName val="2_대외공문4"/>
      <sheetName val="表21_净利润调节表4"/>
      <sheetName val="3_바닥판설계4"/>
      <sheetName val="2_총괄표4"/>
      <sheetName val="입찰내역_발주처_양식2"/>
      <sheetName val="2_주요계수총괄2"/>
      <sheetName val="입출재고현황_(2)2"/>
      <sheetName val="Project_Brief2"/>
      <sheetName val="504전기실_동부하-L4"/>
      <sheetName val="TRE_TABLE2"/>
      <sheetName val="단면_(2)2"/>
      <sheetName val="OUTER_AREA(겹침없음)4"/>
      <sheetName val="EL_표면적4"/>
      <sheetName val="09~10년_매출계획2"/>
      <sheetName val="97_사업추정(WEKI)2"/>
      <sheetName val="6월_공정외주2"/>
      <sheetName val="Tong_hop2"/>
      <sheetName val="95_1_1이후취득자산(숨기기상태)2"/>
      <sheetName val="1_MDF1공장2"/>
      <sheetName val="Facility_Information2"/>
      <sheetName val="P_M_별3"/>
      <sheetName val="Data_Validation2"/>
      <sheetName val="PAD_TR보호대기초1"/>
      <sheetName val="1__시공측량1"/>
      <sheetName val="1_본사계정별2"/>
      <sheetName val="납부내역총괄표_(수정)1"/>
      <sheetName val="근거_및_가정1"/>
      <sheetName val="2_카드채권(대출포함)1"/>
      <sheetName val="118_세금과공과2"/>
      <sheetName val="수종별수량_(2)1"/>
      <sheetName val="1_차입금1"/>
      <sheetName val="부대시행1_(2)1"/>
      <sheetName val="3_6_2남양주택배1"/>
      <sheetName val="Back_Data_12"/>
      <sheetName val="1월_예산1"/>
      <sheetName val="_견적서1"/>
      <sheetName val="Weekly_Progress(계장)1"/>
      <sheetName val="해외_기술훈련비_(합계)2"/>
      <sheetName val="설문_평가1"/>
      <sheetName val="전선_및_전선관1"/>
      <sheetName val="설산1_나1"/>
      <sheetName val="#1)_투자_구분1"/>
      <sheetName val="2013_2월_연결대상1"/>
      <sheetName val="Utility_Usage_YTN_TOWER1"/>
      <sheetName val="B-1_기본정보1"/>
      <sheetName val="대투_보관자료_변경1"/>
      <sheetName val="G_R300경비"/>
      <sheetName val="AS포장복구_"/>
      <sheetName val="설_계"/>
      <sheetName val="수량산출서_갑지"/>
      <sheetName val="KEY_CODE1"/>
      <sheetName val="실행기성_갑지1"/>
      <sheetName val="준검_내역서"/>
      <sheetName val="날개수량1_5"/>
      <sheetName val="Rev__Recon_1"/>
      <sheetName val="1_고객불만건수"/>
      <sheetName val="1_변경범위"/>
      <sheetName val="외주현황_wq11"/>
      <sheetName val="Jul-Sep_Actual_cost_(2)1"/>
      <sheetName val="3YP2016-Bottom_up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BEP_加薪_KPI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2-2_투자1"/>
      <sheetName val="Proj__Fin_1"/>
      <sheetName val="ITS_Assumptions"/>
      <sheetName val="Master_Data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7_Utility_Analysis"/>
      <sheetName val="Operational_Activities"/>
      <sheetName val="F_월별기성수금현황_"/>
      <sheetName val="기초정보_코드"/>
      <sheetName val="1__작성방식"/>
      <sheetName val="조도계산서_(도서)"/>
      <sheetName val="C1_3_1"/>
      <sheetName val="입찰내역_Ĉᇆ"/>
      <sheetName val="입찰내역_Ĉᇆ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Worker_List"/>
      <sheetName val="GB-IC_Villingen_GG"/>
      <sheetName val="A(Rev_3)"/>
      <sheetName val="1TL종점(1)"/>
      <sheetName val="Ref. Spec Review 양식"/>
      <sheetName val="Ref. 시험항목 테이블"/>
      <sheetName val="Ref. Search Result 테이블"/>
      <sheetName val="Bank_code"/>
      <sheetName val="Drop-down_RAW"/>
      <sheetName val="Basic_Information"/>
      <sheetName val="Exchange_rate"/>
      <sheetName val="견적서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sum_x0008_"/>
      <sheetName val="생산성(2차)"/>
      <sheetName val="요약(1차)"/>
      <sheetName val="부대공사총괄"/>
      <sheetName val="건축공사집계표"/>
      <sheetName val="방배동내역 (총괄)"/>
      <sheetName val="미계약2"/>
      <sheetName val="날개벽수량표"/>
      <sheetName val="관리자"/>
      <sheetName val="받을어음"/>
      <sheetName val="구분 Table"/>
      <sheetName val="역T형옹벽(3.0)"/>
      <sheetName val="외상매출금현황-수정분 A2"/>
      <sheetName val="상불"/>
      <sheetName val="Assign"/>
      <sheetName val="합잔_역사"/>
      <sheetName val="01현금및현금성자산(ok)"/>
      <sheetName val="gr_val"/>
      <sheetName val="gr_sum"/>
      <sheetName val="수량산출서 (2)"/>
      <sheetName val="기초단가"/>
      <sheetName val="파일의이용"/>
      <sheetName val="지급제한자"/>
      <sheetName val="NCR_HEC_6 Opens"/>
      <sheetName val="NCR_HEC_4 Open &amp; Vendor_2 Opens"/>
      <sheetName val="2_실행ﶻĉ_x0000_"/>
      <sheetName val="2_실행䔭疖꜀"/>
      <sheetName val="2_실행ﶻ_x001e__x0000_"/>
      <sheetName val="504전기실_Ç_x0000_Ԁ_x0000_瀀"/>
      <sheetName val="504전기실_Ç_x0000_Ԁ_x0000_退"/>
      <sheetName val="504전기실_壇멿︀ⳕԯ"/>
      <sheetName val="_Cash_Flow(자_x0000__x0000_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근거_및_가정2"/>
      <sheetName val="2_카드채권(대출포함)2"/>
      <sheetName val="1_차입금2"/>
      <sheetName val="부대시행1_(2)2"/>
      <sheetName val="3_6_2남양주택배2"/>
      <sheetName val="설산1_나2"/>
      <sheetName val="국내_x0000__x0000_"/>
      <sheetName val="날개벽(시점좌측)"/>
      <sheetName val="문의내용 카테고리 분류(수정X)"/>
      <sheetName val="hiddenSheet"/>
      <sheetName val="Sheet475"/>
      <sheetName val="Diesel Price 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(참조)"/>
      <sheetName val="Investment Category"/>
      <sheetName val="1월"/>
      <sheetName val="회사전체"/>
      <sheetName val="_x005f_x005f_x005f_x0000__x005f"/>
      <sheetName val="소주(苏州)"/>
      <sheetName val="XREF"/>
      <sheetName val="Asset9809CAK"/>
      <sheetName val="PUR-12K"/>
      <sheetName val="TSCLFEB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Dashboard_Prevención_Riesgos_"/>
      <sheetName val="POC_LIST"/>
      <sheetName val="Entity_Target"/>
      <sheetName val="Issues_List_Payments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turnover_reason퇴직사유"/>
      <sheetName val="SKU_Basic_Data"/>
      <sheetName val="DETALLE_MENSUAL"/>
      <sheetName val="do_not_delete"/>
      <sheetName val="APAC_S"/>
      <sheetName val="APAC_N"/>
      <sheetName val="Slide_output"/>
      <sheetName val="Directrices_de_Metas_2017"/>
      <sheetName val="구분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_손익기01.XL_x005f_x0000__x0"/>
      <sheetName val="工作表2"/>
      <sheetName val="条件格式选项"/>
      <sheetName val="单位信息"/>
      <sheetName val="条件格式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Classification_分类4"/>
      <sheetName val="tab_STATUS_DO_PROCESSO_4"/>
      <sheetName val="Perf__Plan__Diário14"/>
      <sheetName val="In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6월_공정외주4"/>
      <sheetName val="입출재고현황_(2)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데이터유효성목록"/>
      <sheetName val="네고14"/>
      <sheetName val="관리1"/>
      <sheetName val="연체리스료"/>
      <sheetName val="control sheet"/>
      <sheetName val="대환취급"/>
      <sheetName val="SS20"/>
      <sheetName val="SS10"/>
      <sheetName val="공통부대비"/>
      <sheetName val="체신주조서"/>
      <sheetName val="기준재고"/>
      <sheetName val="수액원료4"/>
      <sheetName val="부대내역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생산"/>
      <sheetName val="단가조사표"/>
      <sheetName val="이름표"/>
      <sheetName val="철거산출근거"/>
      <sheetName val="Project Count"/>
      <sheetName val="Index1"/>
      <sheetName val="STRAT_PLAN_WKSHT1"/>
      <sheetName val="Sales_Plan_&amp;_other1"/>
      <sheetName val="drop_downs"/>
      <sheetName val="손익계산서"/>
      <sheetName val="대구은행"/>
      <sheetName val="원재료"/>
      <sheetName val="비품"/>
      <sheetName val="PF 현황(11년12월)"/>
      <sheetName val="Sensitivity and GC Value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Mot So Thuat Ngu EN-VI"/>
      <sheetName val="Mot_So_Thuat_Ngu_EN-VI"/>
      <sheetName val="오스피셔스제사차"/>
      <sheetName val="공종별집계"/>
      <sheetName val="토공(우물통,기타) "/>
      <sheetName val="무형자산 LS11"/>
      <sheetName val="Global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NKC (final)"/>
      <sheetName val="M&amp;Q_Lead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4_1_월별_에너지_사용량"/>
      <sheetName val="첨부#2_Cash_Flow(현장작성)"/>
      <sheetName val="7_공사비집Ā翸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91"/>
      <sheetName val="생산1-2"/>
      <sheetName val="생산1-1"/>
      <sheetName val="매출계획"/>
      <sheetName val="품의서개정(갑)"/>
      <sheetName val="10.예산 및 원가 계획(02년)"/>
      <sheetName val="건축갑지"/>
      <sheetName val="건축내역서"/>
      <sheetName val="견적보고서"/>
      <sheetName val="원가관리_(동월대-_x0000_Ԁ"/>
      <sheetName val="식재총괄"/>
      <sheetName val="입찰내역 _x0000__x0000__x0000__x0001_Ԁ_x0000_"/>
      <sheetName val="입찰내역 _x0000_⊍_x0000__x0000_∀的"/>
      <sheetName val="__Dscljh_c_EXCEL________1_96__2"/>
      <sheetName val="6F8"/>
      <sheetName val="6PILE__(Y_x0000__x0000_"/>
      <sheetName val="합산목표(감가+5_x0000__x0000_Ԁ_x0000_䀀"/>
      <sheetName val="6PILE__(剙_x0010__x0000_"/>
      <sheetName val="산자사_운전용품"/>
      <sheetName val="업무_분류(Category)"/>
      <sheetName val="3_일반사상"/>
      <sheetName val="#1_Basic"/>
      <sheetName val="공기연장현황"/>
      <sheetName val="001"/>
      <sheetName val="노원열병합  건축공사기성내역서"/>
      <sheetName val="7_공사비집"/>
      <sheetName val="참고3.DATA"/>
      <sheetName val="첨부1-2. 증감사유내역서(을)"/>
      <sheetName val="조도"/>
      <sheetName val="P-J"/>
      <sheetName val="유효성 목록"/>
      <sheetName val="드롭다운(수정금지)"/>
      <sheetName val="상반기손익차2총괄"/>
      <sheetName val="master(ZH)"/>
      <sheetName val="ALK_Chi tiết công nợ"/>
      <sheetName val="Parem"/>
      <sheetName val="CHITIET VL-NC-TT1p"/>
      <sheetName val="TONGKE3p"/>
      <sheetName val="골조"/>
      <sheetName val="tifico"/>
      <sheetName val="本月预计"/>
      <sheetName val="1)추진현황"/>
      <sheetName val="매출회전"/>
      <sheetName val="TMPA"/>
      <sheetName val="소방사항"/>
      <sheetName val="OH _x000f_"/>
      <sheetName val="____"/>
      <sheetName val="2.FM Fee_2차년도"/>
      <sheetName val="3.감가장비"/>
      <sheetName val="증감내역서"/>
      <sheetName val="공사"/>
      <sheetName val="단면치수"/>
      <sheetName val="OUTER_A՜"/>
      <sheetName val="_x005f_x0000__"/>
      <sheetName val="공통비"/>
      <sheetName val="자금_제"/>
      <sheetName val="504전기실"/>
      <sheetName val="총 원가계산"/>
      <sheetName val="FAB별"/>
      <sheetName val="1.설계기준"/>
      <sheetName val="신당동집계표"/>
      <sheetName val="변동률산출"/>
      <sheetName val="완성차 미수금"/>
      <sheetName val="집계확_x0000_"/>
      <sheetName val="통က_x0000_"/>
      <sheetName val="main"/>
      <sheetName val="FORM4"/>
      <sheetName val="FORM1"/>
      <sheetName val="FORM2"/>
      <sheetName val="FORM3"/>
      <sheetName val="FORM5"/>
      <sheetName val="FORM10"/>
      <sheetName val="FORM15"/>
      <sheetName val="FORM16"/>
      <sheetName val="단가산출서"/>
      <sheetName val="4월25일실행"/>
      <sheetName val="경계석,골재외 (2)"/>
      <sheetName val="설계내역양식"/>
      <sheetName val="물가대비표"/>
      <sheetName val="원가관리_(동월대-"/>
      <sheetName val="경상직원"/>
      <sheetName val="이자"/>
      <sheetName val="TLoss"/>
      <sheetName val="예총"/>
      <sheetName val="0304"/>
      <sheetName val="방배2E"/>
      <sheetName val="1.설계조건"/>
      <sheetName val="7_Utility_Analysis1"/>
      <sheetName val="Operational_Activities1"/>
      <sheetName val="견적 (2)"/>
      <sheetName val="1_종합손익(주택,绘ÿ헾⽊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504전기실__x0000_Ԁ_x0000_"/>
      <sheetName val="504전기실__x0000_Ԁ_x0000_က"/>
      <sheetName val="PH 5"/>
      <sheetName val="bar chart-rev"/>
      <sheetName val="토지조서(원본)"/>
      <sheetName val="실행"/>
      <sheetName val="L형옹벽"/>
      <sheetName val="물가정보"/>
      <sheetName val="정부노임"/>
      <sheetName val="입찰내역"/>
      <sheetName val="ITB COST"/>
      <sheetName val="23기-3분기결산PL"/>
      <sheetName val="类别"/>
      <sheetName val="(실사조정)총괄"/>
      <sheetName val="경영비율 "/>
      <sheetName val="Sheet16"/>
      <sheetName val="연결조정사항(2019)"/>
      <sheetName val="20년 동일기간 소테마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4월 매출"/>
      <sheetName val="Stop"/>
      <sheetName val="Accueil"/>
      <sheetName val="C61X-BOM"/>
      <sheetName val="T13(P68~72,78)"/>
      <sheetName val="합산목표(감가+5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sum "/>
      <sheetName val="암거날개벽"/>
      <sheetName val="제조원가_원단_x0000_ǻ_x0000_"/>
      <sheetName val="2_주요계수총괄3"/>
      <sheetName val="Project_Brief3"/>
      <sheetName val="P_M_별4"/>
      <sheetName val="단면_(2)3"/>
      <sheetName val="Facility_Information3"/>
      <sheetName val="1_본사계정별3"/>
      <sheetName val="전선_및_전선관2"/>
      <sheetName val="Utility_Usage_YTN_TOWER2"/>
      <sheetName val="118_세금과공과3"/>
      <sheetName val="Back_Data_13"/>
      <sheetName val="_견적서2"/>
      <sheetName val="해외_기술훈련비_(합계)3"/>
      <sheetName val="1월_예산2"/>
      <sheetName val="#1)_투자_구분2"/>
      <sheetName val="B-1_기본정보2"/>
      <sheetName val="설문_평가2"/>
      <sheetName val="대투_보관자료_변경2"/>
      <sheetName val="실행기성_갑지2"/>
      <sheetName val="Eq__Mobilization1"/>
      <sheetName val="날개수량1_51"/>
      <sheetName val="G_R300경비1"/>
      <sheetName val="AS포장복구_1"/>
      <sheetName val="설_계1"/>
      <sheetName val="준검_내역서1"/>
      <sheetName val="2013_2월_연결대상2"/>
      <sheetName val="조도계산서_(도서)1"/>
      <sheetName val="F_월별기성수금현황_1"/>
      <sheetName val="수량산출서_갑지1"/>
      <sheetName val="외주현황_wq12"/>
      <sheetName val="KEY_CODE2"/>
      <sheetName val="6월_공嚺㓶가1"/>
      <sheetName val="Rev__Recon_11"/>
      <sheetName val="1_고객불만건수1"/>
      <sheetName val="1_변경범위1"/>
      <sheetName val="2-1_강사료,교통비_지급명세2"/>
      <sheetName val="13_포장용역비표준2"/>
      <sheetName val="9_가공부자재표준2"/>
      <sheetName val="8_ROLL표준(TSW)2"/>
      <sheetName val="4_톤당조관량표준2"/>
      <sheetName val="5_조관부자재표준2"/>
      <sheetName val="1__작성방식1"/>
      <sheetName val="2-2_투자2"/>
      <sheetName val="Proj__Fin_2"/>
      <sheetName val="ITS_Assumptions1"/>
      <sheetName val="Master_Data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C1_3_11"/>
      <sheetName val="기초정보_코드1"/>
      <sheetName val="A(Rev_3)1"/>
      <sheetName val="표)CFT장_조직별_배분1"/>
      <sheetName val="20180214_P&amp;T1"/>
      <sheetName val="Ref__중점_추진_과제별_상세1"/>
      <sheetName val="2_6_三无_(2)1"/>
      <sheetName val="Worker_List1"/>
      <sheetName val="GB-IC_Villingen_GG1"/>
      <sheetName val="1~9_하중계산"/>
      <sheetName val="504전기실Ԁ"/>
      <sheetName val="BSD_(2)"/>
      <sheetName val="시스템_개요_유효값"/>
      <sheetName val="전기요금_산출내역"/>
      <sheetName val="TOWER_12TON"/>
      <sheetName val="TOWER_10TON"/>
      <sheetName val="JIB_CRANE,HOIST"/>
      <sheetName val="_x005f_x0000__㴐ኰ"/>
      <sheetName val="_x005f_x0000__움ᕕ"/>
      <sheetName val="2_실행ﶻ"/>
      <sheetName val="철거공사1"/>
      <sheetName val="CERTIFICATE"/>
      <sheetName val="Ⅴ-2.공종별내역"/>
      <sheetName val="단양 00 아파트-세부내역"/>
      <sheetName val="직종부호"/>
      <sheetName val="자료입력"/>
      <sheetName val="Menu_Link"/>
      <sheetName val="간접경상비"/>
      <sheetName val="카테고리 분류 (수정X)"/>
      <sheetName val="퇴직사유"/>
      <sheetName val="SPT vs PHI"/>
      <sheetName val="Process Li"/>
      <sheetName val="유림콘도"/>
      <sheetName val="장비명"/>
      <sheetName val="Ext. Stone-P"/>
      <sheetName val="Process Li 鸴"/>
      <sheetName val="▶ 일일출역 집계_20210819143316"/>
      <sheetName val="ENE-CAL"/>
      <sheetName val="종합표양식(품의좲_xdd02_쒥⠀쮎_x001d__x0000__x0000_"/>
      <sheetName val="Planilha_relts??eos7"/>
      <sheetName val="계정정보"/>
      <sheetName val="기준정보基准信息参考"/>
      <sheetName val="B05"/>
      <sheetName val="B07"/>
      <sheetName val="A02"/>
      <sheetName val="A04"/>
      <sheetName val="A13"/>
      <sheetName val="B08"/>
      <sheetName val="B10"/>
      <sheetName val="공사비지급"/>
      <sheetName val="무역한도관리"/>
      <sheetName val="STRAT_PLAN_WKSHT2"/>
      <sheetName val="Sales_Plan_&amp;_other2"/>
      <sheetName val="drop_downs1"/>
      <sheetName val="구분_Table"/>
      <sheetName val="역T형옹벽(3_0)"/>
      <sheetName val="외상매출금현황-수정분_A2"/>
      <sheetName val="Project_Count"/>
      <sheetName val="control_sheet"/>
      <sheetName val="PF_현황(11년12월)"/>
      <sheetName val="Diesel_Price_"/>
      <sheetName val="진행_DATA_(2)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사업단위"/>
      <sheetName val="품목리스트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기본사항"/>
      <sheetName val="Bank_code1"/>
      <sheetName val="Drop-down_RAW1"/>
      <sheetName val="Basic_Information1"/>
      <sheetName val="Exchange_rate1"/>
      <sheetName val="NG_Item"/>
      <sheetName val="Ref__Spec_Review_양식"/>
      <sheetName val="Ref__시험항목_테이블"/>
      <sheetName val="Ref__Search_Result_테이블"/>
      <sheetName val="07.01"/>
      <sheetName val="1__작성방식2"/>
      <sheetName val="표)CFT장_조직별_배분2"/>
      <sheetName val="20180214_P&amp;T2"/>
      <sheetName val="Ref__중점_추진_과제별_상세2"/>
      <sheetName val="Bank_code2"/>
      <sheetName val="Drop-down_RAW2"/>
      <sheetName val="Basic_Information2"/>
      <sheetName val="Exchange_rate2"/>
      <sheetName val="진행_DATA_(2)1"/>
      <sheetName val="Ref__Spec_Review_양식1"/>
      <sheetName val="Ref__시험항목_테이블1"/>
      <sheetName val="Ref__Search_Result_테이블1"/>
      <sheetName val="NG_Item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M&amp;Q_Lead1"/>
      <sheetName val="sum"/>
      <sheetName val="OH_"/>
      <sheetName val="경영비율_"/>
      <sheetName val="Dropbox_목록"/>
      <sheetName val="참고(3)고정비"/>
      <sheetName val="Requirement(Work Crew)"/>
      <sheetName val="97노임단가"/>
      <sheetName val="입력란"/>
      <sheetName val="기본값"/>
      <sheetName val="F4-F7"/>
      <sheetName val="Supplement2"/>
      <sheetName val="3.판관비명세서"/>
      <sheetName val="단기대여금"/>
      <sheetName val="장기대여금"/>
      <sheetName val="운영경비 세부작성근거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⑤항목별2"/>
      <sheetName val="산출기준(파견전산실)"/>
      <sheetName val="보빈규격"/>
      <sheetName val="__한국_AMP_ASP-23_판매가격_롟"/>
      <sheetName val="기타코드"/>
      <sheetName val="2014"/>
      <sheetName val="2018"/>
      <sheetName val="토지평가조서(발송용)"/>
      <sheetName val="xxxxxx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돈암사업"/>
      <sheetName val="원형1호맨홀토공수량"/>
      <sheetName val="_x005f_x005f_x005f_x0018_"/>
      <sheetName val="G2설비도급"/>
      <sheetName val="수량이동"/>
      <sheetName val="Rate Analysis"/>
      <sheetName val="EE-PROP"/>
      <sheetName val="집계표(OPTION)"/>
      <sheetName val="일위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PAD_TR보호대기초3"/>
      <sheetName val="1__시공측량3"/>
      <sheetName val="근거_및_가정3"/>
      <sheetName val="설산1_나3"/>
      <sheetName val="1_차입금3"/>
      <sheetName val="수종별수량_(2)3"/>
      <sheetName val="납부내역총괄표_(수정)3"/>
      <sheetName val="부대시행1_(2)3"/>
      <sheetName val="3_6_2남양주택배3"/>
      <sheetName val="Weekly_Progress(계장)3"/>
      <sheetName val="입찰내역_Ĉ1"/>
      <sheetName val="1_수인터널1"/>
      <sheetName val="NCR_HEC_6_Opens"/>
      <sheetName val="NCR_HEC_4_Open_&amp;_Vendor_2_Opens"/>
      <sheetName val="JT3_0견적-구1"/>
      <sheetName val="방배동내역_(총괄)"/>
      <sheetName val="OH_Cost경비(배부呸2닑"/>
      <sheetName val="본사공가현황"/>
      <sheetName val="504전기실_Ç"/>
      <sheetName val="anaysis_sheet"/>
      <sheetName val="주관사업"/>
      <sheetName val="6PILE__(돌출_x0000_"/>
      <sheetName val="입찰내역 "/>
      <sheetName val="통က"/>
      <sheetName val="제조원가_원단"/>
      <sheetName val="제조원가_원단_x0010_"/>
      <sheetName val="DRUM"/>
      <sheetName val="제주환경순환센터"/>
      <sheetName val="TTL"/>
      <sheetName val="경영혁신본부"/>
      <sheetName val="MTP1"/>
      <sheetName val="4Q주석"/>
      <sheetName val="다목적갑"/>
      <sheetName val="Warranty"/>
      <sheetName val="실행내역서 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 Drop"/>
      <sheetName val="sum_x0008__x0000_ _x0000__x0006__x0000_"/>
      <sheetName val="슬래?"/>
      <sheetName val="_x005f_x0000__x005f"/>
      <sheetName val="[손익기01_XL_x0000__x0000_DePara10"/>
      <sheetName val="_손익기01_XL_x0000__x0000_DePara10"/>
      <sheetName val="_손익기01_XL_x0000__x05"/>
      <sheetName val="_손익기01_XL_x0000__x4"/>
      <sheetName val="_손익기01_XL_x0000__x5"/>
      <sheetName val="_손익기01_XL_x0000__x6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96보완계획7.12"/>
      <sheetName val="설비등록ၒ_x0000_"/>
      <sheetName val="영업보증금"/>
      <sheetName val="SS215065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DHEQSUPT"/>
      <sheetName val="Cash2"/>
      <sheetName val="Z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예산관리대장"/>
      <sheetName val="Xunit (단위환산)"/>
      <sheetName val="책임준비금"/>
      <sheetName val="@공통코드"/>
      <sheetName val="CIP"/>
      <sheetName val="입찰내역 Ĉ_x005f_x0000__x005f_x0000_ᇆ"/>
      <sheetName val="입찰내역 Ĉ_x005f_x0000__x005f_x0000_ᇆ"/>
      <sheetName val="_x005f_x005f_x005f_x005f_x005f_x005f_x005f_x0000__x005f"/>
      <sheetName val="기준정보"/>
      <sheetName val="1) MALL"/>
      <sheetName val="Quantity"/>
      <sheetName val="2)단가비교표"/>
      <sheetName val="SHEET"/>
      <sheetName val="매출내역"/>
      <sheetName val="Name"/>
      <sheetName val="가설전기별첨"/>
      <sheetName val="KPIs- TTP, PTP, People Turnover"/>
      <sheetName val="部门"/>
      <sheetName val="1월 목표"/>
      <sheetName val="FILIAL MINAS"/>
      <sheetName val="info for drop box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辅助表格"/>
      <sheetName val="10 麦汁CIP清洗标准水量"/>
      <sheetName val="BU"/>
      <sheetName val="Tipo Viaje"/>
      <sheetName val="Flota y Personal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3__Training_&amp;_travel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Essbase"/>
      <sheetName val="2.Consideration sheet"/>
      <sheetName val="3. Export"/>
      <sheetName val="기준표"/>
      <sheetName val="표준공사비-조명제외x10%up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HERO01"/>
      <sheetName val="인건비"/>
      <sheetName val="04_4월말_합병시_지분변동차액"/>
      <sheetName val="2007"/>
      <sheetName val="단독빌딩 총합계본"/>
      <sheetName val="목록구분"/>
      <sheetName val="PH_5"/>
      <sheetName val="bar_chart-rev"/>
      <sheetName val="1_설계조건"/>
      <sheetName val="수량산출서_(2)"/>
      <sheetName val="노원열병합__건축공사기성내역서"/>
      <sheetName val="Investment_Category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2_FM_Fee_2차년도"/>
      <sheetName val="3_감가장비"/>
      <sheetName val="건축개요_"/>
      <sheetName val="ASALTOTA"/>
      <sheetName val="국민연금"/>
      <sheetName val="GL"/>
      <sheetName val="2003FX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금액집계(리포트)"/>
      <sheetName val="Salary(해외)"/>
      <sheetName val="제임스짐 예상매출 for 2023B"/>
      <sheetName val="Act vs. budget"/>
      <sheetName val="화기9901매출"/>
      <sheetName val="a.연결정리"/>
      <sheetName val="loading"/>
      <sheetName val="북마크"/>
      <sheetName val="연간점유"/>
      <sheetName val="업무계획1"/>
      <sheetName val="계정code"/>
      <sheetName val="선택옵션"/>
      <sheetName val="옵션"/>
      <sheetName val="CriteriaUpdate"/>
      <sheetName val="주간남10대순위1"/>
      <sheetName val="주간여30대순위1"/>
      <sheetName val="건강_미결"/>
      <sheetName val="Noncurrent assets"/>
      <sheetName val="2장(1사업부)ERP"/>
      <sheetName val="Spreadsheet Information"/>
      <sheetName val="TEMP2"/>
      <sheetName val="부가가치"/>
      <sheetName val="2021 KPI_SD (대표이사)"/>
      <sheetName val="07~08 PL"/>
      <sheetName val="기성및원가"/>
      <sheetName val="추정99"/>
      <sheetName val="下拉框选项"/>
      <sheetName val="Criteria List"/>
      <sheetName val="应收帐款(외상매출금)"/>
      <sheetName val="0405比较_查询"/>
      <sheetName val="8月水电燃使用表"/>
      <sheetName val="자산LIST"/>
      <sheetName val="해외출자현황(원본틀)"/>
      <sheetName val="P_M_별5"/>
      <sheetName val="2_주요계수총괄4"/>
      <sheetName val="1_본사계정별4"/>
      <sheetName val="118_세금과공과4"/>
      <sheetName val="Back_Data_14"/>
      <sheetName val="Project_Brief4"/>
      <sheetName val="Facility_Information4"/>
      <sheetName val="단면_(2)4"/>
      <sheetName val="1월_예산3"/>
      <sheetName val="_견적서3"/>
      <sheetName val="설문_평가3"/>
      <sheetName val="해외_기술훈련비_(합계)4"/>
      <sheetName val="외주현황_wq13"/>
      <sheetName val="#1)_투자_구분3"/>
      <sheetName val="B-1_기본정보3"/>
      <sheetName val="Utility_Usage_YTN_TOWER3"/>
      <sheetName val="대투_보관자료_변경3"/>
      <sheetName val="전선_및_전선관3"/>
      <sheetName val="2013_2월_연결대상3"/>
      <sheetName val="Rev__Recon_12"/>
      <sheetName val="1_고객불만건수2"/>
      <sheetName val="1_변경범위2"/>
      <sheetName val="KEY_CODE3"/>
      <sheetName val="2-1_강사료,교통비_지급명세3"/>
      <sheetName val="13_포장용역비표준3"/>
      <sheetName val="9_가공부자재표준3"/>
      <sheetName val="8_ROLL표준(TSW)3"/>
      <sheetName val="4_톤당조관량표준3"/>
      <sheetName val="5_조관부자재표준3"/>
      <sheetName val="2-2_투자3"/>
      <sheetName val="Proj__Fin_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7_Utility_Analysis2"/>
      <sheetName val="Operational_Activities2"/>
      <sheetName val="C1_3_12"/>
      <sheetName val="실행기성_갑지3"/>
      <sheetName val="Eq__Mobilization2"/>
      <sheetName val="1__작성방식3"/>
      <sheetName val="표)CFT장_조직별_배분3"/>
      <sheetName val="20180214_P&amp;T3"/>
      <sheetName val="Ref__중점_추진_과제별_상세3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Bank_code3"/>
      <sheetName val="Drop-down_RAW3"/>
      <sheetName val="Basic_Information3"/>
      <sheetName val="Exchange_rate3"/>
      <sheetName val="진행_DATA_(2)2"/>
      <sheetName val="Ref__Spec_Review_양식2"/>
      <sheetName val="Ref__시험항목_테이블2"/>
      <sheetName val="Ref__Search_Result_테이블2"/>
      <sheetName val="NG_Item2"/>
      <sheetName val="F_월별기성수금현황_2"/>
      <sheetName val="준검_내역서2"/>
      <sheetName val="조도계산서_(도서)2"/>
      <sheetName val="기초정보_코드2"/>
      <sheetName val="날개수량1_52"/>
      <sheetName val="6월_공嚺㓶가2"/>
      <sheetName val="3_일반사상1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산자사_운전용품1"/>
      <sheetName val="4_1_월별_에너지_사용량2"/>
      <sheetName val="업무_분류(Category)1"/>
      <sheetName val="첨부#2_Cash_Flow(현장작성)1"/>
      <sheetName val="Mot_So_Thuat_Ngu_EN-VI1"/>
      <sheetName val="M&amp;Q_Lead2"/>
      <sheetName val="10_예산_및_원가_계획(02년)"/>
      <sheetName val="TOWER_12TON2"/>
      <sheetName val="TOWER_10TON2"/>
      <sheetName val="JIB_CRANE,HOIST2"/>
      <sheetName val="경영비율_1"/>
      <sheetName val="SRS_월별_BS1"/>
      <sheetName val="평가&amp;선급_미지급1"/>
      <sheetName val="EXC_IND"/>
      <sheetName val="COLOR별_인쇄"/>
      <sheetName val="Dropbox_목록1"/>
      <sheetName val="20년_동일기간_소테마"/>
      <sheetName val="07_01"/>
      <sheetName val="실행내역서_"/>
      <sheetName val="무형자산_LS11"/>
      <sheetName val="2_Consideration_sheet"/>
      <sheetName val="3__Export"/>
      <sheetName val="PC%계산"/>
      <sheetName val="_손익기01.XL__DePara"/>
      <sheetName val="_손익기01_XL__DePara"/>
      <sheetName val="CO"/>
      <sheetName val="表21_净利润釘×㜀࠷"/>
      <sheetName val="해외_기술훈련비_(합계)5"/>
      <sheetName val="P_M_별6"/>
      <sheetName val="근거_및_가정4"/>
      <sheetName val="Facility_Information5"/>
      <sheetName val="부대시행1_(2)4"/>
      <sheetName val="1_차입금4"/>
      <sheetName val="118_세금과공과5"/>
      <sheetName val="2_주요계수총괄5"/>
      <sheetName val="1_본사계정별5"/>
      <sheetName val="B-1_기본정보4"/>
      <sheetName val="Utility_Usage_YTN_TOWER4"/>
      <sheetName val="설산1_나4"/>
      <sheetName val="Project_Brief5"/>
      <sheetName val="단면_(2)5"/>
      <sheetName val="PAD_TR보호대기초4"/>
      <sheetName val="1__시공측량4"/>
      <sheetName val="3_6_2남양주택배4"/>
      <sheetName val="Back_Data_15"/>
      <sheetName val="1월_예산4"/>
      <sheetName val="수종별수량_(2)4"/>
      <sheetName val="전선_및_전선관4"/>
      <sheetName val="설문_평가4"/>
      <sheetName val="외주현황_wq14"/>
      <sheetName val="_견적서4"/>
      <sheetName val="대투_보관자료_변경4"/>
      <sheetName val="납부내역총괄표_(수정)4"/>
      <sheetName val="#1)_투자_구분4"/>
      <sheetName val="Rev__Recon_13"/>
      <sheetName val="1_고객불만건수3"/>
      <sheetName val="1_변경범위3"/>
      <sheetName val="Weekly_Progress(계장)4"/>
      <sheetName val="2013_2월_연결대상4"/>
      <sheetName val="Proj__Fin_4"/>
      <sheetName val="2-2_투자4"/>
      <sheetName val="ITS_Assumptions3"/>
      <sheetName val="Master_Data3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2-1_강사료,교통비_지급명세4"/>
      <sheetName val="C1_3_1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산자사_운전용품2"/>
      <sheetName val="1__작성방식4"/>
      <sheetName val="표)CFT장_조직별_배분4"/>
      <sheetName val="20180214_P&amp;T4"/>
      <sheetName val="Ref__중점_추진_과제별_상세4"/>
      <sheetName val="Bank_code4"/>
      <sheetName val="Drop-down_RAW4"/>
      <sheetName val="실행기성_갑지4"/>
      <sheetName val="Eq__Mobilization3"/>
      <sheetName val="날개수량1_5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Exchange_rate4"/>
      <sheetName val="업무_분류(Category)2"/>
      <sheetName val="진행_DATA_(2)3"/>
      <sheetName val="업무분장_1"/>
      <sheetName val="7300-1000_112"/>
      <sheetName val="PJT_현황1"/>
      <sheetName val="참고)_기준정보1"/>
      <sheetName val="Long_Term_Prices1"/>
      <sheetName val="기초정보_코드3"/>
      <sheetName val="STRAT_PLAN_WKSHT3"/>
      <sheetName val="Sales_Plan_&amp;_other3"/>
      <sheetName val="drop_downs2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M&amp;Q_Lead3"/>
      <sheetName val="구분_Table1"/>
      <sheetName val="Basic_Information4"/>
      <sheetName val="견적_맵1"/>
      <sheetName val="3_일반사상2"/>
      <sheetName val="Diesel_Price_1"/>
      <sheetName val="준검_내역서3"/>
      <sheetName val="6월_공嚺㓶가3"/>
      <sheetName val="조도계산서_(도서)3"/>
      <sheetName val="F_월별기성수금현황_3"/>
      <sheetName val="#1_Basic2"/>
      <sheetName val="첨부#2_Cash_Flow(현장작성)2"/>
      <sheetName val="TOWER_12TON3"/>
      <sheetName val="TOWER_10TON3"/>
      <sheetName val="JIB_CRANE,HOIST3"/>
      <sheetName val="Investment_Category1"/>
      <sheetName val="문의내용_카테고리_분류(수정X)1"/>
      <sheetName val="A(Rev_3)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입찰내역_Ĉ2"/>
      <sheetName val="시스템_개요_유효값1"/>
      <sheetName val="Mot_So_Thuat_Ngu_EN-VI2"/>
      <sheetName val="역T형옹벽(3_0)1"/>
      <sheetName val="외상매출금현황-수정분_A21"/>
      <sheetName val="전기요금_산출내역1"/>
      <sheetName val="노원열병합__건축공사기성내역서1"/>
      <sheetName val="control_sheet1"/>
      <sheetName val="Project_Count1"/>
      <sheetName val="PF_현황(11년12월)1"/>
      <sheetName val="NG_Item3"/>
      <sheetName val="Ref__Spec_Review_양식3"/>
      <sheetName val="Ref__시험항목_테이블3"/>
      <sheetName val="Ref__Search_Result_테이블3"/>
      <sheetName val="SRS_월별_BS2"/>
      <sheetName val="평가&amp;선급_미지급2"/>
      <sheetName val="EXC_IND1"/>
      <sheetName val="COLOR별_인쇄1"/>
      <sheetName val="유류대_현황2"/>
      <sheetName val="1__템플릿2"/>
      <sheetName val="2__작성_참고사항2"/>
      <sheetName val="mapping_(2)2"/>
      <sheetName val="Ref_2"/>
      <sheetName val="2_3_Projects_Status2"/>
      <sheetName val="Consolidated_Project_List2"/>
      <sheetName val="Fixed_Cost2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Manage_to_Sustain1"/>
      <sheetName val="Meeting_List1"/>
      <sheetName val="Packages_Info1"/>
      <sheetName val="Preferred_Option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2020_MMR121"/>
      <sheetName val="Razão_Social1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운영경비_세부작성근거1"/>
      <sheetName val="20년_동일기간_소테마1"/>
      <sheetName val="JT3_0견적-구11"/>
      <sheetName val="Dropbox_목록2"/>
      <sheetName val="3_공통공사대비1"/>
      <sheetName val="현장관리비_산출내역1"/>
      <sheetName val="무형자산_LS111"/>
      <sheetName val="1~9_하중계산1"/>
      <sheetName val="10_예산_및_원가_계획(02년)1"/>
      <sheetName val="경영비율_2"/>
      <sheetName val="Sensitivity_and_GC_Value1"/>
      <sheetName val="07_011"/>
      <sheetName val="수량산출서_(2)1"/>
      <sheetName val="1_수인터널2"/>
      <sheetName val="2_FM_Fee_2차년도1"/>
      <sheetName val="3_감가장비1"/>
      <sheetName val="방배동내역_(총괄)1"/>
      <sheetName val="BSD_(2)1"/>
      <sheetName val="운영경비_세부작성근거"/>
      <sheetName val="3_공통공사대비"/>
      <sheetName val="현장관리비_산출내역"/>
      <sheetName val="방법론선택및업로드"/>
      <sheetName val="Ⅱ.추정종합"/>
      <sheetName val="backdata"/>
      <sheetName val="argl(1)"/>
      <sheetName val="B"/>
      <sheetName val="member design"/>
      <sheetName val="design criteria"/>
      <sheetName val="working load at the btm ft."/>
      <sheetName val="plan&amp;section of foundation"/>
      <sheetName val="품목코드"/>
      <sheetName val="감가상각비(2002)"/>
      <sheetName val="major"/>
      <sheetName val="총괄표_전체"/>
      <sheetName val="총괄표_기본"/>
      <sheetName val="총괄표_확장"/>
      <sheetName val="_Cash_Flo_x0000__x0000__x0000__x0000__x0000_"/>
      <sheetName val="CAL1"/>
      <sheetName val="7_공사비집_x0000_跇˜_x0000__x0000__x0000_Ā_x0000_"/>
      <sheetName val="제조원가_원단_x0000_궰_x0000__x0000_"/>
      <sheetName val="제조원가_원단_x0000_聏_x0000__x0000_"/>
      <sheetName val="제조원가_원단샀_x000e__x0000__x0000_"/>
      <sheetName val="변경내역대비표(2)"/>
      <sheetName val="database"/>
      <sheetName val="VS P-Q"/>
      <sheetName val="MAIN_TABLE"/>
      <sheetName val="8호선 원가 투입내역"/>
      <sheetName val="나_출؀_x0001_"/>
      <sheetName val="1-11조직표"/>
      <sheetName val="NKC_(final)1"/>
      <sheetName val="토공(우물통,기타)_"/>
      <sheetName val="NCR_HEC_6_Opens1"/>
      <sheetName val="NCR_HEC_4_Open_&amp;_Vendor_2_Open1"/>
      <sheetName val="첨부1-2__증감사유내역서(을)"/>
      <sheetName val="입찰내역_Ԁ"/>
      <sheetName val="ALK_Chi_tiết_công_nợ"/>
      <sheetName val="CHITIET_VL-NC-TT1p"/>
      <sheetName val="유효성_목록"/>
      <sheetName val="총_원가계산"/>
      <sheetName val="1_설계기준"/>
      <sheetName val="6PILE__(剙"/>
      <sheetName val="참고3_DATA"/>
      <sheetName val="입찰내역_⊍∀的"/>
      <sheetName val="Ⅴ-2_공종별내역"/>
      <sheetName val="경계석,골재외_(2)"/>
      <sheetName val="카테고리_분류_(수정X)"/>
      <sheetName val="SPT_vs_PHI"/>
      <sheetName val="3_판관비명세서"/>
      <sheetName val="제조원가_원단༘֜"/>
      <sheetName val="▶_일일출역_집계_20210819143316"/>
      <sheetName val="sum_"/>
      <sheetName val="UPA(Part_C,D,E,G,H)"/>
      <sheetName val="UPA(Part_F)"/>
      <sheetName val="일위대가_(Part_C,D,E,G,H)"/>
      <sheetName val="4월_매출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완성차_미수금"/>
      <sheetName val="견적_(2)"/>
      <sheetName val="ITB_COST"/>
      <sheetName val="입찰내역_"/>
      <sheetName val="종합표양식(품의좲쒥⠀쮎"/>
      <sheetName val="Process_Li"/>
      <sheetName val="_㴐ኰ"/>
      <sheetName val="_움ᕕ"/>
      <sheetName val="단양_00_아파트-세부내역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4b_Consolidated_PL"/>
      <sheetName val="TT_List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96보완계획7_12"/>
      <sheetName val="DESBAST"/>
      <sheetName val="_x005f_x0000__x00_x0000__x0000__x0000_"/>
      <sheetName val="97 사업추정(W؀_x0001__x0000__x0000_"/>
      <sheetName val="동력"/>
      <sheetName val="변압기"/>
      <sheetName val="Ext__Stone-P"/>
      <sheetName val="Process_Li 鸴"/>
      <sheetName val="Rate_Analysis"/>
      <sheetName val="투입계획서(변경)"/>
      <sheetName val="기안"/>
      <sheetName val="지하시설물작성"/>
      <sheetName val="사다리"/>
      <sheetName val="분류기준"/>
      <sheetName val="COVER-P"/>
      <sheetName val="ACTIVITY CODE &amp; AREA LIST"/>
      <sheetName val="일위목차"/>
      <sheetName val="일위대가목록"/>
      <sheetName val="중기단가목록"/>
      <sheetName val="천마갑지"/>
      <sheetName val="2담당0113"/>
      <sheetName val="1담당0113"/>
      <sheetName val="DATA SHEET(절대삭제 금지)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GRACE"/>
      <sheetName val="1_종합손익(주택,&quot;_x0000__x0000__x0000_"/>
      <sheetName val="제조원가_원단뿰朮_x0000__x0000_"/>
      <sheetName val="제조원가_원단뽰_x0000__x0000_"/>
      <sheetName val="제조원가_원단뽀ᚔ_x0000__x0000_"/>
      <sheetName val="0226"/>
      <sheetName val="견적내역서(산출근거)"/>
      <sheetName val="공사직종별노임"/>
      <sheetName val="_REF"/>
      <sheetName val="총괄갑 "/>
      <sheetName val="12년_CF(9월_x0000_"/>
      <sheetName val="표건"/>
      <sheetName val="NON SLIP"/>
      <sheetName val="로우프"/>
      <sheetName val="개산견적원본"/>
      <sheetName val="H.P견적(참조)"/>
      <sheetName val="공사예산하조서(O.K)"/>
      <sheetName val="504전기실_"/>
      <sheetName val="12년_CF౮_x0002_저殑"/>
      <sheetName val="6PILE__(_xddf4_ㆥ堀"/>
      <sheetName val="6PILE__(౮_x0002_저"/>
      <sheetName val="7_공사비집_x0000__x0000__x0000__x0000_⽐ʇ_x0000_"/>
      <sheetName val="자본금99(수)"/>
      <sheetName val="Tr.C 당일자금판"/>
      <sheetName val="8월현금흐름표"/>
      <sheetName val="종합"/>
      <sheetName val="리드14"/>
      <sheetName val="표지 (3)"/>
      <sheetName val="KENworth"/>
      <sheetName val="범한여행"/>
      <sheetName val="내역서(토목)"/>
      <sheetName val="1차)기초데이터_인건비월별추정"/>
      <sheetName val="07~08_PL"/>
      <sheetName val="간접비 총괄표"/>
      <sheetName val="할증 "/>
      <sheetName val="3BL공동구 수량"/>
      <sheetName val="2.하중산정"/>
      <sheetName val="12월시산표"/>
      <sheetName val="손익계산서(출력)"/>
      <sheetName val="매출원가"/>
      <sheetName val="※유형구분분류 (2)"/>
      <sheetName val="Ref1"/>
      <sheetName val="1-8"/>
      <sheetName val="HK1.83站合力改善 "/>
      <sheetName val="D"/>
      <sheetName val="act98"/>
      <sheetName val="건설중인"/>
      <sheetName val="대지급(한미)"/>
      <sheetName val="NOZZLE제작단가"/>
      <sheetName val="Electrical Load List"/>
      <sheetName val="월별"/>
      <sheetName val="Sheet376"/>
      <sheetName val="단독빌딩_총합계본"/>
      <sheetName val="제조원가"/>
      <sheetName val="원료 CODE"/>
      <sheetName val="계열사현황종합"/>
      <sheetName val="Xunit_(단위환산)"/>
      <sheetName val="특수,항공_부서코드표3"/>
      <sheetName val="예산조정신청서_양식3"/>
      <sheetName val="96예산신청을_위한_양식및_공문3"/>
      <sheetName val="96예산신청을%20위한%20양식및%20공문_XLS1"/>
      <sheetName val="#1_Basic3"/>
      <sheetName val="STRAT_PLAN_WKSHT4"/>
      <sheetName val="Sales_Plan_&amp;_other4"/>
      <sheetName val="drop_downs3"/>
      <sheetName val="견적_맵2"/>
      <sheetName val="7300-1000_113"/>
      <sheetName val="PJT_현황2"/>
      <sheetName val="참고)_기준정보2"/>
      <sheetName val="Long_Term_Prices2"/>
      <sheetName val="업무분장_2"/>
      <sheetName val="구분_Table2"/>
      <sheetName val="문의내용_카테고리_분류(수정X)2"/>
      <sheetName val="Diesel_Price_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목차_1"/>
      <sheetName val="0__물류비집계_rev11"/>
      <sheetName val="0__물류비_집계1"/>
      <sheetName val="(1-2)_국내_구간별_운송_견적_11"/>
      <sheetName val="(1-1)_국내_구간별_운송_실적__(2)1"/>
      <sheetName val="(1)_국내_사이트_상세_주소_1"/>
      <sheetName val="수입_건수_정리1"/>
      <sheetName val="(2-1)_수출_해상_(LCL)_1"/>
      <sheetName val="(2-2)_수출_항공_1"/>
      <sheetName val="(2-4)_수출_내륙_운송료1"/>
      <sheetName val="(3-1)_수입_해상_(FCL)1"/>
      <sheetName val="(3-2)_수입_해상_(LCL)_1"/>
      <sheetName val="(3-3)_수입_항공_1"/>
      <sheetName val="(3-5)_수입_내륙_운송료1"/>
      <sheetName val="운송내역_1"/>
      <sheetName val="Project_Count2"/>
      <sheetName val="역T형옹벽(3_0)2"/>
      <sheetName val="외상매출금현황-수정분_A22"/>
      <sheetName val="control_sheet2"/>
      <sheetName val="SPT_vs_PHI1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NKC_(final)2"/>
      <sheetName val="PF_현황(11년12월)2"/>
      <sheetName val="Sensitivity_and_GC_Value2"/>
      <sheetName val="참고3_DATA1"/>
      <sheetName val="입찰내역_1"/>
      <sheetName val="토공(우물통,기타)_1"/>
      <sheetName val="Insight_MTD_QTD_YTD_DATA1"/>
      <sheetName val="Working_(PivotTable)1"/>
      <sheetName val="Essbase_(53_Weeks)1"/>
      <sheetName val="Essbase_(52_Weeks)1"/>
      <sheetName val="Store_Listing1"/>
      <sheetName val="COMP_Working1"/>
      <sheetName val="COMP_LLY_Working1"/>
      <sheetName val="ALK_Chi_tiết_công_nợ1"/>
      <sheetName val="CHITIET_VL-NC-TT1p1"/>
      <sheetName val="PH_51"/>
      <sheetName val="bar_chart-rev1"/>
      <sheetName val="Xunit_(단위환산)1"/>
      <sheetName val="4월_매출1"/>
      <sheetName val="SAP_검증(평균환율)1"/>
      <sheetName val="SAP_검증(월말환율)1"/>
      <sheetName val="전분기말_정산표(PQE)1"/>
      <sheetName val="전년동기_정산표1"/>
      <sheetName val="전기말_정산표(PYE)1"/>
      <sheetName val="당기말_정산표(CPE)1"/>
      <sheetName val="A01-3_조정내역1"/>
      <sheetName val="A01-3_단순합산1"/>
      <sheetName val="매출채권_및_금융자산1"/>
      <sheetName val="A03-3_연결조정1"/>
      <sheetName val="A07__유형자산_차기이월,_미실현1"/>
      <sheetName val="A07__유형자산_감가상각1"/>
      <sheetName val="A08__연결_조정1"/>
      <sheetName val="A09__연결_조정1"/>
      <sheetName val="B01_연결_조정1"/>
      <sheetName val="B04_연결_조정1"/>
      <sheetName val="B05_연결_조정1"/>
      <sheetName val="납입자본(연결자본변동표_참조_작성)1"/>
      <sheetName val="이익잉여금(연결자본변동표_참조_작성)1"/>
      <sheetName val="기타포괄손익누계액(연결자본변동표_참조_작성)1"/>
      <sheetName val="D01_연결_조정1"/>
      <sheetName val="주당손익(개별파일_작성)1"/>
      <sheetName val="_Drop1"/>
      <sheetName val="7__2_4"/>
      <sheetName val="Report_Setup3"/>
      <sheetName val="OWNER-1_(2)3"/>
      <sheetName val="고객만족도_향상1"/>
      <sheetName val="108_수선비1"/>
      <sheetName val="BS준비_XLS1"/>
      <sheetName val="BS%EC%A4%80%EB%B9%84_XLS1"/>
      <sheetName val="퇴직금추계(04_9_30)1"/>
      <sheetName val="1_경제설계1"/>
      <sheetName val="경수97_021"/>
      <sheetName val="1995년_섹터별_매출1"/>
      <sheetName val="44-2Q_주석_xlsx1"/>
      <sheetName val="팀_업체별_월기성실적1"/>
      <sheetName val="팀_업체별_시공의뢰1"/>
      <sheetName val="A_(3)1"/>
      <sheetName val="DL08_DF_모드1"/>
      <sheetName val="원지_수급가1"/>
      <sheetName val="2_상각보정명세1"/>
      <sheetName val="특수,항공_부서코드표4"/>
      <sheetName val="예산조정신청서_양식4"/>
      <sheetName val="96예산신청을_위한_양식및_공문4"/>
      <sheetName val="96예산신청을%20위한%20양식및%20공문_XLS2"/>
      <sheetName val="4b_Consolidated_PL1"/>
      <sheetName val="TT_List1"/>
      <sheetName val="STROPEZ"/>
      <sheetName val="말뚝지지력산정"/>
      <sheetName val="종합표양식(품의_&amp;¾_x0000__x0000__x0000__x0000_漁ן"/>
      <sheetName val="총괄집계 "/>
      <sheetName val="입찰내역서(통합)A3"/>
      <sheetName val="입찰내역서(기본)"/>
      <sheetName val="입찰내역서(확장)"/>
      <sheetName val="C.S.A"/>
      <sheetName val="Rate"/>
      <sheetName val="Sch.6"/>
      <sheetName val="운반거리(0.7km)"/>
      <sheetName val="중기사용료"/>
      <sheetName val="챤넬"/>
      <sheetName val="제작LIST"/>
      <sheetName val="1_종합손익탬됊혁酧_x0000__x0000_ꠀⅱ"/>
      <sheetName val="1_종합손익훬酧_x0000__x0000_怀ꇨ吖ᑌ"/>
      <sheetName val="1_종합손익훬酧_x0000__x0000_㠀ᥖ吨ᑌ"/>
      <sheetName val="1_종합손익(_x0000__x0000_ᥨᗊ"/>
      <sheetName val="1_종합손익(葔ǯૐŖ"/>
      <sheetName val="1_종합손익(_x0000__x0000__x0005__x0000_"/>
      <sheetName val="변경전"/>
      <sheetName val="다이꾸"/>
      <sheetName val="Template"/>
      <sheetName val="플랜트 설치"/>
      <sheetName val="청산공사"/>
      <sheetName val="별제권_정리담보권"/>
      <sheetName val="단"/>
      <sheetName val="일위대가D"/>
      <sheetName val="Piping Design Data"/>
      <sheetName val="DANHPHAP"/>
      <sheetName val="CHITIET VL-NC-TT -1p"/>
      <sheetName val="CHITIET VL-NC-TT-3p"/>
      <sheetName val="TONG HOP VL-NC TT"/>
      <sheetName val="TDTKP1"/>
      <sheetName val="KPVC-BD "/>
      <sheetName val="_x005f_x0000__x00_x0000__x0000_Ԁ"/>
      <sheetName val="업무연덽_(2)9"/>
      <sheetName val="TinhGiaNC"/>
      <sheetName val="Thiet Bi"/>
      <sheetName val="Arch"/>
      <sheetName val="주식"/>
      <sheetName val="Assumption List"/>
      <sheetName val="schbhn"/>
      <sheetName val="schalt"/>
      <sheetName val="schtng"/>
      <sheetName val="PSV2701F"/>
      <sheetName val="타견적(을)"/>
      <sheetName val="기성내역"/>
      <sheetName val="C_d"/>
      <sheetName val="개요"/>
      <sheetName val="목공사품의서"/>
      <sheetName val="실토지와투자자12.6.30"/>
      <sheetName val="1.현금예금"/>
      <sheetName val="온라인 계수 기준표"/>
      <sheetName val="利润表"/>
      <sheetName val="정산표Y_E(10년-4Q)"/>
      <sheetName val="资产负债"/>
      <sheetName val="scoreY_E(10년-4Q)"/>
      <sheetName val="利润表FY10"/>
      <sheetName val="계획대비 실적_조정후"/>
      <sheetName val="투자비 상세(180117_김인태+2F 리모델링 추가)"/>
      <sheetName val="대비"/>
      <sheetName val="콘크리트타설집계표"/>
      <sheetName val="차도부연장현황"/>
      <sheetName val="Sheet⤖_x0000_崒"/>
      <sheetName val="수리결과"/>
      <sheetName val="구의33고"/>
      <sheetName val="적용단가표 (2)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C_Down_load_071613"/>
      <sheetName val="변경실행(2차)_13"/>
      <sheetName val="__한국_AMP_ASP-23_판매가격__13"/>
      <sheetName val="나_출고13"/>
      <sheetName val="나_입고13"/>
      <sheetName val="09년_인건비(속리산)13"/>
      <sheetName val="합산목표(감가+57_5)13"/>
      <sheetName val="b_balju_(2)13"/>
      <sheetName val="제조원가_원단위_분석13"/>
      <sheetName val="종합표양식(품의_&amp;_입고)_213"/>
      <sheetName val="원가관리_(동월대비)13"/>
      <sheetName val="중기조종사_단위단가13"/>
      <sheetName val="2-2_매출분석13"/>
      <sheetName val="6PILE__(돌출)13"/>
      <sheetName val="기성청구_공문13"/>
      <sheetName val="몰드시스템_리스트13"/>
      <sheetName val="11_외화채무증권(AFS,HTM)0813"/>
      <sheetName val="13_감액TEST_0813"/>
      <sheetName val="7_(2)15"/>
      <sheetName val="12년_CF(9월)13"/>
      <sheetName val="Sheet1_(2)13"/>
      <sheetName val="2_총괄표11"/>
      <sheetName val="sum1_(2)11"/>
      <sheetName val="504전기실_동부하-L11"/>
      <sheetName val="2_대외공문11"/>
      <sheetName val="表21_净利润调节表12"/>
      <sheetName val="입출재고현황_(2)11"/>
      <sheetName val="Facility_Information6"/>
      <sheetName val="2_주요계수총괄6"/>
      <sheetName val="3_바닥판설계11"/>
      <sheetName val="입찰내역_발주처_양식11"/>
      <sheetName val="P_M_별7"/>
      <sheetName val="TRE_TABLE11"/>
      <sheetName val="OUTER_AREA(겹침없음)11"/>
      <sheetName val="EL_표면적11"/>
      <sheetName val="Project_Brief6"/>
      <sheetName val="PAD_TR보호대기초5"/>
      <sheetName val="단면_(2)6"/>
      <sheetName val="근거_및_가정5"/>
      <sheetName val="09~10년_매출계획13"/>
      <sheetName val="2_카드채권(대출포함)12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Process_List15"/>
      <sheetName val="제시_손익계산서15"/>
      <sheetName val="업무연락_(2)15"/>
      <sheetName val="M_7회차_담금_계획15"/>
      <sheetName val="01_02월_성과급16"/>
      <sheetName val="97_사업추정(WEKI)11"/>
      <sheetName val="팀별_실적15"/>
      <sheetName val="팀별_실적_(환산)15"/>
      <sheetName val="6월_공정외주11"/>
      <sheetName val="1_차입금5"/>
      <sheetName val="118_세금과공과6"/>
      <sheetName val="Tong_hop11"/>
      <sheetName val="95_1_1이후취득자산(숨기기상태)11"/>
      <sheetName val="1_MDF1공장13"/>
      <sheetName val="1__시공측량5"/>
      <sheetName val="1_본사계정별6"/>
      <sheetName val="부대시행1_(2)5"/>
      <sheetName val="3_6_2남양주택배5"/>
      <sheetName val="Back_Data_16"/>
      <sheetName val="해외_기술훈련비_(합계)6"/>
      <sheetName val="수종별수량_(2)5"/>
      <sheetName val="전선_및_전선관5"/>
      <sheetName val="1월_예산5"/>
      <sheetName val="_견적서5"/>
      <sheetName val="#1)_투자_구분5"/>
      <sheetName val="Weekly_Progress(계장)5"/>
      <sheetName val="설산1_나5"/>
      <sheetName val="납부내역총괄표_(수정)5"/>
      <sheetName val="설문_평가5"/>
      <sheetName val="Utility_Usage_YTN_TOWER5"/>
      <sheetName val="B-1_기본정보5"/>
      <sheetName val="대투_보관자료_변경5"/>
      <sheetName val="G_R300경비4"/>
      <sheetName val="AS포장복구_4"/>
      <sheetName val="설_계4"/>
      <sheetName val="2013_2월_연결대상5"/>
      <sheetName val="Rev__Recon_14"/>
      <sheetName val="1_고객불만건수4"/>
      <sheetName val="1_변경범위4"/>
      <sheetName val="외주현황_wq15"/>
      <sheetName val="수량산출서_갑지4"/>
      <sheetName val="실행기성_갑지5"/>
      <sheetName val="Eq__Mobilization4"/>
      <sheetName val="KEY_CODE5"/>
      <sheetName val="2-1_강사료,교통비_지급명세5"/>
      <sheetName val="13_포장용역비표준5"/>
      <sheetName val="9_가공부자재표준5"/>
      <sheetName val="8_ROLL표준(TSW)5"/>
      <sheetName val="4_톤당조관량표준5"/>
      <sheetName val="5_조관부자재표준5"/>
      <sheetName val="4__Inj_투자상세내역15"/>
      <sheetName val="3__Blow_투자_상세내역15"/>
      <sheetName val="Jul-Sep_Actual_cost_(2)10"/>
      <sheetName val="요일_테이블15"/>
      <sheetName val="요일_테이블_(2)14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3_ISo_YTD15"/>
      <sheetName val="E_法规NC15"/>
      <sheetName val="Données_LMU15"/>
      <sheetName val="Brazil_Sovereign15"/>
      <sheetName val="Resumen_Costo15"/>
      <sheetName val="Fixed_ZBB15"/>
      <sheetName val="5_115"/>
      <sheetName val="Extract_Loss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Base_de_Dados15"/>
      <sheetName val="Testing_Template_Guidance15"/>
      <sheetName val="Test_Programs15"/>
      <sheetName val="Dados_BLP15"/>
      <sheetName val="Controls_data17"/>
      <sheetName val="FJJX_Bud_IB14"/>
      <sheetName val="look-up_data14"/>
      <sheetName val="JOB_PROFILE_-_LAS15"/>
      <sheetName val="ARdistr_(2)15"/>
      <sheetName val="Prd_Hierarchy(产品层级)14"/>
      <sheetName val="Com_(2PK)14"/>
      <sheetName val="Prd_Hierarchy(产品层次)14"/>
      <sheetName val="Project_Code14"/>
      <sheetName val="15년_BL_사계14"/>
      <sheetName val="_손익기01_XL14"/>
      <sheetName val="drop_down_list14"/>
      <sheetName val="[손익기01_XL_x005f_x0000__x005f_x0000_DePara14"/>
      <sheetName val="[손익기01_XL14"/>
      <sheetName val="Income_Stmt14"/>
      <sheetName val="Quarterly_LBO_Model14"/>
      <sheetName val="_손익기01_XL_x005f_x0000__x005f_x0000_DePara14"/>
      <sheetName val="Classification_分类13"/>
      <sheetName val="Figures_Report13"/>
      <sheetName val="Set_Up14"/>
      <sheetName val="Fare_prices13"/>
      <sheetName val="Hotel_prices13"/>
      <sheetName val="tab_STATUS_DO_PROCESSO_13"/>
      <sheetName val="Perf__Plan__Diário113"/>
      <sheetName val="In_(2)13"/>
      <sheetName val="slide_24_cat_A13"/>
      <sheetName val="slide_82_cat_b13"/>
      <sheetName val="Incident_유형구분표13"/>
      <sheetName val="CLASIFICACION_DE_AI13"/>
      <sheetName val="Base_da_Datos13"/>
      <sheetName val="Dados_dos_Produtos13"/>
      <sheetName val="DD_list13"/>
      <sheetName val="3YP2016-Bottom_up12"/>
      <sheetName val="MASTER_APP12"/>
      <sheetName val="Cond__Inseguros12"/>
      <sheetName val="Comp__Inseguros12"/>
      <sheetName val="Lista_de_datos12"/>
      <sheetName val="Base_de_Datos12"/>
      <sheetName val="_DD_List12"/>
      <sheetName val="Share_Price_200212"/>
      <sheetName val="Clasif_12"/>
      <sheetName val="Lista_CI12"/>
      <sheetName val="Farol_Acciones12"/>
      <sheetName val="Lista_de_Entrenamientos12"/>
      <sheetName val="Supply_Cost_Centers12"/>
      <sheetName val="BEP_加薪_KPI11"/>
      <sheetName val="2-2_투자5"/>
      <sheetName val="Proj__Fin_5"/>
      <sheetName val="ITS_Assumptions4"/>
      <sheetName val="Master_Data4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7_Utility_Analysis4"/>
      <sheetName val="Operational_Activities4"/>
      <sheetName val="기초정보_코드4"/>
      <sheetName val="1__작성방식5"/>
      <sheetName val="조도계산서_(도서)4"/>
      <sheetName val="C1_3_14"/>
      <sheetName val="준검_내역서4"/>
      <sheetName val="F_월별기성수금현황_4"/>
      <sheetName val="A(Rev_3)3"/>
      <sheetName val="날개수량1_54"/>
      <sheetName val="표)CFT장_조직별_배분5"/>
      <sheetName val="20180214_P&amp;T5"/>
      <sheetName val="Ref__중점_추진_과제별_상세5"/>
      <sheetName val="2_6_三无_(2)4"/>
      <sheetName val="Worker_List4"/>
      <sheetName val="GB-IC_Villingen_GG4"/>
      <sheetName val="입찰내역_Ĉ3"/>
      <sheetName val="6월_공嚺㓶가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M&amp;Q_Lead4"/>
      <sheetName val="4_1_월별_에너지_사용량4"/>
      <sheetName val="Bank_code5"/>
      <sheetName val="Drop-down_RAW5"/>
      <sheetName val="산자사_운전용품3"/>
      <sheetName val="업무_분류(Category)3"/>
      <sheetName val="전기요금_산출내역2"/>
      <sheetName val="3_일반사상3"/>
      <sheetName val="부재료_비교(11년_vs_10년)9"/>
      <sheetName val="Dashboard_Prevención_Riesgos_11"/>
      <sheetName val="TOP_KPIs_MTM11"/>
      <sheetName val="PLAN_DE_ACCION11"/>
      <sheetName val="Faro_de_Indicadores11"/>
      <sheetName val="Unidades_SAC-REVENDA13"/>
      <sheetName val="FornecM_Check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Estratificación_AI11"/>
      <sheetName val="condicion_inseguras11"/>
      <sheetName val="Actos_Inseguros11"/>
      <sheetName val="Control_de_incidentes11"/>
      <sheetName val="Plan_de_Acción11"/>
      <sheetName val="_손익기01_XL_x005f_x005f_x005f_x0000__x005f_x005f_11"/>
      <sheetName val="Issues_List_Payments11"/>
      <sheetName val="turnover_reason퇴직사유11"/>
      <sheetName val="Grafica_Actos11"/>
      <sheetName val="POC_LIST11"/>
      <sheetName val="Condiciones_SyE11"/>
      <sheetName val="DETALLE_MENSUAL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REALxMETA_-_CERVEJA13"/>
      <sheetName val="REALxMETA_-_REFRI13"/>
      <sheetName val="Directrices_de_Metas_201711"/>
      <sheetName val="SKU_Basic_Data11"/>
      <sheetName val="Entity_Target11"/>
      <sheetName val="VALIDACION_DE_DATOS10"/>
      <sheetName val="Drop-down_List10"/>
      <sheetName val="by_DD10"/>
      <sheetName val="Check_Qualidade9"/>
      <sheetName val="De_Para10"/>
      <sheetName val="Check_Aderencia9"/>
      <sheetName val="Exchange_rate5"/>
      <sheetName val="TOWER_12TON4"/>
      <sheetName val="TOWER_10TON4"/>
      <sheetName val="JIB_CRANE,HOIST4"/>
      <sheetName val="첨부#2_Cash_Flow(현장작성)3"/>
      <sheetName val="1~9_하중계산2"/>
      <sheetName val="1_수인터널3"/>
      <sheetName val="시스템_개요_유효값2"/>
      <sheetName val="Basic_Information5"/>
      <sheetName val="JT3_0견적-구12"/>
      <sheetName val="진행_DATA_(2)4"/>
      <sheetName val="Dropbox_목록3"/>
      <sheetName val="Investment_Category2"/>
      <sheetName val="Base_Farol9"/>
      <sheetName val="Gerencial_IL9"/>
      <sheetName val="Ventas_Campo9"/>
      <sheetName val="ACTOS_POR_RIESGO9"/>
      <sheetName val="drop_lists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_손익기01_XL_x005f_x0000__x09"/>
      <sheetName val="요일_테이블_9"/>
      <sheetName val="Nombre_de_SOP9"/>
      <sheetName val="_mngt_Pillar9"/>
      <sheetName val="2__Indicadores9"/>
      <sheetName val="Ta_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Other_Listings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Pauta_RPS_Distribuição8"/>
      <sheetName val="Estoque_(2)8"/>
      <sheetName val="DATOS_DE_VALIDACIÓN8"/>
      <sheetName val="Datos_con8"/>
      <sheetName val="_Datos_Cond_8"/>
      <sheetName val="Comp_Inseguros8"/>
      <sheetName val="BNR_2012_в_ящике8"/>
      <sheetName val="INGRESO_(2)8"/>
      <sheetName val="PG-K1610_(UEN_Areas)MNG8"/>
      <sheetName val="DATOS_GEN_8"/>
      <sheetName val="NUEVOS_CRITERIOS8"/>
      <sheetName val="Condiciones_Agua8"/>
      <sheetName val="DO_NOT_MOVE8"/>
      <sheetName val="Dropdown_list7"/>
      <sheetName val="Control_de_Fallas7"/>
      <sheetName val="Setup_for_Templates7"/>
      <sheetName val="Datos_emp7"/>
      <sheetName val="Drop_list7"/>
      <sheetName val="FX_Rates7"/>
      <sheetName val="Proced_7"/>
      <sheetName val="Cut_Machine_Summary7"/>
      <sheetName val="Validation_lists7"/>
      <sheetName val="__한국_AMP_ASP-23_판㧤가격__7"/>
      <sheetName val="11_䡸화채무줝ⴌ(AFS,HTM)08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Vagas_x_Candidatos7"/>
      <sheetName val="Listas_y_equipos_a_evaluar7"/>
      <sheetName val="Data_Reporte7"/>
      <sheetName val="Read_me7"/>
      <sheetName val="Champions_List6"/>
      <sheetName val="NAZ_Strategy5"/>
      <sheetName val="Daily_Dashboard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Data_selection6"/>
      <sheetName val="1_6"/>
      <sheetName val="Customer_&amp;_SO5"/>
      <sheetName val="Session_Proposal5"/>
      <sheetName val="Dropdown_Menu3"/>
      <sheetName val="Análise_Tempos4"/>
      <sheetName val="Incentivo_Automóvil4"/>
      <sheetName val="PDA_BOP4"/>
      <sheetName val="Validação_de_Dados4"/>
      <sheetName val="No_llenar_4"/>
      <sheetName val="유류대_현황3"/>
      <sheetName val="1__템플릿3"/>
      <sheetName val="2__작성_참고사항3"/>
      <sheetName val="mapping_(2)3"/>
      <sheetName val="Ref_3"/>
      <sheetName val="Lista_de_Motivos4"/>
      <sheetName val="Ponto_Crítico_-_Resp__Plano4"/>
      <sheetName val="Lista_Funcionários_(2)4"/>
      <sheetName val="2_3_Projects_Status3"/>
      <sheetName val="PROCESS_MD4"/>
      <sheetName val="Consolidated_Project_List3"/>
      <sheetName val="Fixed_Cost3"/>
      <sheetName val="Project_List3"/>
      <sheetName val="Выпадающие_списки3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SOP_Freshness2"/>
      <sheetName val="PAINEL_RECOLHA_CRÉDITO4"/>
      <sheetName val="Gráficos_-_CDD4"/>
      <sheetName val="3__Training_&amp;_travel5"/>
      <sheetName val="Dimension_IN_Sheet1!D19122"/>
      <sheetName val="Dimension_IN_19122"/>
      <sheetName val="Manage_to_Sustain2"/>
      <sheetName val="Meeting_List2"/>
      <sheetName val="Packages_Info2"/>
      <sheetName val="Preferred_Option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2020_MMR122"/>
      <sheetName val="Razão_Social2"/>
      <sheetName val="방배동내역_(총괄)2"/>
      <sheetName val="BSD_(2)2"/>
      <sheetName val="SRS_월별_BS3"/>
      <sheetName val="평가&amp;선급_미지급3"/>
      <sheetName val="EXC_IND2"/>
      <sheetName val="COLOR별_인쇄2"/>
      <sheetName val="Mot_So_Thuat_Ngu_EN-VI3"/>
      <sheetName val="노원열병합__건축공사기성내역서2"/>
      <sheetName val="3_공통공사대비2"/>
      <sheetName val="현장관리비_산출내역2"/>
      <sheetName val="무형자산_LS112"/>
      <sheetName val="NG_Item4"/>
      <sheetName val="NCR_HEC_6_Opens2"/>
      <sheetName val="NCR_HEC_4_Open_&amp;_Vendor_2_Open2"/>
      <sheetName val="수량산출서_(2)2"/>
      <sheetName val="첨부1-2__증감사유내역서(을)1"/>
      <sheetName val="경계석,골재외_(2)1"/>
      <sheetName val="Ref__Spec_Review_양식4"/>
      <sheetName val="Ref__시험항목_테이블4"/>
      <sheetName val="Ref__Search_Result_테이블4"/>
      <sheetName val="2_FM_Fee_2차년도2"/>
      <sheetName val="3_감가장비2"/>
      <sheetName val="10_예산_및_원가_계획(02년)2"/>
      <sheetName val="경영비율_3"/>
      <sheetName val="20년_동일기간_소테마2"/>
      <sheetName val="07_012"/>
      <sheetName val="3_판관비명세서1"/>
      <sheetName val="유효성_목록1"/>
      <sheetName val="총_원가계산1"/>
      <sheetName val="1_설계조건1"/>
      <sheetName val="1_설계기준1"/>
      <sheetName val="UPA(Part_C,D,E,G,H)1"/>
      <sheetName val="UPA(Part_F)1"/>
      <sheetName val="일위대가_(Part_C,D,E,G,H)1"/>
      <sheetName val="완성차_미수금1"/>
      <sheetName val="Process_Li1"/>
      <sheetName val="sum_1"/>
      <sheetName val="운영경비_세부작성근거2"/>
      <sheetName val="카테고리_분류_(수정X)1"/>
      <sheetName val="▶_일일출역_집계_202108191433161"/>
      <sheetName val="Ⅴ-2_공종별내역1"/>
      <sheetName val="ITB_COST1"/>
      <sheetName val="견적_(2)1"/>
      <sheetName val="실행내역서_1"/>
      <sheetName val="단양_00_아파트-세부내역1"/>
      <sheetName val="_손익기01_XL_x005f_x0000__x005f_x005f_x0"/>
      <sheetName val="KPIs-_TTP,_PTP,_People_Turnover"/>
      <sheetName val="1월_목표"/>
      <sheetName val="FILIAL_MINAS"/>
      <sheetName val="info_for_drop_box"/>
      <sheetName val="POCM_배송지"/>
      <sheetName val="데이터_유효성_목록"/>
      <sheetName val="Mapping_"/>
      <sheetName val="WS_DB"/>
      <sheetName val="Region_"/>
      <sheetName val="SKU_DB"/>
      <sheetName val="10_麦汁CIP清洗标准水量"/>
      <sheetName val="Tipo_Viaje"/>
      <sheetName val="Flota_y_Personal"/>
      <sheetName val="SAP_info"/>
      <sheetName val="Target_Book"/>
      <sheetName val="Name_List"/>
      <sheetName val="Ref_New_Contract_Model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입찰내역_Ĉ_x005f_x0000__x005f_x0000_ᇆ"/>
      <sheetName val="입찰내역_Ĉ_x005f_x0000__x005f_x0000_ᇆ"/>
      <sheetName val="제임스짐_예상매출_for_2023B"/>
      <sheetName val="ACTIVITY_CODE_&amp;_AREA_LIST"/>
      <sheetName val="예산표_"/>
      <sheetName val="PAINT_(2)"/>
      <sheetName val="물량표_(2)"/>
      <sheetName val="Noncurrent_assets"/>
      <sheetName val="1)_MALL"/>
      <sheetName val="2_Consideration_sheet1"/>
      <sheetName val="3__Export1"/>
      <sheetName val="표지_(3)"/>
      <sheetName val="Act_vs__budget"/>
      <sheetName val="a_연결정리"/>
      <sheetName val="2021_KPI_SD_(대표이사)"/>
      <sheetName val="_손익기01_XL__DePara1"/>
      <sheetName val="Ⅱ_추정종합"/>
      <sheetName val="96보완계획7_121"/>
      <sheetName val="member_design"/>
      <sheetName val="design_criteria"/>
      <sheetName val="working_load_at_the_btm_ft_"/>
      <sheetName val="plan&amp;section_of_foundation"/>
      <sheetName val="97_사업추정(W؀"/>
      <sheetName val="Requirement(Work_Crew)"/>
      <sheetName val="3BL공동구_수량"/>
      <sheetName val="NON_SLIP"/>
      <sheetName val="8호선_원가_투입내역"/>
      <sheetName val="Criteria_List"/>
      <sheetName val="DATA_SHEET(절대삭제_금지)"/>
      <sheetName val="Spreadsheet_Information"/>
      <sheetName val="VS_P-Q"/>
      <sheetName val="Electrical_Load_List"/>
      <sheetName val="시설이용권명세서"/>
      <sheetName val="Data추가sheet"/>
      <sheetName val="NBCF"/>
      <sheetName val="INVDAYS"/>
      <sheetName val="생계99ST"/>
      <sheetName val="SHAFT"/>
      <sheetName val="_손익기01_XL_x005f_x0000__x8"/>
      <sheetName val="_x0000__x005f"/>
      <sheetName val="_x005f_x0018__x005f"/>
      <sheetName val="[손익기01_XL_x0000__x0000_DePara12"/>
      <sheetName val="_손익기01_XL_x0000__x0000_DePara12"/>
      <sheetName val="_손익기01_XL_x005f_x0000__x9"/>
      <sheetName val="_손익기01_XL_x0000__x07"/>
      <sheetName val="[손익기01_XL_x0000__x0000_DePara13"/>
      <sheetName val="_손익기01_XL_x0000__x0000_DePara13"/>
      <sheetName val="_손익기01_XL_x005f_x0000__10"/>
      <sheetName val="_손익기01_XL_x0000__x08"/>
      <sheetName val="종합표양식(품의좲?쒥⠀쮎_x001d__x0000__x0000_"/>
      <sheetName val="_x0000__x00_x0000__x0000__x0000_"/>
      <sheetName val="[손익기01_XL_x0000__x0000_DePara14"/>
      <sheetName val="_손익기01_XL_x0000__x0000_DePara14"/>
      <sheetName val="_손익기01_XL_x005f_x0000__11"/>
      <sheetName val="_손익기01_XL_x0000__x09"/>
      <sheetName val="6PILE__(?ㆥ堀"/>
      <sheetName val="Attach 4-18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Planilha_relts__eos7"/>
      <sheetName val="_손익기01_XL__DePara9"/>
      <sheetName val="슬래_"/>
      <sheetName val="_손익기01_XL__DePara10"/>
      <sheetName val="Notes"/>
      <sheetName val="D1300 자삽"/>
      <sheetName val="총제품수불"/>
      <sheetName val="95년12월말"/>
      <sheetName val="을"/>
      <sheetName val="_손익기01_XL_x005f_x0000__x005f_x005f_x1"/>
      <sheetName val="_손익기01_XL_x005f_x0000__x005f_x005f_x2"/>
      <sheetName val="_손익기01_XL_x005f_x0000__x005f_x005f_x3"/>
      <sheetName val="Planilha_relts?eos7"/>
      <sheetName val="_손익기01_XL_x005f_x0000__x005f_x005f_x4"/>
      <sheetName val="_손익기01_XL_x005f_x0000__x005f_x005f_x5"/>
      <sheetName val="_손익기01_XL_x005f_x0000__x005f_x005f_x6"/>
      <sheetName val="_손익기01_XL_x005f_x0000__x005f_x005f_x7"/>
      <sheetName val="_손익기01_XL_x005f_x0000__x005f_x005f_x8"/>
      <sheetName val="_손익기01_XL_x005f_x0000__x005f_x005f_x9"/>
      <sheetName val="_손익기01_XL_x005f_x0000__x005f_x005f_10"/>
      <sheetName val="종현황"/>
      <sheetName val="단가비교표"/>
      <sheetName val="기성청구°_x0000__x0000__x0000_"/>
      <sheetName val="일위대가1"/>
      <sheetName val="12"/>
      <sheetName val="은아수_05월 주간 및 요일별 평균매출"/>
      <sheetName val="공사설계서"/>
      <sheetName val="직노"/>
      <sheetName val="H_P견적(참조)"/>
      <sheetName val="공사예산하조서(O_K)"/>
      <sheetName val="신규단가 #1"/>
      <sheetName val="외장판넬 내역서"/>
      <sheetName val="소상 &quot;1&quot;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/>
      <sheetData sheetId="1421"/>
      <sheetData sheetId="1422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 refreshError="1"/>
      <sheetData sheetId="1655"/>
      <sheetData sheetId="1656"/>
      <sheetData sheetId="1657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 refreshError="1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 refreshError="1"/>
      <sheetData sheetId="2564"/>
      <sheetData sheetId="2565"/>
      <sheetData sheetId="2566"/>
      <sheetData sheetId="2567" refreshError="1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/>
      <sheetData sheetId="2658"/>
      <sheetData sheetId="2659"/>
      <sheetData sheetId="2660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/>
      <sheetData sheetId="2729"/>
      <sheetData sheetId="2730" refreshError="1"/>
      <sheetData sheetId="2731" refreshError="1"/>
      <sheetData sheetId="2732" refreshError="1"/>
      <sheetData sheetId="2733" refreshError="1"/>
      <sheetData sheetId="2734"/>
      <sheetData sheetId="2735" refreshError="1"/>
      <sheetData sheetId="2736" refreshError="1"/>
      <sheetData sheetId="2737" refreshError="1"/>
      <sheetData sheetId="2738" refreshError="1"/>
      <sheetData sheetId="2739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/>
      <sheetData sheetId="2788"/>
      <sheetData sheetId="2789"/>
      <sheetData sheetId="2790" refreshError="1"/>
      <sheetData sheetId="2791" refreshError="1"/>
      <sheetData sheetId="2792" refreshError="1"/>
      <sheetData sheetId="2793" refreshError="1"/>
      <sheetData sheetId="2794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/>
      <sheetData sheetId="3070"/>
      <sheetData sheetId="307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/>
      <sheetData sheetId="3090" refreshError="1"/>
      <sheetData sheetId="3091" refreshError="1"/>
      <sheetData sheetId="3092" refreshError="1"/>
      <sheetData sheetId="3093" refreshError="1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/>
      <sheetData sheetId="3103"/>
      <sheetData sheetId="3104"/>
      <sheetData sheetId="3105"/>
      <sheetData sheetId="3106"/>
      <sheetData sheetId="3107"/>
      <sheetData sheetId="3108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/>
      <sheetData sheetId="3185"/>
      <sheetData sheetId="3186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/>
      <sheetData sheetId="3196" refreshError="1"/>
      <sheetData sheetId="3197" refreshError="1"/>
      <sheetData sheetId="3198" refreshError="1"/>
      <sheetData sheetId="3199" refreshError="1"/>
      <sheetData sheetId="3200"/>
      <sheetData sheetId="3201"/>
      <sheetData sheetId="3202" refreshError="1"/>
      <sheetData sheetId="3203" refreshError="1"/>
      <sheetData sheetId="3204" refreshError="1"/>
      <sheetData sheetId="3205" refreshError="1"/>
      <sheetData sheetId="3206"/>
      <sheetData sheetId="3207"/>
      <sheetData sheetId="3208"/>
      <sheetData sheetId="3209" refreshError="1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/>
      <sheetData sheetId="3643"/>
      <sheetData sheetId="3644"/>
      <sheetData sheetId="3645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/>
      <sheetData sheetId="4326"/>
      <sheetData sheetId="4327"/>
      <sheetData sheetId="4328" refreshError="1"/>
      <sheetData sheetId="4329" refreshError="1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 refreshError="1"/>
      <sheetData sheetId="4528" refreshError="1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 refreshError="1"/>
      <sheetData sheetId="4632" refreshError="1"/>
      <sheetData sheetId="4633" refreshError="1"/>
      <sheetData sheetId="4634" refreshError="1"/>
      <sheetData sheetId="4635"/>
      <sheetData sheetId="4636"/>
      <sheetData sheetId="4637"/>
      <sheetData sheetId="4638"/>
      <sheetData sheetId="4639"/>
      <sheetData sheetId="4640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 refreshError="1"/>
      <sheetData sheetId="5044" refreshError="1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/>
      <sheetData sheetId="5410"/>
      <sheetData sheetId="541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/>
      <sheetData sheetId="5503"/>
      <sheetData sheetId="5504" refreshError="1"/>
      <sheetData sheetId="5505"/>
      <sheetData sheetId="5506" refreshError="1"/>
      <sheetData sheetId="5507" refreshError="1"/>
      <sheetData sheetId="5508"/>
      <sheetData sheetId="5509"/>
      <sheetData sheetId="5510"/>
      <sheetData sheetId="5511"/>
      <sheetData sheetId="5512" refreshError="1"/>
      <sheetData sheetId="5513" refreshError="1"/>
      <sheetData sheetId="5514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/>
      <sheetData sheetId="5552"/>
      <sheetData sheetId="5553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/>
      <sheetData sheetId="5578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/>
      <sheetData sheetId="5652"/>
      <sheetData sheetId="5653"/>
      <sheetData sheetId="5654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/>
      <sheetData sheetId="5664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/>
      <sheetData sheetId="5733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/>
      <sheetData sheetId="5824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 refreshError="1"/>
      <sheetData sheetId="5859" refreshError="1"/>
      <sheetData sheetId="5860" refreshError="1"/>
      <sheetData sheetId="586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 refreshError="1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 refreshError="1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/>
      <sheetData sheetId="6992"/>
      <sheetData sheetId="6993"/>
      <sheetData sheetId="6994"/>
      <sheetData sheetId="6995"/>
      <sheetData sheetId="6996"/>
      <sheetData sheetId="6997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/>
      <sheetData sheetId="7615"/>
      <sheetData sheetId="7616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/>
      <sheetData sheetId="7689"/>
      <sheetData sheetId="7690" refreshError="1"/>
      <sheetData sheetId="7691" refreshError="1"/>
      <sheetData sheetId="7692" refreshError="1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 refreshError="1"/>
      <sheetData sheetId="7826" refreshError="1"/>
      <sheetData sheetId="7827" refreshError="1"/>
      <sheetData sheetId="7828" refreshError="1"/>
      <sheetData sheetId="7829"/>
      <sheetData sheetId="7830"/>
      <sheetData sheetId="783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  <sheetName val="Cover"/>
      <sheetName val="연결임시"/>
      <sheetName val="예정(3)"/>
      <sheetName val="동원(3)"/>
      <sheetName val="SUMMARY"/>
      <sheetName val="토목"/>
      <sheetName val="전선 및 전선관"/>
      <sheetName val="토목주소"/>
      <sheetName val="프랜트면허"/>
      <sheetName val="품셈"/>
      <sheetName val="간접경상비"/>
      <sheetName val="품셈TABLE"/>
      <sheetName val="덕전리"/>
      <sheetName val="N賃率-職"/>
      <sheetName val="물량산출서"/>
      <sheetName val="견적대비표"/>
      <sheetName val="1062-X방향 "/>
      <sheetName val="입찰보고"/>
      <sheetName val="견적"/>
      <sheetName val="INPUT"/>
      <sheetName val="인사자료총집계"/>
      <sheetName val="실행철강하도"/>
      <sheetName val="적용토목"/>
      <sheetName val="6동"/>
      <sheetName val="9gng운반"/>
      <sheetName val="DB"/>
      <sheetName val="0422_(2)3"/>
      <sheetName val="Good_Morning_증권-013"/>
      <sheetName val="입찰내역_발주처_양식2"/>
      <sheetName val="전선_및_전선관"/>
      <sheetName val="0422_(2)4"/>
      <sheetName val="Good_Morning_증권-014"/>
      <sheetName val="입찰내역_발주처_양식3"/>
      <sheetName val="전선_및_전선관1"/>
      <sheetName val="98수문일위"/>
      <sheetName val="설계내역서"/>
      <sheetName val="1062-X방향_"/>
      <sheetName val="견적서"/>
      <sheetName val="별표 "/>
      <sheetName val="직재"/>
      <sheetName val="I一般比"/>
      <sheetName val="J直材4"/>
      <sheetName val="설직재-1"/>
      <sheetName val="工완성공사율"/>
      <sheetName val="일위"/>
      <sheetName val="일위대가(4층원격)"/>
      <sheetName val="일위대가"/>
      <sheetName val="일위대가목록"/>
      <sheetName val="Book4"/>
      <sheetName val="2F 회의실견적(5_14 일대)"/>
      <sheetName val="자재단가"/>
      <sheetName val="VS P-Q"/>
      <sheetName val="200"/>
      <sheetName val="SIL98"/>
      <sheetName val="토공사"/>
      <sheetName val="관급"/>
      <sheetName val="기준_국가명"/>
      <sheetName val="JUCKEYK"/>
      <sheetName val="이자율"/>
      <sheetName val="샘플표지"/>
      <sheetName val="직노"/>
      <sheetName val="Eq. Mobilization"/>
      <sheetName val="시산표"/>
      <sheetName val="0422_(2)5"/>
      <sheetName val="Good_Morning_증권-015"/>
      <sheetName val="입찰내역_발주처_양식4"/>
      <sheetName val="전선_및_전선관2"/>
      <sheetName val="1062-X방향_1"/>
      <sheetName val="별표_"/>
      <sheetName val="2F_회의실견적(5_14_일대)"/>
      <sheetName val="VS_P-Q"/>
      <sheetName val="QandAJunior"/>
      <sheetName val="재집"/>
      <sheetName val="중소기업"/>
      <sheetName val="2.대외공문"/>
      <sheetName val="가설대가"/>
      <sheetName val="토공대가"/>
      <sheetName val="구조대가"/>
      <sheetName val="포설대가1"/>
      <sheetName val="부대대가"/>
      <sheetName val="지수적용공사비내역서"/>
      <sheetName val="건축내역"/>
      <sheetName val="95년12월말"/>
      <sheetName val="CTEMCOST"/>
      <sheetName val="상품입고집계"/>
      <sheetName val="교통대책내역"/>
      <sheetName val="1차설계변경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  <sheetName val="FORM-0"/>
      <sheetName val="대로근거"/>
      <sheetName val="제수"/>
      <sheetName val="공기"/>
      <sheetName val="CHECKLIST"/>
      <sheetName val="TEST1"/>
      <sheetName val="은행"/>
      <sheetName val="카니발(자105노60)"/>
      <sheetName val="기본DATA"/>
      <sheetName val="물량표"/>
      <sheetName val="UEC영화관본공사내역"/>
      <sheetName val="BSD (2)"/>
      <sheetName val="EQUIPMENT_-21"/>
      <sheetName val="배수내역_(2)"/>
      <sheetName val="입출재고현황_(2)"/>
      <sheetName val="플랜트_설치"/>
      <sheetName val="IMPEADENCE_MAP_취수장"/>
      <sheetName val="Sheet1_(2)"/>
      <sheetName val="C_&amp;_G_RHS"/>
      <sheetName val="유림골조"/>
      <sheetName val="소야공정계획표"/>
      <sheetName val="TYPE-A"/>
      <sheetName val="공사개요"/>
      <sheetName val="#REF"/>
      <sheetName val="c_balju"/>
      <sheetName val="구의33고"/>
      <sheetName val="1ST"/>
      <sheetName val="작성기준"/>
      <sheetName val="개산공사비"/>
      <sheetName val="EACT10"/>
      <sheetName val="ABUT수량-A1"/>
      <sheetName val="정부노임단가"/>
      <sheetName val="차선도색현황"/>
      <sheetName val="SUMMARY"/>
      <sheetName val="PAINT"/>
      <sheetName val="교량전기"/>
      <sheetName val="원가"/>
      <sheetName val="이자수익1"/>
      <sheetName val="95년간접비"/>
      <sheetName val="발생집계"/>
      <sheetName val="Y-WORK"/>
      <sheetName val="6PILE  (돌출)"/>
      <sheetName val="(실사조정)총괄"/>
      <sheetName val="Requirements"/>
      <sheetName val="0226"/>
      <sheetName val="차수"/>
      <sheetName val="5사남"/>
      <sheetName val="EQT-ESTN"/>
      <sheetName val="경비2내역"/>
      <sheetName val="집계표"/>
      <sheetName val="Front"/>
      <sheetName val="wall"/>
      <sheetName val="집 계 표"/>
      <sheetName val="APT"/>
      <sheetName val="부속동"/>
      <sheetName val="PKG"/>
      <sheetName val="기계내역서"/>
      <sheetName val="FB25JN"/>
      <sheetName val="동해title"/>
      <sheetName val="북방3터널"/>
      <sheetName val="기계경비(시간당)"/>
      <sheetName val="램머"/>
      <sheetName val="PROJECT BRIEF(EX.NEW)"/>
      <sheetName val="신표지1"/>
      <sheetName val="1-1"/>
      <sheetName val="기초1"/>
      <sheetName val="6호기"/>
      <sheetName val="운반"/>
      <sheetName val="기준액"/>
      <sheetName val="DATE"/>
      <sheetName val="자바라1"/>
      <sheetName val="해외 연수비용 계산-삭제"/>
      <sheetName val="해외 기술훈련비 (합계)"/>
      <sheetName val="원내역"/>
      <sheetName val="화성이화모듈공장"/>
      <sheetName val="질문"/>
      <sheetName val="예제"/>
      <sheetName val=""/>
      <sheetName val="기초단면설계"/>
      <sheetName val="Regenerator  Concrete Structure"/>
      <sheetName val="지사인원사무실"/>
      <sheetName val="SG"/>
      <sheetName val="카렌스센터계량기설치공사"/>
      <sheetName val="Ring"/>
      <sheetName val="업무분장"/>
      <sheetName val="200"/>
      <sheetName val="구분"/>
      <sheetName val="노임단가"/>
      <sheetName val="세부수량"/>
      <sheetName val="식재"/>
      <sheetName val="시설물"/>
      <sheetName val="식재출력용"/>
      <sheetName val="유지관리"/>
      <sheetName val="단가"/>
      <sheetName val="단가조사"/>
      <sheetName val="계수시트"/>
      <sheetName val="원가계산서"/>
      <sheetName val="간접"/>
      <sheetName val="데이타"/>
      <sheetName val="식재인부"/>
      <sheetName val="시설물일위"/>
      <sheetName val="가설공사"/>
      <sheetName val="단가결정"/>
      <sheetName val="내역아"/>
      <sheetName val="울타리"/>
      <sheetName val="표지 (2)"/>
      <sheetName val="인부신상자료"/>
      <sheetName val="현장관리비 산출내역"/>
      <sheetName val="노무비산출"/>
      <sheetName val="수량이동"/>
      <sheetName val="직공비"/>
      <sheetName val="전차선로 물량표"/>
      <sheetName val="간접비"/>
      <sheetName val="포장물량집계"/>
      <sheetName val="입력DATA"/>
      <sheetName val="원가계산(2)"/>
      <sheetName val="예산변경사항"/>
      <sheetName val="일위대가목차"/>
      <sheetName val="Ext. Stone-P"/>
      <sheetName val="DATA2000"/>
      <sheetName val="단가목록"/>
      <sheetName val="월별수입"/>
      <sheetName val="배수통관(좌)"/>
      <sheetName val="견적대비표"/>
      <sheetName val="반중력식옹벽"/>
      <sheetName val="견적서"/>
      <sheetName val="예가표"/>
      <sheetName val="실행철강하도"/>
      <sheetName val="현장"/>
      <sheetName val="업무처리전"/>
      <sheetName val="주방환기"/>
      <sheetName val="대치판정"/>
      <sheetName val="G.R300경비"/>
      <sheetName val="Project Brief"/>
      <sheetName val="실행"/>
      <sheetName val="SP-B1"/>
      <sheetName val="표지_(2)"/>
      <sheetName val="현장관리비_산출내역"/>
      <sheetName val="G_R300경비"/>
      <sheetName val="Project_Brief"/>
      <sheetName val="PROJECT_BRIEF(EX_NEW)"/>
      <sheetName val="침하계"/>
      <sheetName val="주식"/>
      <sheetName val="구성비"/>
      <sheetName val="기초일위"/>
      <sheetName val="수목단가"/>
      <sheetName val="시설수량표"/>
      <sheetName val="시설일위"/>
      <sheetName val="식재수량표"/>
      <sheetName val="식재일위"/>
      <sheetName val="sum1_(2)"/>
      <sheetName val="_Work_Order_양식_엑셀_121212_xlsx"/>
      <sheetName val="단면_(2)"/>
      <sheetName val="BSD_(2)"/>
      <sheetName val="토목품셈"/>
      <sheetName val="법면"/>
      <sheetName val="부대공"/>
      <sheetName val="구조물공"/>
      <sheetName val="중기일위대가"/>
      <sheetName val="토공"/>
      <sheetName val="배수공1"/>
      <sheetName val="금융비용"/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부하(성남)"/>
      <sheetName val="외천교"/>
      <sheetName val="자압1"/>
      <sheetName val="일반공사"/>
      <sheetName val="JUCK"/>
      <sheetName val="원남울진낙찰내역(99.4.13 부산청)"/>
      <sheetName val="경상비"/>
      <sheetName val="BQ(실행)"/>
      <sheetName val="다이꾸"/>
      <sheetName val="수안보-MBR1"/>
      <sheetName val="인원투입계획"/>
      <sheetName val="공사개요(사업승인변경)"/>
      <sheetName val="Macro1"/>
      <sheetName val="Macro(차단기)"/>
      <sheetName val="타공종이기"/>
      <sheetName val="가설건물"/>
      <sheetName val="D-623D"/>
      <sheetName val="예정(3)"/>
      <sheetName val="말뚝지지력산정"/>
      <sheetName val="Cost bd-&quot;A&quot;"/>
      <sheetName val="우각부보강"/>
      <sheetName val="소상 &quot;1&quot;"/>
      <sheetName val="노임"/>
      <sheetName val="내역표지"/>
      <sheetName val="Total"/>
      <sheetName val="약품공급2"/>
      <sheetName val="Pjny"/>
      <sheetName val="내역서1"/>
      <sheetName val="구천"/>
      <sheetName val="98NS-N"/>
      <sheetName val="5.모델링"/>
      <sheetName val="현금"/>
      <sheetName val="L_RPTA05_목록"/>
      <sheetName val="COPING"/>
      <sheetName val="자압"/>
      <sheetName val="매입세"/>
      <sheetName val="Sheet3"/>
      <sheetName val="U-TYPE(1)"/>
      <sheetName val="2층LOAD"/>
      <sheetName val="상 부"/>
      <sheetName val="물량산출근거"/>
      <sheetName val="EQUIPMENT_-22"/>
      <sheetName val="배수내역_(2)1"/>
      <sheetName val="입출재고현황_(2)1"/>
      <sheetName val="플랜트_설치1"/>
      <sheetName val="C_&amp;_G_RHS1"/>
      <sheetName val="6PILE__(돌출)"/>
      <sheetName val="Sheet1_(2)1"/>
      <sheetName val="IMPEADENCE_MAP_취수장1"/>
      <sheetName val="집_계_표"/>
      <sheetName val="Regenerator__Concrete_Structure"/>
      <sheetName val="해외_연수비용_계산-삭제"/>
      <sheetName val="해외_기술훈련비_(합계)"/>
      <sheetName val="전차선로_물량표"/>
      <sheetName val="Ext__Stone-P"/>
      <sheetName val="실행내역"/>
      <sheetName val="간접경상비"/>
      <sheetName val="일위대가(계측기설치)"/>
      <sheetName val="SANTOGO"/>
      <sheetName val="횡배수관토공수량"/>
      <sheetName val="SPEC"/>
      <sheetName val="실행내역서 "/>
      <sheetName val="data_dci"/>
      <sheetName val="data_mci"/>
      <sheetName val="behind"/>
      <sheetName val="Main"/>
      <sheetName val="LINE"/>
      <sheetName val="Curves"/>
      <sheetName val="cover"/>
      <sheetName val="Tables"/>
      <sheetName val="주관사업"/>
      <sheetName val="상반기손익차2총괄"/>
      <sheetName val="9-1차이내역"/>
      <sheetName val="inter"/>
      <sheetName val="Parts"/>
      <sheetName val="Menu A"/>
      <sheetName val="1.설계조건"/>
      <sheetName val="P-산#1-1(WOWA1)"/>
      <sheetName val="품목단가"/>
      <sheetName val="와동25-3(변경)"/>
      <sheetName val="INSTRUCTIONS"/>
      <sheetName val="Summary Sheets"/>
      <sheetName val="cost breakdown template"/>
      <sheetName val="단가표"/>
      <sheetName val="광혁기성"/>
      <sheetName val="기초분물량표"/>
      <sheetName val="개요"/>
      <sheetName val="경제성분석"/>
      <sheetName val="서울산업대(토)"/>
      <sheetName val="LEGEND"/>
      <sheetName val="AV시스템"/>
      <sheetName val="KC-moi"/>
      <sheetName val="Grundformel"/>
      <sheetName val="ASP"/>
      <sheetName val="CHIP_O"/>
      <sheetName val="FAB_I"/>
      <sheetName val="FAB_O"/>
      <sheetName val="FRT_O"/>
      <sheetName val="PKG_I"/>
      <sheetName val="FT_금액"/>
      <sheetName val="YIELD"/>
      <sheetName val="0415"/>
      <sheetName val="FAB별"/>
      <sheetName val="98비정기소모"/>
      <sheetName val="J01"/>
      <sheetName val="WEON"/>
      <sheetName val="Macro3"/>
      <sheetName val="ITB COST"/>
      <sheetName val="영업2"/>
      <sheetName val="960318-1"/>
      <sheetName val="공통부대비"/>
      <sheetName val="변경내역"/>
      <sheetName val="IPC BM01-TT"/>
      <sheetName val="IPC BM01-TƯ"/>
      <sheetName val="PL03A"/>
      <sheetName val="PL03A (2)"/>
      <sheetName val="IPC BM01-TT "/>
      <sheetName val="IPA"/>
      <sheetName val="Bang ke"/>
      <sheetName val="IPA new"/>
      <sheetName val="Alat"/>
      <sheetName val="Analisa Gabungan"/>
      <sheetName val="Sub"/>
      <sheetName val="표준건축비"/>
      <sheetName val="divI"/>
      <sheetName val="직재"/>
      <sheetName val="표지"/>
      <sheetName val="1.Air"/>
      <sheetName val="9.Cable&amp; Paint"/>
      <sheetName val="1.8.CleanRM"/>
      <sheetName val="4.Compressor."/>
      <sheetName val="7.Copper Pipe"/>
      <sheetName val="2.5.Ducts"/>
      <sheetName val="2.Fans"/>
      <sheetName val="5.5.Fire FT"/>
      <sheetName val="Project Data"/>
      <sheetName val="7.5 Insulation"/>
      <sheetName val="9.2.Item"/>
      <sheetName val="35.Machine &amp; Tank"/>
      <sheetName val="Material Qty"/>
      <sheetName val="3.Pumps &amp; Control Panel"/>
      <sheetName val="8.5.PVC Pipe"/>
      <sheetName val="5.Sanytary&amp;Kitchen"/>
      <sheetName val="8.SGP Pipe"/>
      <sheetName val="unit price list"/>
      <sheetName val="6.Valves"/>
      <sheetName val="동원(3)"/>
      <sheetName val="CAP"/>
      <sheetName val="Var."/>
      <sheetName val="R"/>
      <sheetName val="정리"/>
      <sheetName val="dV&amp;Cl"/>
      <sheetName val="EQUIPMENT"/>
      <sheetName val="PopCache"/>
      <sheetName val="요약배부"/>
      <sheetName val="Accounts"/>
      <sheetName val="BATCH"/>
      <sheetName val="단기차입금"/>
      <sheetName val="EQUIPMENT_-23"/>
      <sheetName val="배수내역_(2)2"/>
      <sheetName val="입출재고현황_(2)2"/>
      <sheetName val="플랜트_설치2"/>
      <sheetName val="sum1_(2)1"/>
      <sheetName val="_Work_Order_양식_엑셀_121212_xlsx1"/>
      <sheetName val="Sheet1_(2)2"/>
      <sheetName val="C_&amp;_G_RHS2"/>
      <sheetName val="IMPEADENCE_MAP_취수장2"/>
      <sheetName val="단면_(2)1"/>
      <sheetName val="BSD_(2)1"/>
      <sheetName val="집_계_표1"/>
      <sheetName val="6PILE__(돌출)1"/>
      <sheetName val="토목내역"/>
      <sheetName val="산근"/>
      <sheetName val="입찰내역 발주처 양식"/>
      <sheetName val="sum"/>
      <sheetName val="VXXXXXXX"/>
      <sheetName val="tggwan(mac)"/>
      <sheetName val="단면(RW1)"/>
      <sheetName val="Tender"/>
      <sheetName val="6MONTHS"/>
      <sheetName val="6. Scope of work "/>
      <sheetName val="4.6 Phân tích nhân sự "/>
      <sheetName val="4.5 Mức độ tham gia dự án"/>
      <sheetName val="Quantity"/>
      <sheetName val="3-PTDGR5 "/>
      <sheetName val="VL"/>
      <sheetName val="ND"/>
      <sheetName val="기계"/>
      <sheetName val="합천내역"/>
      <sheetName val="포장공사"/>
      <sheetName val="마감물량"/>
      <sheetName val="날개벽수량표"/>
      <sheetName val="95삼성급(본사)"/>
      <sheetName val="설 계"/>
      <sheetName val="화전내"/>
      <sheetName val="전기"/>
      <sheetName val="중기사용료"/>
      <sheetName val="EQUIPMENT_-24"/>
      <sheetName val="배수내역_(2)3"/>
      <sheetName val="입출재고현황_(2)3"/>
      <sheetName val="플랜트_설치3"/>
      <sheetName val="C_&amp;_G_RHS3"/>
      <sheetName val="Sheet1_(2)3"/>
      <sheetName val="IMPEADENCE_MAP_취수장3"/>
      <sheetName val="sum1_(2)2"/>
      <sheetName val="_Work_Order_양식_엑셀_121212_xlsx2"/>
      <sheetName val="단면_(2)2"/>
      <sheetName val="BSD_(2)2"/>
      <sheetName val="6PILE__(돌출)2"/>
      <sheetName val="집_계_표2"/>
      <sheetName val="전차선로_물량표1"/>
      <sheetName val="Regenerator__Concrete_Structur1"/>
      <sheetName val="표지_(2)1"/>
      <sheetName val="현장관리비_산출내역1"/>
      <sheetName val="PROJECT_BRIEF(EX_NEW)1"/>
      <sheetName val="해외_연수비용_계산-삭제1"/>
      <sheetName val="해외_기술훈련비_(합계)1"/>
      <sheetName val="Ext__Stone-P1"/>
      <sheetName val="원남울진낙찰내역(99_4_13_부산청)"/>
      <sheetName val="Cost_bd-&quot;A&quot;"/>
      <sheetName val="소상_&quot;1&quot;"/>
      <sheetName val="5_모델링"/>
      <sheetName val="상_부"/>
      <sheetName val="G_R300경비1"/>
      <sheetName val="Project_Brief1"/>
      <sheetName val="실행내역서_"/>
      <sheetName val="1_설계조건"/>
      <sheetName val="Summary_Sheets"/>
      <sheetName val="cost_breakdown_template"/>
      <sheetName val="ITB_COST"/>
      <sheetName val="Menu_A"/>
      <sheetName val="IPC_BM01-TT"/>
      <sheetName val="IPC_BM01-TƯ"/>
      <sheetName val="PL03A_(2)"/>
      <sheetName val="IPC_BM01-TT_"/>
      <sheetName val="Bang_ke"/>
      <sheetName val="IPA_new"/>
      <sheetName val="Analisa_Gabungan"/>
      <sheetName val="Var_"/>
      <sheetName val="6__Scope_of_work_"/>
      <sheetName val="4_6_Phân_tích_nhân_sự_"/>
      <sheetName val="4_5_Mức_độ_tham_gia_dự_án"/>
      <sheetName val="3-PTDGR5_"/>
      <sheetName val="입찰내역_발주처_양식"/>
      <sheetName val="CD"/>
      <sheetName val="Du_lieu"/>
      <sheetName val="PriceSummary"/>
      <sheetName val="Page 2"/>
      <sheetName val="Dasar"/>
      <sheetName val="SUM_Steel-Strc"/>
      <sheetName val="Conveyors"/>
      <sheetName val="C"/>
      <sheetName val="HARGA MATERIAL"/>
      <sheetName val="Inkindo 2015"/>
      <sheetName val="RT13526 CPI"/>
      <sheetName val="dftr harga"/>
      <sheetName val="prhit tulangan"/>
      <sheetName val="vol pek"/>
      <sheetName val="대비표"/>
      <sheetName val="JE-2"/>
      <sheetName val="H.Satuan"/>
      <sheetName val="Eng_Hrs"/>
      <sheetName val="F1.4"/>
      <sheetName val="DATASHT"/>
      <sheetName val="소비자가"/>
      <sheetName val="B"/>
      <sheetName val="콘크리트타설집계표"/>
      <sheetName val="AILC004"/>
      <sheetName val="Trans"/>
      <sheetName val="분석"/>
      <sheetName val="MASTER"/>
      <sheetName val="터널조도"/>
      <sheetName val="배수공 시멘트 및 골재량 산출"/>
      <sheetName val="노무비"/>
      <sheetName val="L V Separator"/>
      <sheetName val="TACE"/>
      <sheetName val="BLDG_DCI"/>
      <sheetName val="BLDG_MCI"/>
      <sheetName val="5_1_1 Cut-off SS install"/>
      <sheetName val="Cash2"/>
      <sheetName val="Z"/>
      <sheetName val="負荷集計（断熱不燃）"/>
      <sheetName val="MTL$-INTER"/>
      <sheetName val="1_Air"/>
      <sheetName val="9_Cable&amp;_Paint"/>
      <sheetName val="1_8_CleanRM"/>
      <sheetName val="4_Compressor_"/>
      <sheetName val="7_Copper_Pipe"/>
      <sheetName val="2_5_Ducts"/>
      <sheetName val="2_Fans"/>
      <sheetName val="5_5_Fire_FT"/>
      <sheetName val="Project_Data"/>
      <sheetName val="7_5_Insulation"/>
      <sheetName val="9_2_Item"/>
      <sheetName val="35_Machine_&amp;_Tank"/>
      <sheetName val="Material_Qty"/>
      <sheetName val="3_Pumps_&amp;_Control_Panel"/>
      <sheetName val="8_5_PVC_Pipe"/>
      <sheetName val="5_Sanytary&amp;Kitchen"/>
      <sheetName val="8_SGP_Pipe"/>
      <sheetName val="unit_price_list"/>
      <sheetName val="6_Valves"/>
      <sheetName val="수량산출1"/>
      <sheetName val="자재단가표"/>
      <sheetName val="^Control^"/>
      <sheetName val="대운산출"/>
      <sheetName val="Div2"/>
      <sheetName val="GC-2"/>
      <sheetName val="BQMPALOC"/>
      <sheetName val="V-1-1002bid"/>
      <sheetName val="E"/>
      <sheetName val="K"/>
      <sheetName val="Harsat Bahan"/>
      <sheetName val="LP3,h_dsr"/>
      <sheetName val="an_tek1"/>
      <sheetName val="REKAP"/>
      <sheetName val="boq"/>
      <sheetName val="Anls_ME Tampil"/>
      <sheetName val="Peralatan"/>
      <sheetName val="NEW DEFINITION"/>
      <sheetName val="BOM"/>
      <sheetName val="GDB"/>
      <sheetName val="Rev Index"/>
      <sheetName val="Price Schedule"/>
      <sheetName val="DESIGN"/>
      <sheetName val="OCT.FDN"/>
      <sheetName val="BAHAN"/>
      <sheetName val="upah,bhn,alt"/>
      <sheetName val="Sat_uph"/>
      <sheetName val="Accessories 2006"/>
      <sheetName val="Finished Goods 2006"/>
      <sheetName val="수량 및 수질"/>
      <sheetName val="용량계산(2006)"/>
      <sheetName val="表三"/>
      <sheetName val="PIPEDATA"/>
      <sheetName val="UnitAlloc"/>
      <sheetName val="3.공통공사대비"/>
      <sheetName val="2공구_산출"/>
      <sheetName val="계약"/>
      <sheetName val="기성내역"/>
      <sheetName val="판가반영"/>
      <sheetName val="DG-TNHC-85"/>
      <sheetName val="SITE-E"/>
      <sheetName val="SEX"/>
      <sheetName val="He so dieu chinh"/>
      <sheetName val="Buy vs. Lease Car"/>
      <sheetName val="도로경계단위"/>
      <sheetName val="proj"/>
      <sheetName val="일위대가표"/>
      <sheetName val="상수도토공집계표"/>
      <sheetName val="FAB&amp;EUV TOTAL"/>
      <sheetName val="Eq. Mobilization"/>
      <sheetName val="수량산출"/>
      <sheetName val="Erectn"/>
      <sheetName val="FCS"/>
      <sheetName val="GD 14"/>
      <sheetName val="NP"/>
      <sheetName val="struktur"/>
      <sheetName val="MATERIAL"/>
      <sheetName val="A H S P"/>
      <sheetName val="HSA &amp; PAB"/>
      <sheetName val="Harga Upah "/>
      <sheetName val="CapitalMetrics"/>
      <sheetName val="Concrete-UPA"/>
      <sheetName val="CIM"/>
      <sheetName val="Anls"/>
      <sheetName val="Total for Check"/>
      <sheetName val="KP1590_E"/>
      <sheetName val="DRUM"/>
      <sheetName val="24V"/>
      <sheetName val="HARSAT"/>
      <sheetName val="Fitting"/>
      <sheetName val="HX"/>
      <sheetName val="수습"/>
      <sheetName val="A6"/>
      <sheetName val="Income Statement"/>
      <sheetName val="DAFTAR ISI"/>
      <sheetName val="EXCHANGER-COM"/>
      <sheetName val="EXCHANGER-BEAM2"/>
      <sheetName val="EXCHANGER-BEAM1"/>
      <sheetName val="EXCHANGER"/>
      <sheetName val="Assignment Package"/>
      <sheetName val="Income Tax &amp; Social"/>
      <sheetName val="UK Burdens"/>
      <sheetName val="Local Office Costs"/>
      <sheetName val="Titles &amp; Commercial Variables"/>
      <sheetName val="견적 (2)"/>
      <sheetName val="자판실행"/>
      <sheetName val="신규DEP"/>
      <sheetName val="CAL1"/>
      <sheetName val="내역서 "/>
      <sheetName val="CC16-내역서"/>
      <sheetName val="98수문일위"/>
      <sheetName val="train cash"/>
      <sheetName val="accom cash"/>
      <sheetName val="Prices"/>
      <sheetName val="97 사업추정(WEKI)"/>
      <sheetName val="배수내역"/>
      <sheetName val="본사공가현황"/>
      <sheetName val="Sch.6"/>
      <sheetName val="원본"/>
      <sheetName val="BREAKDOWN(철거설치)"/>
      <sheetName val="장비임대료"/>
      <sheetName val="맨홀토공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  <sheetName val="설계내역서"/>
      <sheetName val="2공구산출내역"/>
      <sheetName val="COVER"/>
      <sheetName val="공문"/>
      <sheetName val="실행철강하도"/>
      <sheetName val="일위"/>
      <sheetName val="을"/>
      <sheetName val="단가산출"/>
      <sheetName val="을지"/>
      <sheetName val="일위대가표"/>
      <sheetName val="1,2,3,4,5단위수량"/>
      <sheetName val="한강운반비"/>
      <sheetName val="간접비"/>
      <sheetName val="내역서"/>
      <sheetName val="덕전리"/>
      <sheetName val="TEST1"/>
      <sheetName val="참조"/>
      <sheetName val="업무보고-(갑지)"/>
      <sheetName val="갑지"/>
      <sheetName val="중지"/>
      <sheetName val="을지(인테리어)"/>
      <sheetName val="공사비집계"/>
      <sheetName val="환산"/>
      <sheetName val="금액내역서"/>
      <sheetName val="일반전기C"/>
      <sheetName val="내역"/>
      <sheetName val="건축집계"/>
      <sheetName val="Sheet2"/>
      <sheetName val="수입"/>
      <sheetName val="DATA(VTL)"/>
      <sheetName val="아파트 "/>
      <sheetName val="총괄내역서"/>
      <sheetName val="예가표"/>
      <sheetName val="Detail"/>
      <sheetName val="노무비명세표"/>
      <sheetName val="양식001-@표준양식_xls"/>
      <sheetName val="P_M_별"/>
      <sheetName val="아파트_"/>
      <sheetName val="Customer Databas"/>
      <sheetName val="기초단가"/>
      <sheetName val="터파기및재료"/>
      <sheetName val="Sheet1"/>
      <sheetName val="양식001-@표준양식_xls1"/>
      <sheetName val="P_M_별1"/>
      <sheetName val="아파트_1"/>
      <sheetName val="Customer_Databas"/>
      <sheetName val="0226"/>
      <sheetName val="조명시설"/>
      <sheetName val="건축공사실행"/>
      <sheetName val="공조기"/>
      <sheetName val="단가산출1"/>
      <sheetName val="단가산출2"/>
      <sheetName val="총괄갑 "/>
      <sheetName val="음료실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  <sheetName val="BSD (2)"/>
      <sheetName val="잡비"/>
      <sheetName val="이자율"/>
      <sheetName val="시산표"/>
      <sheetName val="재무가정"/>
      <sheetName val="수정시산표"/>
      <sheetName val="인원계획-미화"/>
      <sheetName val="노무비"/>
      <sheetName val="Intro2"/>
      <sheetName val="Id"/>
      <sheetName val="업체FIX"/>
      <sheetName val="손익"/>
      <sheetName val="base"/>
      <sheetName val="분양금입금계획"/>
      <sheetName val="투입"/>
      <sheetName val="폼관조직"/>
      <sheetName val="#REF"/>
      <sheetName val="현장관리비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020114"/>
      <sheetName val="0111월"/>
      <sheetName val="매출"/>
      <sheetName val="국내총괄"/>
      <sheetName val="특판제외"/>
      <sheetName val="건축공사실행"/>
      <sheetName val="건축원가"/>
      <sheetName val="5사남"/>
      <sheetName val="SKETCH"/>
      <sheetName val="REINF."/>
      <sheetName val="LOADS"/>
      <sheetName val="CHECK1"/>
      <sheetName val="손익계산서"/>
      <sheetName val="설계내역서"/>
      <sheetName val="내역서"/>
      <sheetName val="전체"/>
      <sheetName val="일반"/>
      <sheetName val="실행철강하도"/>
      <sheetName val="건축내역"/>
      <sheetName val="지급자재"/>
      <sheetName val="ABUT수량-A1"/>
      <sheetName val="대손검토"/>
      <sheetName val="차액보증"/>
      <sheetName val="Sheet1 (2)"/>
      <sheetName val="입찰보고"/>
      <sheetName val="IMPEADENCE MAP 취수장"/>
      <sheetName val="차선도색현황"/>
      <sheetName val="견적공통"/>
      <sheetName val="1공구산출내역서"/>
      <sheetName val="날1"/>
      <sheetName val="2.주요계수총괄"/>
      <sheetName val="횡배수관토공수량"/>
      <sheetName val="원가"/>
      <sheetName val="INPUT"/>
      <sheetName val="낙찰표"/>
      <sheetName val="건축집계"/>
      <sheetName val="EACT10"/>
      <sheetName val="일위대가"/>
      <sheetName val="부대공Ⅱ"/>
      <sheetName val="단가대비표"/>
      <sheetName val="토공99-5=2"/>
      <sheetName val="01"/>
      <sheetName val="수목표준대가"/>
      <sheetName val="표지_(3)"/>
      <sheetName val="표지_(2)"/>
      <sheetName val="자재업체(egy)_"/>
      <sheetName val="노임이_(2)"/>
      <sheetName val="개요"/>
      <sheetName val="설비원가"/>
      <sheetName val="총괄"/>
      <sheetName val="EXPENSE"/>
      <sheetName val="당진1,2호기전선관설치및접지4차공사내역서-을지"/>
      <sheetName val="XZLC004_PART2"/>
      <sheetName val="XZLC003_PART1"/>
      <sheetName val="갑지"/>
      <sheetName val="대비"/>
      <sheetName val="간접경상비"/>
      <sheetName val="별제권_정리담보권"/>
      <sheetName val="적용환율"/>
      <sheetName val="확인서"/>
      <sheetName val="별제권_정리담보권1"/>
      <sheetName val="회사정보"/>
      <sheetName val="계수원본(99.2.28)"/>
      <sheetName val="대차대조표"/>
      <sheetName val="Scenario"/>
      <sheetName val="Ⅱ1-0타"/>
      <sheetName val="인근점포"/>
      <sheetName val="갑지1"/>
      <sheetName val="SO416"/>
      <sheetName val="기준및분포(OT)"/>
      <sheetName val="면적"/>
      <sheetName val="A (Calcs)"/>
      <sheetName val="B (Controls)"/>
      <sheetName val="Set-Up"/>
      <sheetName val="Multi-Iteration"/>
      <sheetName val="집계표"/>
      <sheetName val="최종"/>
      <sheetName val="choose"/>
      <sheetName val="fs"/>
      <sheetName val="원본"/>
      <sheetName val="공정코드"/>
      <sheetName val="9GNG운반"/>
      <sheetName val="지하시설물작성"/>
      <sheetName val="현금및현금등가물1"/>
      <sheetName val="982월원안"/>
      <sheetName val="Sheet6"/>
      <sheetName val="1-최종안"/>
      <sheetName val="사업분석-분양가결정"/>
      <sheetName val="편입조서"/>
      <sheetName val="빙장비사양"/>
      <sheetName val="장비사양"/>
      <sheetName val="본사공가현황"/>
      <sheetName val="공사내역"/>
      <sheetName val="제출 (2)"/>
      <sheetName val="ETC"/>
      <sheetName val="조건 (A)"/>
      <sheetName val="구성비"/>
      <sheetName val="증감대비"/>
      <sheetName val="SG"/>
      <sheetName val="출자한도"/>
      <sheetName val="Sheet3"/>
      <sheetName val="6동"/>
      <sheetName val="기본DATA"/>
      <sheetName val="차량운반구"/>
      <sheetName val="Dept Upload"/>
      <sheetName val="93상각비"/>
      <sheetName val="주관사업"/>
      <sheetName val="지장물"/>
      <sheetName val="D1300 자삽"/>
      <sheetName val="목차"/>
      <sheetName val="결산감사"/>
      <sheetName val="선수금(29)"/>
      <sheetName val="Config"/>
      <sheetName val="날개벽수량표"/>
      <sheetName val="퇴직금(울산천상)"/>
      <sheetName val="6PILE  (돌출)"/>
      <sheetName val="주식"/>
      <sheetName val="1.설계조건"/>
      <sheetName val="플랜트 설치"/>
      <sheetName val="원가계산서"/>
      <sheetName val="ABAD"/>
      <sheetName val="A1기성"/>
      <sheetName val="BGT"/>
      <sheetName val="CHAVOSH"/>
      <sheetName val="ZAR SAZ"/>
      <sheetName val="산출근거"/>
      <sheetName val="C_d"/>
      <sheetName val="현장관리비 산출내역"/>
      <sheetName val="95년12월말"/>
      <sheetName val="A"/>
      <sheetName val="소요자재"/>
      <sheetName val="노무산출서"/>
      <sheetName val="일위대가표"/>
      <sheetName val="1.취수장"/>
      <sheetName val="실행내역서 "/>
      <sheetName val="토목"/>
      <sheetName val="조건표"/>
      <sheetName val="표준대차대조표(갑)"/>
      <sheetName val="물량표(신)"/>
      <sheetName val="b_balju"/>
      <sheetName val="b_balju (2)"/>
      <sheetName val="b_gunmul"/>
      <sheetName val="물량표"/>
      <sheetName val="명단"/>
      <sheetName val="선급비용"/>
      <sheetName val="실행기초"/>
      <sheetName val="REINF_"/>
      <sheetName val="Customer_Databas"/>
      <sheetName val="2_주요계수총괄"/>
      <sheetName val="Sheet1_(2)"/>
      <sheetName val="IMPEADENCE_MAP_취수장"/>
      <sheetName val="BSD_(2)"/>
      <sheetName val="계수원본(99_2_28)"/>
      <sheetName val="A_(Calcs)"/>
      <sheetName val="B_(Controls)"/>
      <sheetName val="조건_(A)"/>
      <sheetName val="제출_(2)"/>
      <sheetName val="D1300_자삽"/>
      <sheetName val="1_설계조건"/>
      <sheetName val="Dept_Upload"/>
      <sheetName val="물건조서"/>
      <sheetName val="실농조서"/>
      <sheetName val="자바라1"/>
      <sheetName val="은행"/>
      <sheetName val="노동부"/>
      <sheetName val="시설이용권명세서"/>
      <sheetName val="안산기계장치"/>
      <sheetName val="5.1"/>
      <sheetName val="CAT_5"/>
      <sheetName val="산근"/>
      <sheetName val="입출재고현황 (2)"/>
      <sheetName val="Apt내역"/>
      <sheetName val="대운산출"/>
      <sheetName val="증감분석"/>
      <sheetName val="일위대가-1"/>
      <sheetName val="대치판정"/>
      <sheetName val="NAIL단가산출"/>
      <sheetName val="Sheet1"/>
      <sheetName val="Sheet4"/>
      <sheetName val="2월가격"/>
      <sheetName val="Ctrl"/>
      <sheetName val="Index"/>
      <sheetName val="영동(D)"/>
      <sheetName val="예산대비"/>
      <sheetName val="ASP포장"/>
      <sheetName val="포장공"/>
      <sheetName val="배수공"/>
      <sheetName val="토공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  <sheetName val="CIVIL"/>
      <sheetName val="사업성분석"/>
      <sheetName val="날개½_x005f_x0000_뜀표"/>
      <sheetName val="날개½"/>
      <sheetName val="일위_파일"/>
      <sheetName val="실행"/>
      <sheetName val="총내역서"/>
      <sheetName val="말뚝지지력산정"/>
      <sheetName val="1승인신청서"/>
      <sheetName val="국내"/>
      <sheetName val="D"/>
      <sheetName val="간접1"/>
      <sheetName val="제수"/>
      <sheetName val="공기"/>
      <sheetName val="배수통관토공수량"/>
      <sheetName val="98수문일위"/>
      <sheetName val="배명(단가)"/>
      <sheetName val="운반"/>
      <sheetName val="현장일반사항"/>
      <sheetName val="토공총괄표"/>
      <sheetName val="부안일위"/>
      <sheetName val="Inputs"/>
      <sheetName val="차선도색현황"/>
      <sheetName val="개산공사비"/>
      <sheetName val="전익자재"/>
      <sheetName val="건축2"/>
      <sheetName val="TOWER 10TON"/>
      <sheetName val="주식"/>
      <sheetName val="(C)원내역"/>
      <sheetName val="터널조도"/>
      <sheetName val="별표 "/>
      <sheetName val="조명율표"/>
      <sheetName val="단가조사-2"/>
      <sheetName val="VE절감"/>
      <sheetName val="청주(철골발주의뢰서)"/>
      <sheetName val="정렬"/>
      <sheetName val="분전함신설"/>
      <sheetName val="접지1종"/>
      <sheetName val="금액내역서"/>
      <sheetName val="입력"/>
      <sheetName val="7방수수량"/>
      <sheetName val="가격조사서"/>
      <sheetName val="WORK"/>
      <sheetName val="1.설계기준"/>
      <sheetName val="I.설계조건"/>
      <sheetName val="의왕"/>
      <sheetName val="6PILE  (돌출)"/>
      <sheetName val="금융비용"/>
      <sheetName val="실행_ALT1_"/>
      <sheetName val="1-1"/>
      <sheetName val="quotation"/>
      <sheetName val="공사수행방안"/>
      <sheetName val="울산시산표"/>
      <sheetName val="노임"/>
      <sheetName val="sum1 (2)"/>
      <sheetName val="잔여공정(감독청보고)"/>
      <sheetName val="전선"/>
      <sheetName val="1.설계조건"/>
      <sheetName val="입력DATA"/>
      <sheetName val="주빔의 설계"/>
      <sheetName val="JOIN(2span)"/>
      <sheetName val="철근량산정및사용성검토"/>
      <sheetName val="바닥판"/>
      <sheetName val="변경후-SHEET"/>
      <sheetName val="0226"/>
      <sheetName val="하조서"/>
      <sheetName val="무전표"/>
      <sheetName val="골조시행"/>
      <sheetName val="일위대가-1"/>
      <sheetName val="EXPENSE"/>
      <sheetName val="날개½?뜀표"/>
      <sheetName val="다이꾸"/>
      <sheetName val="MAIN_TABLE"/>
      <sheetName val="PROCURE"/>
      <sheetName val="품셈표"/>
      <sheetName val="형틀공사"/>
      <sheetName val="관급"/>
      <sheetName val="투찰(하수)"/>
      <sheetName val="태안9)3-2)원내역"/>
      <sheetName val="DS적용내역서"/>
      <sheetName val="날개½_x005f_x005f_x005f_x0000_뜀표"/>
      <sheetName val="견적정보"/>
      <sheetName val="동구분"/>
      <sheetName val="북방3터널"/>
      <sheetName val="약품공급2"/>
      <sheetName val="대로근거"/>
      <sheetName val="중로근거"/>
      <sheetName val="식생블럭단위수량"/>
      <sheetName val="C1ㅇ"/>
      <sheetName val="집계"/>
      <sheetName val="제직재"/>
      <sheetName val="설직재-1"/>
      <sheetName val="내역서2안"/>
      <sheetName val="패널"/>
      <sheetName val="경산"/>
      <sheetName val="콘크리트"/>
      <sheetName val="통합"/>
      <sheetName val="날개½_뜀표"/>
      <sheetName val="Gia vat tu"/>
      <sheetName val="RAB AR&amp;STR"/>
      <sheetName val="FitOutConfCentre"/>
      <sheetName val="Quantity"/>
      <sheetName val="負荷集計（断熱不燃）"/>
      <sheetName val="MTL$-INTER"/>
      <sheetName val="Du toan"/>
      <sheetName val="phan can ho 103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전기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Apt내역"/>
      <sheetName val="부대시설"/>
      <sheetName val="P.M 별"/>
      <sheetName val="J01"/>
      <sheetName val="슬래브"/>
      <sheetName val="총괄표"/>
      <sheetName val="목동세대 산출근거"/>
      <sheetName val="負荷集計 (不燃)"/>
      <sheetName val="負荷集計_断熱不燃_"/>
      <sheetName val="P"/>
      <sheetName val="MTP"/>
      <sheetName val="Dulieu"/>
      <sheetName val="dg-VTu"/>
      <sheetName val="KL hoàn thành"/>
      <sheetName val="外構・目次"/>
      <sheetName val="工場棟・目次"/>
      <sheetName val="事務棟・目次"/>
      <sheetName val="Earthwork"/>
      <sheetName val="MAIN GATE HOUSE"/>
      <sheetName val="負荷集計（愛知製鋼）"/>
      <sheetName val="負荷集計_(不燃)"/>
      <sheetName val="KL_hoàn_thành"/>
      <sheetName val="負荷集計_(不燃)1"/>
      <sheetName val="KL_hoàn_thành1"/>
      <sheetName val="MAIN_GATE_HOUSE"/>
      <sheetName val="Cash2"/>
      <sheetName val="Z"/>
      <sheetName val="THKP957"/>
      <sheetName val="Tính giá NC"/>
      <sheetName val="Hạng mục chung"/>
      <sheetName val="THCPTB"/>
      <sheetName val="THCPXD"/>
      <sheetName val="Chi phí dự phòng"/>
      <sheetName val="Đầu vào"/>
      <sheetName val="Tiên lượng"/>
      <sheetName val="SL cước"/>
      <sheetName val="NKSC thue"/>
      <sheetName val="Notes"/>
      <sheetName val="KL thanh toan-Xuan Dao"/>
      <sheetName val="Tinh thep"/>
      <sheetName val="ThuVien"/>
      <sheetName val="QUY CHE-CTG"/>
      <sheetName val="SEX"/>
      <sheetName val="SITE-E"/>
      <sheetName val="Chenh lech vat tu"/>
      <sheetName val="PNT-QUOT-#3"/>
      <sheetName val="COAT&amp;WRAP-QIOT-#3"/>
      <sheetName val="tifico"/>
      <sheetName val="CTG Xây tô"/>
      <sheetName val="XL4Poppy"/>
      <sheetName val="BM"/>
      <sheetName val="負荷集計_(不燃)2"/>
      <sheetName val="KL_hoàn_thành2"/>
      <sheetName val="MAIN_GATE_HOUSE1"/>
      <sheetName val="RAB_AR&amp;STR"/>
      <sheetName val="REF"/>
      <sheetName val="MTL(AG)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PTĐG"/>
      <sheetName val="RATE"/>
      <sheetName val="NVL"/>
      <sheetName val="Sheet2"/>
      <sheetName val="MTO REV_2_ARMOR_"/>
      <sheetName val="escon"/>
      <sheetName val="電気設備表"/>
      <sheetName val="KL-CABLE"/>
      <sheetName val="제1영업소"/>
      <sheetName val="제2영업소"/>
      <sheetName val="제3영업소"/>
      <sheetName val="SG"/>
      <sheetName val="3본사"/>
      <sheetName val="내역표지"/>
      <sheetName val="설계예산서"/>
      <sheetName val="일위대가목록"/>
      <sheetName val="인건비"/>
      <sheetName val="CODE"/>
      <sheetName val="피엘"/>
      <sheetName val="Ext__Stone-P2"/>
      <sheetName val="BSD_(2)2"/>
      <sheetName val="플랜트_설치2"/>
      <sheetName val="Menu_A2"/>
      <sheetName val="EQUIPMENT_-21"/>
      <sheetName val="COMPOHP_(2)1"/>
      <sheetName val="배수내역_(2)1"/>
      <sheetName val="PROJECT_BRIEF(EX_NEW)1"/>
      <sheetName val="기존단가_(2)2"/>
      <sheetName val="노원열병합__건축공사기성내역서1"/>
      <sheetName val="입출재고현황_(2)1"/>
      <sheetName val="BSD__2_1"/>
      <sheetName val="Sheet1_(2)1"/>
      <sheetName val="plan&amp;section_of_foundation1"/>
      <sheetName val="design_criteria1"/>
      <sheetName val="설_계1"/>
      <sheetName val="실행내역서_1"/>
      <sheetName val="BQ_List"/>
      <sheetName val="F301_303"/>
      <sheetName val="Raw_Data1"/>
      <sheetName val="Page_2"/>
      <sheetName val="220_(2)1"/>
      <sheetName val="1_취수장1"/>
      <sheetName val="내역_누락분_수량산출서"/>
      <sheetName val="Customer_Databas1"/>
      <sheetName val="EQUIP_LIST"/>
      <sheetName val="IMPEADENCE_MAP_취수장"/>
      <sheetName val="전차선로_물량표"/>
      <sheetName val="_갑지"/>
      <sheetName val="수량산출서_갑지"/>
      <sheetName val="견적대비_견적서"/>
      <sheetName val="갑지-19년1월"/>
      <sheetName val="중지"/>
      <sheetName val="을지-19년1월"/>
      <sheetName val="Ext__Stone-P3"/>
      <sheetName val="플랜트_설치3"/>
      <sheetName val="IMPEADENCE_MAP_취수장1"/>
      <sheetName val="BSD_(2)3"/>
      <sheetName val="Menu_A3"/>
      <sheetName val="COMPOHP_(2)2"/>
      <sheetName val="plan&amp;section_of_foundation2"/>
      <sheetName val="design_criteria2"/>
      <sheetName val="EQUIPMENT_-22"/>
      <sheetName val="기존단가_(2)3"/>
      <sheetName val="설_계2"/>
      <sheetName val="입출재고현황_(2)2"/>
      <sheetName val="Sheet1_(2)2"/>
      <sheetName val="노원열병합__건축공사기성내역서2"/>
      <sheetName val="PROJECT_BRIEF(EX_NEW)2"/>
      <sheetName val="실행내역서_2"/>
      <sheetName val="BSD__2_2"/>
      <sheetName val="Raw_Data2"/>
      <sheetName val="Customer_Databas2"/>
      <sheetName val="배수내역_(2)2"/>
      <sheetName val="1_취수장2"/>
      <sheetName val="220_(2)2"/>
      <sheetName val="BQ_List1"/>
      <sheetName val="F301_3031"/>
      <sheetName val="내역_누락분_수량산출서1"/>
      <sheetName val="전차선로_물량표1"/>
      <sheetName val="견적대비_견적서1"/>
      <sheetName val="EQUIP_LIST1"/>
      <sheetName val="Page_21"/>
      <sheetName val="_갑지1"/>
      <sheetName val="대림경상68억"/>
      <sheetName val="본관"/>
      <sheetName val="단가표"/>
      <sheetName val="내역_누락분_x0000__x0000_Ԁ_x0000_瀀靵"/>
      <sheetName val="내역_누락분_x0000__x0000_Ԁ_x0000_ꀀ쏼"/>
      <sheetName val="내역_누락분_x0000__x0000_Ԁ_x0000_耀ᳮ"/>
      <sheetName val="내역_누락분_x0000__x0000_Ԁ_x0000_ꀀ쑺"/>
      <sheetName val="내역_누락분_x0000__x0000_Ԁ_x0000_ꀀ쑷"/>
      <sheetName val="내역_누락분_x0000__x0000_Ԁ_x0000_ꀀ켡"/>
      <sheetName val="내역_누락분_x0000__x0000_Ԁ_x0000_瀀䉱"/>
      <sheetName val="내역_누락분_x0000__x0000_Ԁ_x0000_쀀ᰏ"/>
      <sheetName val="내역_누락분_x0000__x0000_Ԁ_x0000_ကꩉ炡"/>
      <sheetName val="내역_누락분_x0000__x0000_Ԁ_x0000_怀쨔烀"/>
      <sheetName val="내역_누락분_x0000__x0000_Ԁ_x0000_炢"/>
      <sheetName val="내역_누락분_x0000__x0000_Ԁ_x0000_怀炢"/>
      <sheetName val="551"/>
      <sheetName val="D-623D"/>
      <sheetName val="발주현황"/>
      <sheetName val="수주실적0709"/>
      <sheetName val="날개½_x005f_x005f_x005f_x005f_x005f_x005f_x005f_x0000_뜀표"/>
      <sheetName val="원가(㌔ɥ퟈ឩ허"/>
      <sheetName val="원가(㌔ɥ퟈ឩ_x0000_"/>
      <sheetName val="원가(_x0000__x0000__x0005__x0000_䣀"/>
      <sheetName val="ABB_Trans"/>
      <sheetName val="Main Feeder"/>
      <sheetName val="Capacitor"/>
      <sheetName val="Input_Data-1"/>
      <sheetName val="PE Wire"/>
      <sheetName val="XLPE_Cable"/>
      <sheetName val="Bill 1.CPC"/>
      <sheetName val="Tong hợp"/>
      <sheetName val="에너지동"/>
      <sheetName val="내역서을지"/>
      <sheetName val="b_balju"/>
      <sheetName val="Bill 2.1_BOQ ĐIỆN"/>
      <sheetName val="Bóc khối lượng"/>
      <sheetName val="BT-ELC"/>
      <sheetName val="Bill 2.2_BOQ ĐHKK&amp;TG"/>
      <sheetName val="Bill 2.3-PCCC(BoQ) "/>
      <sheetName val="Bill 2.4-CTN(BoQ)"/>
      <sheetName val="Bill 4.Do boc KL"/>
      <sheetName val="예정(3)"/>
      <sheetName val="동원(3)"/>
      <sheetName val="foxz"/>
      <sheetName val="Huong dan"/>
      <sheetName val="DXVT-00x"/>
      <sheetName val="2.KLVT"/>
      <sheetName val="3.KLDM"/>
      <sheetName val="4.TDVT"/>
      <sheetName val="5. NHAT KY THEO DOI CODE"/>
      <sheetName val="見積書"/>
      <sheetName val="外気負荷"/>
      <sheetName val="GOC-KO IN"/>
      <sheetName val="ABB"/>
      <sheetName val="8.PILE  (돌출)"/>
      <sheetName val="단위가격"/>
      <sheetName val="1SGATE97"/>
      <sheetName val="IAS Adj."/>
      <sheetName val="VAS Adj."/>
      <sheetName val="LIG"/>
      <sheetName val="Nam HN"/>
      <sheetName val="Royal"/>
      <sheetName val="基本"/>
      <sheetName val="TL-Goc Ko in"/>
      <sheetName val="배수통관(좌)"/>
      <sheetName val="내역_누락분³_x0000_Ԁ_x0000_퀀吔胋"/>
      <sheetName val="내역_누락분³_x0000_Ԁ_x0000_　秊胋"/>
      <sheetName val="내역_누락분Ñ_x0000_Ԁ_x0000_怀嫋"/>
      <sheetName val="내역_누락분³_x0000_Ԁ_x0000_㠠⩖"/>
      <sheetName val="내역_누락분³_x0000_Ԁ_x0000_耀⩜"/>
      <sheetName val="내역_누락분_수량산ᰐẗ_x0000_"/>
      <sheetName val="내역_누락분Ñ_x0000_Ԁ_x0000_　靾嫒"/>
      <sheetName val="내역_누락분Ñ_x0000_Ԁ_x0000_ 嫒"/>
      <sheetName val="내역_누락분Ñ_x0000_Ԁ_x0000_怀㤗嫒"/>
      <sheetName val="내역_누락분Ñ_x0000_Ԁ_x0000__x0000_矫嫒"/>
      <sheetName val="내역_누락분Ñ_x0000_Ԁ_x0000_瀀䷜벩"/>
      <sheetName val="내역_누락분Ñ_x0000_Ԁ_x0000_䀀࿭벳"/>
      <sheetName val="내역_누락분Ñ_x0000_Ԁ_x0000_　亪벩"/>
      <sheetName val="JOKUN"/>
      <sheetName val="Bill 04-Kim lo_x0000__x0000__x0005__x0000_鲀ᬅɃ_x0000_"/>
      <sheetName val="건축통합"/>
      <sheetName val="간접비 총괄표"/>
      <sheetName val="B"/>
      <sheetName val="전문"/>
      <sheetName val="예산서"/>
      <sheetName val="사급분"/>
      <sheetName val="도급총괄"/>
      <sheetName val="설계예시"/>
      <sheetName val="단가목록"/>
      <sheetName val="세부내역"/>
      <sheetName val="2공구산출내역"/>
      <sheetName val="주공 갑지"/>
      <sheetName val="기계설비설계서"/>
      <sheetName val="잡철물"/>
      <sheetName val="공사내역"/>
      <sheetName val="노임단가"/>
      <sheetName val="내역_누락분å_x0000_Ԁ_x0000_䀀쌵"/>
      <sheetName val="내역_누락분å_x0000_Ԁ_x0000_　騫쌵"/>
      <sheetName val="내역_누락분å_x0000_Ԁ_x0000_뀀颀쌵"/>
      <sheetName val="내역_누락분å_x0000_Ԁ_x0000_退桰쌸"/>
      <sheetName val="내역_누락분_x001e__x0000_Ԁ_x0000_ 陁쌹"/>
      <sheetName val="내역_누락분_x001e__x0000_Ԁ_x0000_倀椛쌸"/>
      <sheetName val="EP0618"/>
      <sheetName val="표층포설및다짐"/>
      <sheetName val="내역_누락분??Ԁ?瀀靵"/>
      <sheetName val="공통가설(기준안)"/>
      <sheetName val="BQ-E20-02(Rp)"/>
      <sheetName val="SCOPE OF WORK"/>
      <sheetName val="HS"/>
      <sheetName val="NETCOST-ACMV"/>
      <sheetName val="ACMV_General equipment"/>
      <sheetName val="NETCOST_ELV"/>
      <sheetName val="ELEC - DATA"/>
      <sheetName val="DTICH"/>
      <sheetName val="Mdata_FF"/>
      <sheetName val="Mdata_PD"/>
      <sheetName val="Netcost_FF"/>
      <sheetName val="Netcost_PD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CHITIET VL-NC-TT1p"/>
      <sheetName val="내역_누락분"/>
      <sheetName val="원가("/>
      <sheetName val="내역_누락분³"/>
      <sheetName val="내역_누락분Ñ"/>
      <sheetName val="Config"/>
      <sheetName val="Bangia"/>
      <sheetName val="TOWER_10TON"/>
      <sheetName val="별표_"/>
      <sheetName val="1_설계조건"/>
      <sheetName val="6PILE__(돌출)"/>
      <sheetName val="sum1_(2)"/>
      <sheetName val="주빔의_설계"/>
      <sheetName val="1_설계기준"/>
      <sheetName val="I_설계조건"/>
      <sheetName val="내역_누락분_x0000__x0000_Ԁ_x0000_退ᮨ颗"/>
      <sheetName val="내역_누락분Á_x0000_Ԁ_x0000_怀Ӟ뢫"/>
      <sheetName val="내역_누락분_수량산출_x0000__x0000_"/>
      <sheetName val="Ext__Stone-P4"/>
      <sheetName val="플랜트_설치4"/>
      <sheetName val="IMPEADENCE_MAP_취수장2"/>
      <sheetName val="BSD_(2)4"/>
      <sheetName val="Menu_A4"/>
      <sheetName val="COMPOHP_(2)3"/>
      <sheetName val="plan&amp;section_of_foundation3"/>
      <sheetName val="design_criteria3"/>
      <sheetName val="EQUIPMENT_-23"/>
      <sheetName val="기존단가_(2)4"/>
      <sheetName val="설_계3"/>
      <sheetName val="입출재고현황_(2)3"/>
      <sheetName val="Sheet1_(2)3"/>
      <sheetName val="노원열병합__건축공사기성내역서3"/>
      <sheetName val="PROJECT_BRIEF(EX_NEW)3"/>
      <sheetName val="실행내역서_3"/>
      <sheetName val="BSD__2_3"/>
      <sheetName val="Customer_Databas3"/>
      <sheetName val="Raw_Data3"/>
      <sheetName val="배수내역_(2)3"/>
      <sheetName val="220_(2)3"/>
      <sheetName val="1_취수장3"/>
      <sheetName val="BQ_List2"/>
      <sheetName val="F301_3032"/>
      <sheetName val="전차선로_물량표2"/>
      <sheetName val="내역_누락분_수량산출서2"/>
      <sheetName val="견적대비_견적서2"/>
      <sheetName val="EQUIP_LIST2"/>
      <sheetName val="Page_22"/>
      <sheetName val="_갑지2"/>
      <sheetName val="내역_누락분_x0000__x0000_Ԁ_x0000_е膰"/>
      <sheetName val="내역_누락분_x0000__x0000_Ԁ_x0000_斜膕"/>
      <sheetName val="내역_누락분_x0000__x0000_Ԁ_x0000_怀믗膱"/>
      <sheetName val="내역_누락분_x0000__x0000_Ԁ_x0000_ ۑ膣"/>
      <sheetName val="현장"/>
      <sheetName val="Rate-Code"/>
      <sheetName val="Staffing"/>
      <sheetName val="Contact"/>
      <sheetName val="Be Aware ! "/>
      <sheetName val="APPENDIX"/>
      <sheetName val="Ücret"/>
      <sheetName val="Suppliers"/>
      <sheetName val="2019 Q1 TB"/>
      <sheetName val="2018 TB"/>
      <sheetName val="2017 TB"/>
      <sheetName val="Data Entry"/>
      <sheetName val="RJE"/>
      <sheetName val="AJE"/>
      <sheetName val="IFRS TB"/>
      <sheetName val="Linked IS"/>
      <sheetName val="Non Deductable"/>
      <sheetName val="SAD corrected 2017"/>
      <sheetName val="IFRS PPE Data"/>
      <sheetName val="mdm"/>
      <sheetName val="CLASS 1,2,&amp;3"/>
      <sheetName val="CLASS 6"/>
      <sheetName val="MDM FC01"/>
      <sheetName val="FC03"/>
      <sheetName val="Yerel Bordro Tahmini"/>
      <sheetName val="IPS -FC3"/>
      <sheetName val="Budget"/>
      <sheetName val="Deferred Tax"/>
      <sheetName val="Stand-Alone FS + AJE and RJE"/>
      <sheetName val="Linked BS"/>
      <sheetName val="Changes in Equity"/>
      <sheetName val="Conversion Sheet"/>
      <sheetName val="Dipnot Kontrol"/>
      <sheetName val="5. Nakit ve Nakit Benzerleri"/>
      <sheetName val="6. Finansal Yatırımlar"/>
      <sheetName val="7. Finansal Borçlar"/>
      <sheetName val="8. Ticari Alacaklar ve Borçlar"/>
      <sheetName val="9. Diğer Alacak ve Borçlar"/>
      <sheetName val="11. Devam Eden İnşaat Söz."/>
      <sheetName val="12. Özkaynak Yön. Değ. Yat."/>
      <sheetName val="13. Yatırım Amaçlı Gay."/>
      <sheetName val="14. Maddi Duran Varlıklar"/>
      <sheetName val="15. Maddi Olmayan Duran Varlıkl"/>
      <sheetName val="16. Ertelenmiş Gelirler"/>
      <sheetName val="17. Şarta Bağlı Varlık ve Yüküm"/>
      <sheetName val="19. Çalışanlara Sağlanan Faydal"/>
      <sheetName val="20. Peşin Ödenmiş Giderler"/>
      <sheetName val="21. Diğer Varlık ve Yükümlülükl"/>
      <sheetName val="23. Satışlar ve Satışların Mali"/>
      <sheetName val="24. Paz. Sat. &amp;  Gen. Yön."/>
      <sheetName val="25. Diğer Faal. Gel. Gid."/>
      <sheetName val="26. Finansal Gelirler"/>
      <sheetName val="27. Finansal Giderler"/>
      <sheetName val="28. Vergi Varlık ve Yükümlülükl"/>
      <sheetName val="29. İlişkili Taraf Açıklamaları"/>
      <sheetName val="30. Kredi Riski"/>
      <sheetName val="30. Likidite Riski"/>
      <sheetName val="30. Yabancı Para Riski"/>
      <sheetName val="30. Faiz Oranı Riski"/>
      <sheetName val="Balancesheet IFRS"/>
      <sheetName val="Inc. Sta. Cumulative IFRS USD"/>
      <sheetName val="Income Statement IFRS"/>
      <sheetName val="Inc. Sta. Cumulative IFRS ETB"/>
      <sheetName val="Balancesheet Legal"/>
      <sheetName val="Income Statement Legal"/>
      <sheetName val="5.Cash and Cash Equivalents A"/>
      <sheetName val="5.Cash and Cash Equivalents B"/>
      <sheetName val="6.Other Financial Assets"/>
      <sheetName val="7.Trade Receivables-Current"/>
      <sheetName val="7.Trade Receivables-Non Current"/>
      <sheetName val="8.Related Party Transactions"/>
      <sheetName val="9.Inventories"/>
      <sheetName val="10.Contract and Oth. Adv. Given"/>
      <sheetName val="11.Other Receivables and Assets"/>
      <sheetName val="12.Investments in Associates"/>
      <sheetName val="13.Property and Equipment"/>
      <sheetName val="14.Investment Properties"/>
      <sheetName val="15.Inv. Property Under Dev A"/>
      <sheetName val="15.Inv. Propert Under Dev B"/>
      <sheetName val="16. Intangible Assets"/>
      <sheetName val="17.Construction Contracts"/>
      <sheetName val="18.Bank Loans"/>
      <sheetName val="19.Other Financial Liabilities"/>
      <sheetName val="20.Obligations Und. Fin. Leases"/>
      <sheetName val="18.Bank Loan"/>
      <sheetName val="21.Trade Payables - Current"/>
      <sheetName val="21.Trade Payables - Non Current"/>
      <sheetName val="22.Contract and Other Adv. Rec."/>
      <sheetName val="23.Other Pay. and Expense Acc."/>
      <sheetName val="24.Provision for Emp. Term."/>
      <sheetName val="25.Provisions"/>
      <sheetName val="26.Taxation on Income"/>
      <sheetName val="27.Commitments and Contingicies"/>
      <sheetName val="28. Share Capital"/>
      <sheetName val="29.Revenue"/>
      <sheetName val="30.Cost of Revenue"/>
      <sheetName val="31.Other Gains and Losses"/>
      <sheetName val="32.Sales and Adm. Expenses"/>
      <sheetName val="33.Financial Income"/>
      <sheetName val="34.Financial Expenses"/>
      <sheetName val="35.Foreign Currency Position"/>
      <sheetName val="36.Business Combinations"/>
      <sheetName val="37.Disposal of Subsidary"/>
      <sheetName val="38.Segment Information"/>
      <sheetName val="39.Joint Ventures"/>
      <sheetName val="40.Events After BS Date"/>
      <sheetName val="41.Approval of Fin.Statements"/>
      <sheetName val="42.Financial Risk Management"/>
      <sheetName val="IFRS 7"/>
      <sheetName val="BOD Review"/>
      <sheetName val="Legal Letters Review"/>
      <sheetName val="Corporate Tax Calculation"/>
      <sheetName val="Profit Distribution Table"/>
      <sheetName val="Goodwill - Net"/>
      <sheetName val="예산대비"/>
      <sheetName val="POL6차-PIPING"/>
      <sheetName val="산#3-1"/>
      <sheetName val="산#2-1 (2)"/>
      <sheetName val="WEIGHT LIST"/>
      <sheetName val="F4-F7"/>
      <sheetName val="Soil"/>
      <sheetName val="LEGEND"/>
      <sheetName val="DGG"/>
      <sheetName val="BG"/>
      <sheetName val="총원가계산서(요율)"/>
      <sheetName val="포장직선구간"/>
      <sheetName val="입력자료"/>
      <sheetName val="물량표(신)"/>
      <sheetName val="C-18"/>
      <sheetName val="COA-17"/>
      <sheetName val="合成単価作成表-BLDG"/>
      <sheetName val="영동(D)"/>
      <sheetName val="내역_누락분_x0000__x0000__x0000__x0000_ 씬臔"/>
      <sheetName val="VXXXXXXXXXXXXXXXXXXXXXXXX"/>
      <sheetName val="우석문틀"/>
      <sheetName val="우석문틀1"/>
      <sheetName val="우석도아1"/>
      <sheetName val="실행1"/>
      <sheetName val="라미1"/>
      <sheetName val="견적1"/>
      <sheetName val="겉표지1"/>
      <sheetName val="실행내역1"/>
      <sheetName val="실행견적"/>
      <sheetName val="관리동실행"/>
      <sheetName val="라미견적"/>
      <sheetName val="관리동견적"/>
      <sheetName val="겉표지"/>
      <sheetName val="창"/>
      <sheetName val="고려일위"/>
      <sheetName val="총괄집계표"/>
      <sheetName val="현장별계약현황('98.10.31)"/>
      <sheetName val="준검 내역서"/>
      <sheetName val="민감도"/>
      <sheetName val="기본사항"/>
      <sheetName val="000000"/>
      <sheetName val="경로당내역건축"/>
      <sheetName val="정우연립"/>
      <sheetName val="Bill 04-Kim lo"/>
      <sheetName val="내역_누락분å"/>
      <sheetName val="내역_누락분_x0000__x0000__x0000__x0000_䄫뺢"/>
      <sheetName val="내역_누락분¬_x0000_Ԁ_x0000_瀀࿝ቫ"/>
      <sheetName val="내역_누락분_x001e_"/>
      <sheetName val="내역_누락분倥갃Ẽ䀁옰_x0018_"/>
      <sheetName val="방송(체육관)"/>
      <sheetName val="수량산출서_갑지1"/>
      <sheetName val="P_M_별"/>
      <sheetName val="목동세대_산출근거"/>
      <sheetName val="분야별_집계표"/>
      <sheetName val="_공사설정_"/>
      <sheetName val="Gia_vat_tu"/>
      <sheetName val="RAB_AR&amp;STR1"/>
      <sheetName val="Du_toan"/>
      <sheetName val="phan_can_ho_103"/>
      <sheetName val="負荷集計_(不燃)3"/>
      <sheetName val="KL_hoàn_thành3"/>
      <sheetName val="MAIN_GATE_HOUSE2"/>
      <sheetName val="Tính_giá_NC"/>
      <sheetName val="Hạng_mục_chung"/>
      <sheetName val="Chi_phí_dự_phòng"/>
      <sheetName val="Đầu_vào"/>
      <sheetName val="Tiên_lượng"/>
      <sheetName val="SL_cước"/>
      <sheetName val="NKSC_thue"/>
      <sheetName val="KL_thanh_toan-Xuan_Dao"/>
      <sheetName val="Tinh_thep"/>
      <sheetName val="QUY_CHE-CTG"/>
      <sheetName val="Chenh_lech_vat_tu"/>
      <sheetName val="CTG_Xây_tô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MTO_REV_2_ARMOR_"/>
      <sheetName val="Bill_1_CPC"/>
      <sheetName val="Tong_hợp"/>
      <sheetName val="Bill_2_1_BOQ_ĐIỆN"/>
      <sheetName val="Bóc_khối_lượng"/>
      <sheetName val="Bill_2_2_BOQ_ĐHKK&amp;TG"/>
      <sheetName val="Bill_2_3-PCCC(BoQ)_"/>
      <sheetName val="Bill_2_4-CTN(BoQ)"/>
      <sheetName val="Bill_4_Do_boc_KL"/>
      <sheetName val="원가(䣀"/>
      <sheetName val="Main_Feeder"/>
      <sheetName val="PE_Wire"/>
      <sheetName val="Huong_dan"/>
      <sheetName val="2_KLVT"/>
      <sheetName val="3_KLDM"/>
      <sheetName val="4_TDVT"/>
      <sheetName val="5__NHAT_KY_THEO_DOI_CODE"/>
      <sheetName val="GOC-KO_IN"/>
      <sheetName val="8_PILE__(돌출)"/>
      <sheetName val="IAS_Adj_"/>
      <sheetName val="VAS_Adj_"/>
      <sheetName val="Nam_HN"/>
      <sheetName val="TL-Goc_Ko_in"/>
      <sheetName val="Bill_04-Kim_lo鲀ᬅɃ"/>
      <sheetName val="간접비_총괄표"/>
      <sheetName val="Bill 05 - Hoan th刀_x0010__x0000__x0000__x0000__x0000__x0000__x0001_Ԁ"/>
      <sheetName val="내역_누락분Á"/>
      <sheetName val="주관사업"/>
      <sheetName val="NPC500"/>
      <sheetName val="음료실행"/>
      <sheetName val="금액비교"/>
      <sheetName val="계산서"/>
      <sheetName val="전체"/>
      <sheetName val="G2설비도급"/>
      <sheetName val="총괄-1"/>
      <sheetName val="문학터널-9255(관보고-실)"/>
      <sheetName val="자재단가비교표"/>
      <sheetName val="본부소개"/>
      <sheetName val="건축실행"/>
      <sheetName val="C &amp; G RHS"/>
      <sheetName val="CONCRETE"/>
      <sheetName val="설계가"/>
      <sheetName val="인제내역"/>
      <sheetName val="동해title"/>
      <sheetName val="공사원가계산서"/>
      <sheetName val="발생토"/>
      <sheetName val="기초단가"/>
      <sheetName val="토목-물가"/>
      <sheetName val="참조"/>
      <sheetName val="하수급견적대비"/>
      <sheetName val="252K444"/>
      <sheetName val="분양금할인"/>
      <sheetName val="대비"/>
      <sheetName val="물량표"/>
      <sheetName val="차수"/>
      <sheetName val="5사남"/>
      <sheetName val="수량3"/>
      <sheetName val=" Work Order 양식_엑셀_121212.xlsx"/>
      <sheetName val="CHECKLIST"/>
      <sheetName val="CON포장수량"/>
      <sheetName val="ACUNIT"/>
      <sheetName val="CONUNIT"/>
      <sheetName val="포장공"/>
      <sheetName val="주요항목별"/>
      <sheetName val="TEST1"/>
      <sheetName val="c_balju"/>
      <sheetName val="기술부대조건"/>
      <sheetName val="총괄"/>
      <sheetName val="은행"/>
      <sheetName val="UEC영화관본공사내역"/>
      <sheetName val="EQT-ESTN"/>
      <sheetName val="경비2내역"/>
      <sheetName val="결과조달"/>
      <sheetName val="교량전기"/>
      <sheetName val="유림골조"/>
      <sheetName val="TYPE-A"/>
      <sheetName val="신표지1"/>
      <sheetName val="기초1"/>
      <sheetName val="원가"/>
      <sheetName val="기계내역서"/>
      <sheetName val="이자수익1"/>
      <sheetName val="95년간접비"/>
      <sheetName val="발생집계"/>
      <sheetName val="견적"/>
      <sheetName val="공통비총괄표"/>
      <sheetName val="조건표"/>
      <sheetName val="단면 (2)"/>
      <sheetName val="공사내역서"/>
      <sheetName val="카니발(자105노60)"/>
      <sheetName val="소야공정계획표"/>
      <sheetName val="단가조사"/>
      <sheetName val="C_&amp;_G_RHS"/>
      <sheetName val="침하계"/>
      <sheetName val="PKG"/>
      <sheetName val="집 계 표"/>
      <sheetName val="지사인원사무실"/>
      <sheetName val="Regenerator  Concrete Structure"/>
      <sheetName val="(실사조정)총괄"/>
      <sheetName val="Requirements"/>
      <sheetName val="Ring"/>
      <sheetName val="작성기준"/>
      <sheetName val="Front"/>
      <sheetName val="wall"/>
      <sheetName val="구의33고"/>
      <sheetName val="1ST"/>
      <sheetName val="기준액"/>
      <sheetName val="자바라1"/>
      <sheetName val="해외 연수비용 계산-삭제"/>
      <sheetName val="해외 기술훈련비 (합계)"/>
      <sheetName val="카렌스센터계량기설치공사"/>
      <sheetName val="원내역"/>
      <sheetName val="수량이동"/>
      <sheetName val="세부수량"/>
      <sheetName val="식재"/>
      <sheetName val="시설물"/>
      <sheetName val="식재출력용"/>
      <sheetName val="유지관리"/>
      <sheetName val="계수시트"/>
      <sheetName val="간접"/>
      <sheetName val="시설물일위"/>
      <sheetName val="단가결정"/>
      <sheetName val="내역아"/>
      <sheetName val="울타리"/>
      <sheetName val="표지 (2)"/>
      <sheetName val="인부신상자료"/>
      <sheetName val="현장관리비 산출내역"/>
      <sheetName val="노무비산출"/>
      <sheetName val="간접비"/>
      <sheetName val="일위대가목차"/>
      <sheetName val="구분"/>
      <sheetName val="기초단면설계"/>
      <sheetName val="주방환기"/>
      <sheetName val="포장물량집계"/>
      <sheetName val="화성이화모듈공장"/>
      <sheetName val="기계경비(시간당)"/>
      <sheetName val="램머"/>
      <sheetName val="업무처리전"/>
      <sheetName val="원가계산(2)"/>
      <sheetName val="예산변경사항"/>
      <sheetName val="DATA2000"/>
      <sheetName val="반중력식옹벽"/>
      <sheetName val="토목품셈"/>
      <sheetName val="구성비"/>
      <sheetName val="기성내역"/>
      <sheetName val="산출서"/>
      <sheetName val="배수내역"/>
      <sheetName val="BQ_Lis劾_x0010_"/>
      <sheetName val="내역_누락분؀_x0001__x0000__x0000__x0000_묁Փ"/>
      <sheetName val="내역_누락분Q_x0000_Ԁ_x0000_　ἦ"/>
      <sheetName val="내역_누락분Q_x0000_Ԁ_x0000_뀀긭"/>
      <sheetName val="내역_누락분Q_x0000_Ԁ_x0000_瀀쑂"/>
      <sheetName val="내역_누락분Q_x0000_Ԁ_x0000_洵"/>
      <sheetName val="2.펌프장(사급자재)"/>
      <sheetName val="내역_누락분¬"/>
      <sheetName val="Bill 05 - Hoan th刀_x0010_"/>
      <sheetName val="내역_누락분؀_x0001_"/>
      <sheetName val="내역_누락분Q"/>
      <sheetName val="내역_누락분??Ԁ?ကꩉ炡"/>
      <sheetName val="PriceSummary"/>
      <sheetName val="수량산출서"/>
      <sheetName val="6MONTHS"/>
      <sheetName val="AC"/>
      <sheetName val="DenKhac"/>
      <sheetName val="Duhal"/>
      <sheetName val="Paragon"/>
      <sheetName val="TON KHO VCI"/>
      <sheetName val="Breakdown (B)"/>
      <sheetName val="6. Scope of work "/>
      <sheetName val="4.6 Phân tích nhân sự "/>
      <sheetName val="4.5 Mức độ tham gia dự án"/>
      <sheetName val="Eq. Mobilization"/>
      <sheetName val="내역_누락분_x0000_⠀d_x0000__x0000_렁퉸"/>
      <sheetName val="내역_누락분_x0000__x0000__x0000__x0000__xd92b_㐰"/>
      <sheetName val="내역_누락분_x0000__x0000__x0000__x0000_退栬켽"/>
      <sheetName val="3.1.1"/>
      <sheetName val="3.1.4"/>
      <sheetName val="2.5.1"/>
      <sheetName val="4.1.1"/>
      <sheetName val="4.3.2"/>
      <sheetName val="5.3.1"/>
      <sheetName val="2.4.3"/>
      <sheetName val="TEBAK2"/>
      <sheetName val="ESCO개보수공사"/>
      <sheetName val=""/>
      <sheetName val="공통"/>
      <sheetName val="Configuration"/>
      <sheetName val="JournalSummary"/>
      <sheetName val="WorkFile"/>
      <sheetName val="감독1130"/>
      <sheetName val="Inventory Margin"/>
      <sheetName val="Ext__Stone-P5"/>
      <sheetName val="플랜트_설치5"/>
      <sheetName val="BSD_(2)5"/>
      <sheetName val="Menu_A5"/>
      <sheetName val="COMPOHP_(2)4"/>
      <sheetName val="설_계4"/>
      <sheetName val="기존단가_(2)5"/>
      <sheetName val="Sheet1_(2)4"/>
      <sheetName val="plan&amp;section_of_foundation4"/>
      <sheetName val="design_criteria4"/>
      <sheetName val="EQUIPMENT_-24"/>
      <sheetName val="입출재고현황_(2)4"/>
      <sheetName val="실행내역서_4"/>
      <sheetName val="노원열병합__건축공사기성내역서4"/>
      <sheetName val="PROJECT_BRIEF(EX_NEW)4"/>
      <sheetName val="BSD__2_4"/>
      <sheetName val="Customer_Databas4"/>
      <sheetName val="Raw_Data4"/>
      <sheetName val="1_취수장4"/>
      <sheetName val="220_(2)4"/>
      <sheetName val="배수내역_(2)4"/>
      <sheetName val="BQ_List3"/>
      <sheetName val="F301_3033"/>
      <sheetName val="전차선로_물량표3"/>
      <sheetName val="내역_누락분_수량산출서3"/>
      <sheetName val="견적대비_견적서3"/>
      <sheetName val="IMPEADENCE_MAP_취수장3"/>
      <sheetName val="EQUIP_LIST3"/>
      <sheetName val="Page_23"/>
      <sheetName val="_갑지3"/>
      <sheetName val="TOWER_10TON1"/>
      <sheetName val="별표_1"/>
      <sheetName val="6PILE__(돌출)1"/>
      <sheetName val="주빔의_설계1"/>
      <sheetName val="sum1_(2)1"/>
      <sheetName val="1_설계조건1"/>
      <sheetName val="1_설계기준1"/>
      <sheetName val="I_설계조건1"/>
      <sheetName val="내역_누락분Ԁ 陁쌹"/>
      <sheetName val="내역_누락분Ԁ倀椛쌸"/>
      <sheetName val="주공_갑지"/>
      <sheetName val="SCOPE_OF_WORK"/>
      <sheetName val="ACMV_General_equipment"/>
      <sheetName val="ELEC_-_DATA"/>
      <sheetName val="TONG_HOP_VL-NC"/>
      <sheetName val="TONGKE3p_"/>
      <sheetName val="TH_VL,_NC,_DDHT_Thanhphuoc"/>
      <sheetName val="DON_GIA"/>
      <sheetName val="CHITIET_VL-NC"/>
      <sheetName val="CHITIET_VL-NC-TT1p"/>
      <sheetName val="Be_Aware_!_"/>
      <sheetName val="2019_Q1_TB"/>
      <sheetName val="2018_TB"/>
      <sheetName val="2017_TB"/>
      <sheetName val="Data_Entry"/>
      <sheetName val="IFRS_TB"/>
      <sheetName val="Linked_IS"/>
      <sheetName val="Non_Deductable"/>
      <sheetName val="SAD_corrected_2017"/>
      <sheetName val="IFRS_PPE_Data"/>
      <sheetName val="CLASS_1,2,&amp;3"/>
      <sheetName val="CLASS_6"/>
      <sheetName val="MDM_FC01"/>
      <sheetName val="Yerel_Bordro_Tahmini"/>
      <sheetName val="IPS_-FC3"/>
      <sheetName val="Deferred_Tax"/>
      <sheetName val="Stand-Alone_FS_+_AJE_and_RJE"/>
      <sheetName val="Linked_BS"/>
      <sheetName val="Changes_in_Equity"/>
      <sheetName val="Conversion_Sheet"/>
      <sheetName val="Dipnot_Kontrol"/>
      <sheetName val="5__Nakit_ve_Nakit_Benzerleri"/>
      <sheetName val="6__Finansal_Yatırımlar"/>
      <sheetName val="7__Finansal_Borçlar"/>
      <sheetName val="8__Ticari_Alacaklar_ve_Borçlar"/>
      <sheetName val="9__Diğer_Alacak_ve_Borçlar"/>
      <sheetName val="11__Devam_Eden_İnşaat_Söz_"/>
      <sheetName val="12__Özkaynak_Yön__Değ__Yat_"/>
      <sheetName val="13__Yatırım_Amaçlı_Gay_"/>
      <sheetName val="14__Maddi_Duran_Varlıklar"/>
      <sheetName val="15__Maddi_Olmayan_Duran_Varlıkl"/>
      <sheetName val="16__Ertelenmiş_Gelirler"/>
      <sheetName val="17__Şarta_Bağlı_Varlık_ve_Yüküm"/>
      <sheetName val="19__Çalışanlara_Sağlanan_Faydal"/>
      <sheetName val="20__Peşin_Ödenmiş_Giderler"/>
      <sheetName val="21__Diğer_Varlık_ve_Yükümlülükl"/>
      <sheetName val="23__Satışlar_ve_Satışların_Mali"/>
      <sheetName val="24__Paz__Sat__&amp;__Gen__Yön_"/>
      <sheetName val="25__Diğer_Faal__Gel__Gid_"/>
      <sheetName val="26__Finansal_Gelirler"/>
      <sheetName val="27__Finansal_Giderler"/>
      <sheetName val="28__Vergi_Varlık_ve_Yükümlülükl"/>
      <sheetName val="29__İlişkili_Taraf_Açıklamaları"/>
      <sheetName val="30__Kredi_Riski"/>
      <sheetName val="30__Likidite_Riski"/>
      <sheetName val="30__Yabancı_Para_Riski"/>
      <sheetName val="30__Faiz_Oranı_Riski"/>
      <sheetName val="Balancesheet_IFRS"/>
      <sheetName val="Inc__Sta__Cumulative_IFRS_USD"/>
      <sheetName val="Income_Statement_IFRS"/>
      <sheetName val="Inc__Sta__Cumulative_IFRS_ETB"/>
      <sheetName val="Balancesheet_Legal"/>
      <sheetName val="Income_Statement_Legal"/>
      <sheetName val="5_Cash_and_Cash_Equivalents_A"/>
      <sheetName val="5_Cash_and_Cash_Equivalents_B"/>
      <sheetName val="6_Other_Financial_Assets"/>
      <sheetName val="7_Trade_Receivables-Current"/>
      <sheetName val="7_Trade_Receivables-Non_Current"/>
      <sheetName val="8_Related_Party_Transactions"/>
      <sheetName val="9_Inventories"/>
      <sheetName val="10_Contract_and_Oth__Adv__Given"/>
      <sheetName val="11_Other_Receivables_and_Assets"/>
      <sheetName val="12_Investments_in_Associates"/>
      <sheetName val="13_Property_and_Equipment"/>
      <sheetName val="14_Investment_Properties"/>
      <sheetName val="15_Inv__Property_Under_Dev_A"/>
      <sheetName val="15_Inv__Propert_Under_Dev_B"/>
      <sheetName val="16__Intangible_Assets"/>
      <sheetName val="17_Construction_Contracts"/>
      <sheetName val="18_Bank_Loans"/>
      <sheetName val="19_Other_Financial_Liabilities"/>
      <sheetName val="20_Obligations_Und__Fin__Leases"/>
      <sheetName val="18_Bank_Loan"/>
      <sheetName val="21_Trade_Payables_-_Current"/>
      <sheetName val="21_Trade_Payables_-_Non_Current"/>
      <sheetName val="22_Contract_and_Other_Adv__Rec_"/>
      <sheetName val="23_Other_Pay__and_Expense_Acc_"/>
      <sheetName val="24_Provision_for_Emp__Term_"/>
      <sheetName val="25_Provisions"/>
      <sheetName val="26_Taxation_on_Income"/>
      <sheetName val="27_Commitments_and_Contingicies"/>
      <sheetName val="28__Share_Capital"/>
      <sheetName val="29_Revenue"/>
      <sheetName val="30_Cost_of_Revenue"/>
      <sheetName val="31_Other_Gains_and_Losses"/>
      <sheetName val="32_Sales_and_Adm__Expenses"/>
      <sheetName val="33_Financial_Income"/>
      <sheetName val="34_Financial_Expenses"/>
      <sheetName val="35_Foreign_Currency_Position"/>
      <sheetName val="36_Business_Combinations"/>
      <sheetName val="37_Disposal_of_Subsidary"/>
      <sheetName val="38_Segment_Information"/>
      <sheetName val="39_Joint_Ventures"/>
      <sheetName val="40_Events_After_BS_Date"/>
      <sheetName val="41_Approval_of_Fin_Statements"/>
      <sheetName val="42_Financial_Risk_Management"/>
      <sheetName val="IFRS_7"/>
      <sheetName val="BOD_Review"/>
      <sheetName val="Legal_Letters_Review"/>
      <sheetName val="Corporate_Tax_Calculation"/>
      <sheetName val="Profit_Distribution_Table"/>
      <sheetName val="Goodwill_-_Net"/>
      <sheetName val="산#2-1_(2)"/>
      <sheetName val="WEIGHT_LIST"/>
      <sheetName val="현장별계약현황('98_10_31)"/>
      <sheetName val="준검_내역서"/>
      <sheetName val="Bill_04-Kim_lo"/>
      <sheetName val="공사비집계"/>
      <sheetName val="현장별 계약 상세비교현황"/>
      <sheetName val="수량산출서_갑지2"/>
      <sheetName val="Gia_vat_tu1"/>
      <sheetName val="RAB_AR&amp;STR2"/>
      <sheetName val="Du_toan1"/>
      <sheetName val="phan_can_ho_1031"/>
      <sheetName val="분야별_집계표1"/>
      <sheetName val="_공사설정_1"/>
      <sheetName val="P_M_별1"/>
      <sheetName val="負荷集計_(不燃)4"/>
      <sheetName val="KL_hoàn_thành4"/>
      <sheetName val="MAIN_GATE_HOUSE3"/>
      <sheetName val="Tính_giá_NC1"/>
      <sheetName val="Hạng_mục_chung1"/>
      <sheetName val="Chi_phí_dự_phòng1"/>
      <sheetName val="Đầu_vào1"/>
      <sheetName val="Tiên_lượng1"/>
      <sheetName val="SL_cước1"/>
      <sheetName val="NKSC_thue1"/>
      <sheetName val="KL_thanh_toan-Xuan_Dao1"/>
      <sheetName val="Tinh_thep1"/>
      <sheetName val="QUY_CHE-CTG1"/>
      <sheetName val="Chenh_lech_vat_tu1"/>
      <sheetName val="CTG_Xây_tô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MTO_REV_2_ARMOR_1"/>
      <sheetName val="목동세대_산출근거1"/>
      <sheetName val="Bill_1_CPC1"/>
      <sheetName val="Tong_hợp1"/>
      <sheetName val="Bill_2_1_BOQ_ĐIỆN1"/>
      <sheetName val="Bóc_khối_lượng1"/>
      <sheetName val="Bill_2_2_BOQ_ĐHKK&amp;TG1"/>
      <sheetName val="Bill_2_3-PCCC(BoQ)_1"/>
      <sheetName val="Bill_2_4-CTN(BoQ)1"/>
      <sheetName val="Bill_4_Do_boc_KL1"/>
      <sheetName val="Main_Feeder1"/>
      <sheetName val="PE_Wire1"/>
      <sheetName val="Huong_dan1"/>
      <sheetName val="2_KLVT1"/>
      <sheetName val="3_KLDM1"/>
      <sheetName val="4_TDVT1"/>
      <sheetName val="5__NHAT_KY_THEO_DOI_CODE1"/>
      <sheetName val="GOC-KO_IN1"/>
      <sheetName val="8_PILE__(돌출)1"/>
      <sheetName val="IAS_Adj_1"/>
      <sheetName val="VAS_Adj_1"/>
      <sheetName val="Nam_HN1"/>
      <sheetName val="TL-Goc_Ko_in1"/>
      <sheetName val="간접비_총괄표1"/>
      <sheetName val="Bill_05_-_Hoan_th刀Ԁ"/>
      <sheetName val="내역_누락분؀묁Փ"/>
      <sheetName val="BQ_Lis劾"/>
      <sheetName val="C_&amp;_G_RHS1"/>
      <sheetName val="_Work_Order_양식_엑셀_121212_xlsx"/>
      <sheetName val="단면_(2)"/>
      <sheetName val="집_계_표"/>
      <sheetName val="Regenerator__Concrete_Structure"/>
      <sheetName val="해외_연수비용_계산-삭제"/>
      <sheetName val="해외_기술훈련비_(합계)"/>
      <sheetName val="표지_(2)"/>
      <sheetName val="현장관리비_산출내역"/>
      <sheetName val="2_펌프장(사급자재)"/>
      <sheetName val="내역_누락분倥갃Ẽ䀁옰"/>
      <sheetName val="Bill_05_-_Hoan_th刀"/>
      <sheetName val="내역_누락분؀"/>
      <sheetName val="TON_KHO_VCI"/>
      <sheetName val="Breakdown_(B)"/>
      <sheetName val="6__Scope_of_work_"/>
      <sheetName val="4_6_Phân_tích_nhân_sự_"/>
      <sheetName val="4_5_Mức_độ_tham_gia_dự_án"/>
      <sheetName val="Eq__Mobilization"/>
      <sheetName val="F301_"/>
      <sheetName val="BQ_Lisς"/>
      <sheetName val="Ko data"/>
      <sheetName val="IO"/>
      <sheetName val="FAB별"/>
      <sheetName val="inter"/>
      <sheetName val="costloaded bc"/>
      <sheetName val="costloaded bc(17)"/>
      <sheetName val="특수선일위대가"/>
      <sheetName val="샘플표지"/>
      <sheetName val="II손익관리"/>
      <sheetName val="품셈"/>
      <sheetName val="문학간접"/>
      <sheetName val="ELEC"/>
      <sheetName val="Bill 05 - Hoan th_x0004__x0000_Ԁ_x0000_ Ꙗ졸_x0001__x0000_"/>
      <sheetName val="조명,전열,소방"/>
      <sheetName val="BQ_Lis탿ꮸ"/>
      <sheetName val="내역_누락분僐辒入_x0000_⨀Ὓ"/>
      <sheetName val="TRE TABLE"/>
      <sheetName val="횡배수관"/>
      <sheetName val="CAL1"/>
      <sheetName val="Elemental Breakdown+20%"/>
      <sheetName val="PI"/>
      <sheetName val="CB"/>
      <sheetName val="뜃맟뭁돽띿맟?-BLDG"/>
      <sheetName val="Thiet bi"/>
      <sheetName val="May TC"/>
      <sheetName val="Nhan cong"/>
      <sheetName val="DM.ChiPhi"/>
      <sheetName val="3_1_1"/>
      <sheetName val="3_1_4"/>
      <sheetName val="2_5_1"/>
      <sheetName val="4_1_1"/>
      <sheetName val="4_3_2"/>
      <sheetName val="5_3_1"/>
      <sheetName val="2_4_3"/>
      <sheetName val="PTdam"/>
      <sheetName val="CFA Sumary"/>
      <sheetName val="Detail"/>
      <sheetName val="Gia"/>
      <sheetName val="2.1.4 (CHI TIET)"/>
      <sheetName val="tinh"/>
      <sheetName val="cctp"/>
      <sheetName val="11"/>
      <sheetName val="12"/>
      <sheetName val="13"/>
      <sheetName val="14"/>
      <sheetName val="15"/>
      <sheetName val="16"/>
      <sheetName val="17"/>
      <sheetName val="18"/>
      <sheetName val="19"/>
      <sheetName val="21"/>
      <sheetName val="22"/>
      <sheetName val="23"/>
      <sheetName val="24"/>
      <sheetName val="25"/>
      <sheetName val="26"/>
      <sheetName val="27"/>
      <sheetName val="28"/>
      <sheetName val="29"/>
      <sheetName val="8"/>
      <sheetName val="5"/>
      <sheetName val="4"/>
      <sheetName val="Analysis Rate"/>
      <sheetName val="9"/>
      <sheetName val="1"/>
      <sheetName val="7"/>
      <sheetName val="6"/>
      <sheetName val="3"/>
      <sheetName val="30"/>
      <sheetName val="31"/>
      <sheetName val="32"/>
      <sheetName val="33"/>
      <sheetName val="34"/>
      <sheetName val="35"/>
      <sheetName val="2"/>
      <sheetName val="20"/>
      <sheetName val="Level 20 - Estimate"/>
      <sheetName val="Land Dev't. Ph-1"/>
      <sheetName val="Hac.Lots"/>
      <sheetName val="4-Lane bridge"/>
      <sheetName val="Res.Lots"/>
      <sheetName val="Spine Road"/>
      <sheetName val="Tong hop"/>
      <sheetName val="Index"/>
      <sheetName val="업무보고"/>
      <sheetName val="THCȌ_x0000_釈"/>
      <sheetName val="Giai trinh"/>
      <sheetName val="부서코드표"/>
      <sheetName val="손익분석"/>
      <sheetName val="이자율"/>
      <sheetName val="토공(우물통,기타) "/>
      <sheetName val="MOTOR"/>
      <sheetName val="제수변수량"/>
      <sheetName val="공기변수량"/>
      <sheetName val="Bill 04-Ki碕轙턀箲ԯ_x0000_缀_x0000__x0000__x0000_렀⼗"/>
      <sheetName val="SL dau tien"/>
      <sheetName val="익산"/>
      <sheetName val="Ext__Stone-P6"/>
      <sheetName val="플랜트_설치6"/>
      <sheetName val="BSD_(2)6"/>
      <sheetName val="Menu_A6"/>
      <sheetName val="기존단가_(2)6"/>
      <sheetName val="COMPOHP_(2)5"/>
      <sheetName val="설_계5"/>
      <sheetName val="Sheet1_(2)5"/>
      <sheetName val="plan&amp;section_of_foundation5"/>
      <sheetName val="design_criteria5"/>
      <sheetName val="EQUIPMENT_-25"/>
      <sheetName val="입출재고현황_(2)5"/>
      <sheetName val="PROJECT_BRIEF(EX_NEW)5"/>
      <sheetName val="노원열병합__건축공사기성내역서5"/>
      <sheetName val="BSD__2_5"/>
      <sheetName val="실행내역서_5"/>
      <sheetName val="Raw_Data5"/>
      <sheetName val="Customer_Databas5"/>
      <sheetName val="배수내역_(2)5"/>
      <sheetName val="1_취수장5"/>
      <sheetName val="220_(2)5"/>
      <sheetName val="BQ_List4"/>
      <sheetName val="F301_3034"/>
      <sheetName val="IMPEADENCE_MAP_취수장4"/>
      <sheetName val="내역_누락분_수량산출서4"/>
      <sheetName val="전차선로_물량표4"/>
      <sheetName val="견적대비_견적서4"/>
      <sheetName val="EQUIP_LIST4"/>
      <sheetName val="Page_24"/>
      <sheetName val="_갑지4"/>
      <sheetName val="TOWER_10TON2"/>
      <sheetName val="별표_2"/>
      <sheetName val="6PILE__(돌출)2"/>
      <sheetName val="sum1_(2)2"/>
      <sheetName val="1_설계조건2"/>
      <sheetName val="주빔의_설계2"/>
      <sheetName val="1_설계기준2"/>
      <sheetName val="I_설계조건2"/>
      <sheetName val="주공_갑지1"/>
      <sheetName val="SCOPE_OF_WORK1"/>
      <sheetName val="ACMV_General_equipment1"/>
      <sheetName val="ELEC_-_DATA1"/>
      <sheetName val="TONG_HOP_VL-NC1"/>
      <sheetName val="TONGKE3p_1"/>
      <sheetName val="TH_VL,_NC,_DDHT_Thanhphuoc1"/>
      <sheetName val="DON_GIA1"/>
      <sheetName val="CHITIET_VL-NC1"/>
      <sheetName val="CHITIET_VL-NC-TT1p1"/>
      <sheetName val="Be_Aware_!_1"/>
      <sheetName val="2019_Q1_TB1"/>
      <sheetName val="2018_TB1"/>
      <sheetName val="2017_TB1"/>
      <sheetName val="Data_Entry1"/>
      <sheetName val="IFRS_TB1"/>
      <sheetName val="Linked_IS1"/>
      <sheetName val="Non_Deductable1"/>
      <sheetName val="SAD_corrected_20171"/>
      <sheetName val="IFRS_PPE_Data1"/>
      <sheetName val="CLASS_1,2,&amp;31"/>
      <sheetName val="CLASS_61"/>
      <sheetName val="MDM_FC011"/>
      <sheetName val="Yerel_Bordro_Tahmini1"/>
      <sheetName val="IPS_-FC31"/>
      <sheetName val="Deferred_Tax1"/>
      <sheetName val="Stand-Alone_FS_+_AJE_and_RJE1"/>
      <sheetName val="Linked_BS1"/>
      <sheetName val="Changes_in_Equity1"/>
      <sheetName val="Conversion_Sheet1"/>
      <sheetName val="Dipnot_Kontrol1"/>
      <sheetName val="5__Nakit_ve_Nakit_Benzerleri1"/>
      <sheetName val="6__Finansal_Yatırımlar1"/>
      <sheetName val="7__Finansal_Borçlar1"/>
      <sheetName val="8__Ticari_Alacaklar_ve_Borçlar1"/>
      <sheetName val="9__Diğer_Alacak_ve_Borçlar1"/>
      <sheetName val="11__Devam_Eden_İnşaat_Söz_1"/>
      <sheetName val="12__Özkaynak_Yön__Değ__Yat_1"/>
      <sheetName val="13__Yatırım_Amaçlı_Gay_1"/>
      <sheetName val="14__Maddi_Duran_Varlıklar1"/>
      <sheetName val="15__Maddi_Olmayan_Duran_Varlık1"/>
      <sheetName val="16__Ertelenmiş_Gelirler1"/>
      <sheetName val="17__Şarta_Bağlı_Varlık_ve_Yükü1"/>
      <sheetName val="19__Çalışanlara_Sağlanan_Fayda1"/>
      <sheetName val="20__Peşin_Ödenmiş_Giderler1"/>
      <sheetName val="21__Diğer_Varlık_ve_Yükümlülük1"/>
      <sheetName val="23__Satışlar_ve_Satışların_Mal1"/>
      <sheetName val="24__Paz__Sat__&amp;__Gen__Yön_1"/>
      <sheetName val="25__Diğer_Faal__Gel__Gid_1"/>
      <sheetName val="26__Finansal_Gelirler1"/>
      <sheetName val="27__Finansal_Giderler1"/>
      <sheetName val="28__Vergi_Varlık_ve_Yükümlülük1"/>
      <sheetName val="29__İlişkili_Taraf_Açıklamalar1"/>
      <sheetName val="30__Kredi_Riski1"/>
      <sheetName val="30__Likidite_Riski1"/>
      <sheetName val="30__Yabancı_Para_Riski1"/>
      <sheetName val="30__Faiz_Oranı_Riski1"/>
      <sheetName val="Balancesheet_IFRS1"/>
      <sheetName val="Inc__Sta__Cumulative_IFRS_USD1"/>
      <sheetName val="Income_Statement_IFRS1"/>
      <sheetName val="Inc__Sta__Cumulative_IFRS_ETB1"/>
      <sheetName val="Balancesheet_Legal1"/>
      <sheetName val="Income_Statement_Legal1"/>
      <sheetName val="5_Cash_and_Cash_Equivalents_A1"/>
      <sheetName val="5_Cash_and_Cash_Equivalents_B1"/>
      <sheetName val="6_Other_Financial_Assets1"/>
      <sheetName val="7_Trade_Receivables-Current1"/>
      <sheetName val="7_Trade_Receivables-Non_Curren1"/>
      <sheetName val="8_Related_Party_Transactions1"/>
      <sheetName val="9_Inventories1"/>
      <sheetName val="10_Contract_and_Oth__Adv__Give1"/>
      <sheetName val="11_Other_Receivables_and_Asset1"/>
      <sheetName val="12_Investments_in_Associates1"/>
      <sheetName val="13_Property_and_Equipment1"/>
      <sheetName val="14_Investment_Properties1"/>
      <sheetName val="15_Inv__Property_Under_Dev_A1"/>
      <sheetName val="15_Inv__Propert_Under_Dev_B1"/>
      <sheetName val="16__Intangible_Assets1"/>
      <sheetName val="17_Construction_Contracts1"/>
      <sheetName val="18_Bank_Loans1"/>
      <sheetName val="19_Other_Financial_Liabilities1"/>
      <sheetName val="20_Obligations_Und__Fin__Lease1"/>
      <sheetName val="18_Bank_Loan1"/>
      <sheetName val="21_Trade_Payables_-_Current1"/>
      <sheetName val="21_Trade_Payables_-_Non_Curren1"/>
      <sheetName val="22_Contract_and_Other_Adv__Rec1"/>
      <sheetName val="23_Other_Pay__and_Expense_Acc_1"/>
      <sheetName val="24_Provision_for_Emp__Term_1"/>
      <sheetName val="25_Provisions1"/>
      <sheetName val="26_Taxation_on_Income1"/>
      <sheetName val="27_Commitments_and_Contingicie1"/>
      <sheetName val="28__Share_Capital1"/>
      <sheetName val="29_Revenue1"/>
      <sheetName val="30_Cost_of_Revenue1"/>
      <sheetName val="31_Other_Gains_and_Losses1"/>
      <sheetName val="32_Sales_and_Adm__Expenses1"/>
      <sheetName val="33_Financial_Income1"/>
      <sheetName val="34_Financial_Expenses1"/>
      <sheetName val="35_Foreign_Currency_Position1"/>
      <sheetName val="36_Business_Combinations1"/>
      <sheetName val="37_Disposal_of_Subsidary1"/>
      <sheetName val="38_Segment_Information1"/>
      <sheetName val="39_Joint_Ventures1"/>
      <sheetName val="40_Events_After_BS_Date1"/>
      <sheetName val="41_Approval_of_Fin_Statements1"/>
      <sheetName val="42_Financial_Risk_Management1"/>
      <sheetName val="IFRS_71"/>
      <sheetName val="BOD_Review1"/>
      <sheetName val="Legal_Letters_Review1"/>
      <sheetName val="Corporate_Tax_Calculation1"/>
      <sheetName val="Profit_Distribution_Table1"/>
      <sheetName val="Goodwill_-_Net1"/>
      <sheetName val="산#2-1_(2)1"/>
      <sheetName val="WEIGHT_LIST1"/>
      <sheetName val="현장별계약현황('98_10_31)1"/>
      <sheetName val="준검_내역서1"/>
      <sheetName val="Bill_04-Kim_lo1"/>
      <sheetName val="Inventory_Margin"/>
      <sheetName val="단면A-A(TR)"/>
      <sheetName val="단면B-B(EA)"/>
      <sheetName val="물가정보"/>
      <sheetName val="정부노임"/>
      <sheetName val="호곡중학교"/>
      <sheetName val="내역_누락분僐辒入"/>
      <sheetName val="Bill 05 - Hoan th_x0004_"/>
      <sheetName val="GIAVLIEU"/>
      <sheetName val="Chi tiết KT"/>
      <sheetName val="CỔ CỘT-Thống kê"/>
      <sheetName val="CỔ CỘT-Chi tiết"/>
      <sheetName val="CỔ CỘT-Cốt thép"/>
      <sheetName val="Công tác đất"/>
      <sheetName val="CỘTDẦMGIẰNGLANHTÔ - ThốngKê"/>
      <sheetName val="CỘTDẦMGIẰNGLANHTÔ - Chi Tiết"/>
      <sheetName val="CỘTDẦMGIẰNGLANHTÔ-Cốt thép"/>
      <sheetName val="Cửa"/>
      <sheetName val="ĐÀ KIỀNG -Thống kê"/>
      <sheetName val="ĐÀ KIỀNG-Cốt thép"/>
      <sheetName val="SÀN MÁI-Chi tiết"/>
      <sheetName val="KETCAUSANTRET-ChiTiết"/>
      <sheetName val="KETCAUSANTRET-Cốt thép"/>
      <sheetName val="MÓNG-Thống kê"/>
      <sheetName val="MÓNG-Chi tiết"/>
      <sheetName val="MÓNG-Cốt thép"/>
      <sheetName val="MƯƠNG-Chi Tiết"/>
      <sheetName val="MƯƠNG-Cốt thép"/>
      <sheetName val="MƯƠNG-Thống kê"/>
      <sheetName val="SÀN MÁI-Cốt thép"/>
      <sheetName val="BOQ(NKL)"/>
      <sheetName val="Solieu"/>
      <sheetName val="KUNGDEVI"/>
      <sheetName val="B2F "/>
      <sheetName val="GENERAL REQUIREMENTS"/>
      <sheetName val="beam"/>
      <sheetName val="304-06"/>
      <sheetName val="Tongke"/>
      <sheetName val="DTICH (Full)"/>
      <sheetName val="DTICH(FDC)"/>
      <sheetName val="Div26 - Elect"/>
      <sheetName val="Luong"/>
      <sheetName val="내역_누락분_x0000__x0000_Ԁ_x0000_뀀⠼"/>
      <sheetName val="내역서(소방전_x0000__x0000_"/>
      <sheetName val="fursys"/>
      <sheetName val="THCȌ"/>
      <sheetName val="97 사업추정(WEKI)"/>
      <sheetName val="98비정기소모"/>
      <sheetName val="02-10 (실행)"/>
      <sheetName val="기계(집계표)"/>
      <sheetName val="전체내역서"/>
      <sheetName val="대운산출"/>
      <sheetName val="수량산출서_갑지3"/>
      <sheetName val="Gia_vat_tu2"/>
      <sheetName val="P_M_별2"/>
      <sheetName val="분야별_집계표2"/>
      <sheetName val="_공사설정_2"/>
      <sheetName val="RAB_AR&amp;STR3"/>
      <sheetName val="Du_toan2"/>
      <sheetName val="phan_can_ho_1032"/>
      <sheetName val="목동세대_산출근거2"/>
      <sheetName val="負荷集計_(不燃)5"/>
      <sheetName val="KL_hoàn_thành5"/>
      <sheetName val="MAIN_GATE_HOUSE4"/>
      <sheetName val="Tính_giá_NC2"/>
      <sheetName val="Hạng_mục_chung2"/>
      <sheetName val="Chi_phí_dự_phòng2"/>
      <sheetName val="Đầu_vào2"/>
      <sheetName val="Tiên_lượng2"/>
      <sheetName val="SL_cước2"/>
      <sheetName val="NKSC_thue2"/>
      <sheetName val="KL_thanh_toan-Xuan_Dao2"/>
      <sheetName val="Tinh_thep2"/>
      <sheetName val="QUY_CHE-CTG2"/>
      <sheetName val="Chenh_lech_vat_tu2"/>
      <sheetName val="CTG_Xây_tô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MTO_REV_2_ARMOR_2"/>
      <sheetName val="Bill_1_CPC2"/>
      <sheetName val="Tong_hợp2"/>
      <sheetName val="Bill_2_1_BOQ_ĐIỆN2"/>
      <sheetName val="Bóc_khối_lượng2"/>
      <sheetName val="Bill_2_2_BOQ_ĐHKK&amp;TG2"/>
      <sheetName val="Bill_2_3-PCCC(BoQ)_2"/>
      <sheetName val="Bill_2_4-CTN(BoQ)2"/>
      <sheetName val="Bill_4_Do_boc_KL2"/>
      <sheetName val="Huong_dan2"/>
      <sheetName val="2_KLVT2"/>
      <sheetName val="3_KLDM2"/>
      <sheetName val="4_TDVT2"/>
      <sheetName val="5__NHAT_KY_THEO_DOI_CODE2"/>
      <sheetName val="GOC-KO_IN2"/>
      <sheetName val="8_PILE__(돌출)2"/>
      <sheetName val="IAS_Adj_2"/>
      <sheetName val="VAS_Adj_2"/>
      <sheetName val="Nam_HN2"/>
      <sheetName val="TL-Goc_Ko_in2"/>
      <sheetName val="Main_Feeder2"/>
      <sheetName val="PE_Wire2"/>
      <sheetName val="간접비_총괄표2"/>
      <sheetName val="C_&amp;_G_RHS2"/>
      <sheetName val="_Work_Order_양식_엑셀_121212_xlsx1"/>
      <sheetName val="단면_(2)1"/>
      <sheetName val="집_계_표1"/>
      <sheetName val="Regenerator__Concrete_Structur1"/>
      <sheetName val="해외_연수비용_계산-삭제1"/>
      <sheetName val="해외_기술훈련비_(합계)1"/>
      <sheetName val="표지_(2)1"/>
      <sheetName val="현장관리비_산출내역1"/>
      <sheetName val="2_펌프장(사급자재)1"/>
      <sheetName val="TON_KHO_VCI1"/>
      <sheetName val="Breakdown_(B)1"/>
      <sheetName val="6__Scope_of_work_1"/>
      <sheetName val="4_6_Phân_tích_nhân_sự_1"/>
      <sheetName val="4_5_Mức_độ_tham_gia_dự_án1"/>
      <sheetName val="Eq__Mobilization1"/>
      <sheetName val="TRE_TABLE"/>
      <sheetName val="Ko_data"/>
      <sheetName val="costloaded_bc"/>
      <sheetName val="costloaded_bc(17)"/>
      <sheetName val="현장별_계약_상세비교현황"/>
      <sheetName val="입력데이타"/>
      <sheetName val="A7"/>
      <sheetName val="02-10_(실행)"/>
      <sheetName val="내역_누락분__Ԁ_瀀靵"/>
      <sheetName val="내역_누락분__Ԁ_ကꩉ炡"/>
      <sheetName val="뜃맟뭁돽띿맟_-BLDG"/>
      <sheetName val=" BM집계 및 내역서.xlsx"/>
      <sheetName val="내역_누락분_x0000__x0000_Ԁ_x0000_뀀ខ輬"/>
      <sheetName val="내역_누락분_x0000__x0000_Ԁ_x0000_怀䬗輬"/>
      <sheetName val="내역_누락분_x0000__x0000_Ԁ_x0000_뀀議퓩"/>
      <sheetName val="내역총괄"/>
      <sheetName val="내역총괄2"/>
      <sheetName val="내역총괄3"/>
      <sheetName val="__SKEC_EB1_EB_1_1KON_YANGSIK__2"/>
      <sheetName val="Rates"/>
      <sheetName val="rate PC item"/>
      <sheetName val="AH-1 "/>
      <sheetName val="CASH"/>
      <sheetName val="documentation"/>
      <sheetName val="광통신 견적내역서1"/>
      <sheetName val="FAB"/>
      <sheetName val="94D"/>
      <sheetName val="95D"/>
      <sheetName val="Bill 02 - Xay g₢_x0001__x0000__x0000__x0001__x0000__x0000_Ԁ"/>
      <sheetName val="Bill 02 - Xay gꂢ-_x0000__x0000__x0001__x0000__x0000_Ԁ"/>
      <sheetName val="Chi phí dự phònꗝ"/>
      <sheetName val="Chi phí dự phònȌ"/>
      <sheetName val="ironmongery"/>
      <sheetName val="전력"/>
      <sheetName val="공용정보"/>
      <sheetName val="내역_누락분_x0000__x0000_Ԁ_x0000_쀀䈢㻸"/>
      <sheetName val="내역_누락분_x0000__x0000_Ԁ_x0000_쀀䉕㻸"/>
      <sheetName val="Ext__Stone-P7"/>
      <sheetName val="플랜트_설치7"/>
      <sheetName val="BSD_(2)7"/>
      <sheetName val="Menu_A7"/>
      <sheetName val="COMPOHP_(2)6"/>
      <sheetName val="설_계6"/>
      <sheetName val="기존단가_(2)7"/>
      <sheetName val="Sheet1_(2)6"/>
      <sheetName val="EQUIPMENT_-26"/>
      <sheetName val="plan&amp;section_of_foundation6"/>
      <sheetName val="design_criteria6"/>
      <sheetName val="입출재고현황_(2)6"/>
      <sheetName val="노원열병합__건축공사기성내역서6"/>
      <sheetName val="PROJECT_BRIEF(EX_NEW)6"/>
      <sheetName val="BSD__2_6"/>
      <sheetName val="실행내역서_6"/>
      <sheetName val="배수내역_(2)6"/>
      <sheetName val="220_(2)6"/>
      <sheetName val="Raw_Data6"/>
      <sheetName val="Customer_Databas6"/>
      <sheetName val="IMPEADENCE_MAP_취수장5"/>
      <sheetName val="1_취수장6"/>
      <sheetName val="BQ_List5"/>
      <sheetName val="F301_3035"/>
      <sheetName val="내역_누락분_수량산출서5"/>
      <sheetName val="전차선로_물량표5"/>
      <sheetName val="견적대비_견적서5"/>
      <sheetName val="EQUIP_LIST5"/>
      <sheetName val="Page_25"/>
      <sheetName val="_갑지5"/>
      <sheetName val="TOWER_10TON3"/>
      <sheetName val="별표_3"/>
      <sheetName val="6PILE__(돌출)3"/>
      <sheetName val="sum1_(2)3"/>
      <sheetName val="1_설계조건3"/>
      <sheetName val="주빔의_설계3"/>
      <sheetName val="1_설계기준3"/>
      <sheetName val="I_설계조건3"/>
      <sheetName val="주공_갑지2"/>
      <sheetName val="SCOPE_OF_WORK2"/>
      <sheetName val="ACMV_General_equipment2"/>
      <sheetName val="ELEC_-_DATA2"/>
      <sheetName val="TONG_HOP_VL-NC2"/>
      <sheetName val="TONGKE3p_2"/>
      <sheetName val="TH_VL,_NC,_DDHT_Thanhphuoc2"/>
      <sheetName val="DON_GIA2"/>
      <sheetName val="CHITIET_VL-NC2"/>
      <sheetName val="CHITIET_VL-NC-TT1p2"/>
      <sheetName val="Be_Aware_!_2"/>
      <sheetName val="2019_Q1_TB2"/>
      <sheetName val="2018_TB2"/>
      <sheetName val="2017_TB2"/>
      <sheetName val="Data_Entry2"/>
      <sheetName val="IFRS_TB2"/>
      <sheetName val="Linked_IS2"/>
      <sheetName val="Non_Deductable2"/>
      <sheetName val="SAD_corrected_20172"/>
      <sheetName val="IFRS_PPE_Data2"/>
      <sheetName val="CLASS_1,2,&amp;32"/>
      <sheetName val="CLASS_62"/>
      <sheetName val="MDM_FC012"/>
      <sheetName val="Yerel_Bordro_Tahmini2"/>
      <sheetName val="IPS_-FC32"/>
      <sheetName val="Deferred_Tax2"/>
      <sheetName val="Stand-Alone_FS_+_AJE_and_RJE2"/>
      <sheetName val="Linked_BS2"/>
      <sheetName val="Changes_in_Equity2"/>
      <sheetName val="Conversion_Sheet2"/>
      <sheetName val="Dipnot_Kontrol2"/>
      <sheetName val="5__Nakit_ve_Nakit_Benzerleri2"/>
      <sheetName val="6__Finansal_Yatırımlar2"/>
      <sheetName val="7__Finansal_Borçlar2"/>
      <sheetName val="8__Ticari_Alacaklar_ve_Borçlar2"/>
      <sheetName val="9__Diğer_Alacak_ve_Borçlar2"/>
      <sheetName val="11__Devam_Eden_İnşaat_Söz_2"/>
      <sheetName val="12__Özkaynak_Yön__Değ__Yat_2"/>
      <sheetName val="13__Yatırım_Amaçlı_Gay_2"/>
      <sheetName val="14__Maddi_Duran_Varlıklar2"/>
      <sheetName val="15__Maddi_Olmayan_Duran_Varlık2"/>
      <sheetName val="16__Ertelenmiş_Gelirler2"/>
      <sheetName val="17__Şarta_Bağlı_Varlık_ve_Yükü2"/>
      <sheetName val="19__Çalışanlara_Sağlanan_Fayda2"/>
      <sheetName val="20__Peşin_Ödenmiş_Giderler2"/>
      <sheetName val="21__Diğer_Varlık_ve_Yükümlülük2"/>
      <sheetName val="23__Satışlar_ve_Satışların_Mal2"/>
      <sheetName val="24__Paz__Sat__&amp;__Gen__Yön_2"/>
      <sheetName val="25__Diğer_Faal__Gel__Gid_2"/>
      <sheetName val="26__Finansal_Gelirler2"/>
      <sheetName val="27__Finansal_Giderler2"/>
      <sheetName val="28__Vergi_Varlık_ve_Yükümlülük2"/>
      <sheetName val="29__İlişkili_Taraf_Açıklamalar2"/>
      <sheetName val="30__Kredi_Riski2"/>
      <sheetName val="30__Likidite_Riski2"/>
      <sheetName val="30__Yabancı_Para_Riski2"/>
      <sheetName val="30__Faiz_Oranı_Riski2"/>
      <sheetName val="Balancesheet_IFRS2"/>
      <sheetName val="Inc__Sta__Cumulative_IFRS_USD2"/>
      <sheetName val="Income_Statement_IFRS2"/>
      <sheetName val="Inc__Sta__Cumulative_IFRS_ETB2"/>
      <sheetName val="Balancesheet_Legal2"/>
      <sheetName val="Income_Statement_Legal2"/>
      <sheetName val="5_Cash_and_Cash_Equivalents_A2"/>
      <sheetName val="5_Cash_and_Cash_Equivalents_B2"/>
      <sheetName val="6_Other_Financial_Assets2"/>
      <sheetName val="7_Trade_Receivables-Current2"/>
      <sheetName val="7_Trade_Receivables-Non_Curren2"/>
      <sheetName val="8_Related_Party_Transactions2"/>
      <sheetName val="9_Inventories2"/>
      <sheetName val="10_Contract_and_Oth__Adv__Give2"/>
      <sheetName val="11_Other_Receivables_and_Asset2"/>
      <sheetName val="12_Investments_in_Associates2"/>
      <sheetName val="13_Property_and_Equipment2"/>
      <sheetName val="14_Investment_Properties2"/>
      <sheetName val="15_Inv__Property_Under_Dev_A2"/>
      <sheetName val="15_Inv__Propert_Under_Dev_B2"/>
      <sheetName val="16__Intangible_Assets2"/>
      <sheetName val="17_Construction_Contracts2"/>
      <sheetName val="18_Bank_Loans2"/>
      <sheetName val="19_Other_Financial_Liabilities2"/>
      <sheetName val="20_Obligations_Und__Fin__Lease2"/>
      <sheetName val="18_Bank_Loan2"/>
      <sheetName val="21_Trade_Payables_-_Current2"/>
      <sheetName val="21_Trade_Payables_-_Non_Curren2"/>
      <sheetName val="22_Contract_and_Other_Adv__Rec2"/>
      <sheetName val="23_Other_Pay__and_Expense_Acc_2"/>
      <sheetName val="24_Provision_for_Emp__Term_2"/>
      <sheetName val="25_Provisions2"/>
      <sheetName val="26_Taxation_on_Income2"/>
      <sheetName val="27_Commitments_and_Contingicie2"/>
      <sheetName val="28__Share_Capital2"/>
      <sheetName val="29_Revenue2"/>
      <sheetName val="30_Cost_of_Revenue2"/>
      <sheetName val="31_Other_Gains_and_Losses2"/>
      <sheetName val="32_Sales_and_Adm__Expenses2"/>
      <sheetName val="33_Financial_Income2"/>
      <sheetName val="34_Financial_Expenses2"/>
      <sheetName val="35_Foreign_Currency_Position2"/>
      <sheetName val="36_Business_Combinations2"/>
      <sheetName val="37_Disposal_of_Subsidary2"/>
      <sheetName val="38_Segment_Information2"/>
      <sheetName val="39_Joint_Ventures2"/>
      <sheetName val="40_Events_After_BS_Date2"/>
      <sheetName val="41_Approval_of_Fin_Statements2"/>
      <sheetName val="42_Financial_Risk_Management2"/>
      <sheetName val="IFRS_72"/>
      <sheetName val="BOD_Review2"/>
      <sheetName val="Legal_Letters_Review2"/>
      <sheetName val="Corporate_Tax_Calculation2"/>
      <sheetName val="Profit_Distribution_Table2"/>
      <sheetName val="Goodwill_-_Net2"/>
      <sheetName val="산#2-1_(2)2"/>
      <sheetName val="WEIGHT_LIST2"/>
      <sheetName val="현장별계약현황('98_10_31)2"/>
      <sheetName val="준검_내역서2"/>
      <sheetName val="Bill_04-Kim_lo2"/>
      <sheetName val="3_1_11"/>
      <sheetName val="3_1_41"/>
      <sheetName val="2_5_11"/>
      <sheetName val="4_1_11"/>
      <sheetName val="4_3_21"/>
      <sheetName val="5_3_11"/>
      <sheetName val="2_4_31"/>
      <sheetName val="Inventory_Margin1"/>
      <sheetName val="Bill_05_-_Hoan_thԀ Ꙗ졸"/>
      <sheetName val="Elemental_Breakdown+20%"/>
      <sheetName val="Thiet_bi"/>
      <sheetName val="May_TC"/>
      <sheetName val="Nhan_cong"/>
      <sheetName val="DM_ChiPhi"/>
      <sheetName val="CFA_Sumary"/>
      <sheetName val="2_1_4_(CHI_TIET)"/>
      <sheetName val="Analysis_Rate"/>
      <sheetName val="Level_20_-_Estimate"/>
      <sheetName val="Land_Dev't__Ph-1"/>
      <sheetName val="Hac_Lots"/>
      <sheetName val="4-Lane_bridge"/>
      <sheetName val="Res_Lots"/>
      <sheetName val="Spine_Road"/>
      <sheetName val="Tong_hop"/>
      <sheetName val="Ko_data1"/>
      <sheetName val="costloaded_bc1"/>
      <sheetName val="costloaded_bc(17)1"/>
      <sheetName val="Giai_trinh"/>
      <sheetName val="Bill_04-Ki碕轙턀箲ԯ缀렀⼗"/>
      <sheetName val="SL_dau_tien"/>
      <sheetName val="토공(우물통,기타)_"/>
      <sheetName val="Bill_05_-_Hoan_th"/>
      <sheetName val="Chi_tiết_KT"/>
      <sheetName val="CỔ_CỘT-Thống_kê"/>
      <sheetName val="CỔ_CỘT-Chi_tiết"/>
      <sheetName val="CỔ_CỘT-Cốt_thép"/>
      <sheetName val="Công_tác_đất"/>
      <sheetName val="CỘTDẦMGIẰNGLANHTÔ_-_ThốngKê"/>
      <sheetName val="CỘTDẦMGIẰNGLANHTÔ_-_Chi_Tiết"/>
      <sheetName val="CỘTDẦMGIẰNGLANHTÔ-Cốt_thép"/>
      <sheetName val="ĐÀ_KIỀNG_-Thống_kê"/>
      <sheetName val="ĐÀ_KIỀNG-Cốt_thép"/>
      <sheetName val="SÀN_MÁI-Chi_tiết"/>
      <sheetName val="KETCAUSANTRET-Cốt_thép"/>
      <sheetName val="MÓNG-Thống_kê"/>
      <sheetName val="MÓNG-Chi_tiết"/>
      <sheetName val="MÓNG-Cốt_thép"/>
      <sheetName val="MƯƠNG-Chi_Tiết"/>
      <sheetName val="MƯƠNG-Cốt_thép"/>
      <sheetName val="MƯƠNG-Thống_kê"/>
      <sheetName val="SÀN_MÁI-Cốt_thép"/>
      <sheetName val="B2F_"/>
      <sheetName val="GENERAL_REQUIREMENTS"/>
      <sheetName val="DTICH_(Full)"/>
      <sheetName val="Div26_-_Elect"/>
      <sheetName val="97_사업추정(WEKI)"/>
      <sheetName val="02-10_(실행)1"/>
      <sheetName val="_BM집계_및_내역서_xlsx"/>
      <sheetName val="rate_PC_item"/>
      <sheetName val="AH-1_"/>
      <sheetName val="광통신_견적내역서1"/>
      <sheetName val="Bảng dung trọng"/>
      <sheetName val="Bill 04-Ki碕轙턀箲ԯ"/>
      <sheetName val="Bech_Lab"/>
      <sheetName val="내역_누락분_x0000__x0000__x0000__x0001_Ԁ_x0000__x0000_"/>
      <sheetName val="운영도(변경후)"/>
      <sheetName val="수리결과"/>
      <sheetName val="토목내역서"/>
      <sheetName val="ANalisa "/>
      <sheetName val="Bahan"/>
      <sheetName val="RAB_OK"/>
      <sheetName val="2.대외공문"/>
      <sheetName val="B737"/>
      <sheetName val="확인서"/>
      <sheetName val="을지"/>
      <sheetName val="FWBS7000,8000"/>
      <sheetName val="입찰"/>
      <sheetName val="현경"/>
      <sheetName val="내역_누락분_x0000__x0000__x0000__x0000_?㐰"/>
      <sheetName val="내역_누락분_x005f_x0000__x005f_x0000_Ԁ_x005f_x0000_ကꩉ炡"/>
      <sheetName val="내역_누락분_x005f_x0000__x005f_x0000_Ԁ_x005f_x0000_怀쨔烀"/>
      <sheetName val="내역_누락분_x005f_x0000__x005f_x0000_Ԁ_x005f_x0000_炢"/>
      <sheetName val="내역_누락분_x005f_x0000__x005f_x0000_Ԁ_x005f_x0000_怀炢"/>
      <sheetName val="내역_누락분_x005f_x0000__x005f_x0000_Ԁ_x005f_x0000_瀀靵"/>
      <sheetName val="내역_누락분_x005f_x0000__x005f_x0000_Ԁ_x005f_x0000_ꀀ쏼"/>
      <sheetName val="내역_누락분_x005f_x0000__x005f_x0000_Ԁ_x005f_x0000_耀ᳮ"/>
      <sheetName val="내역_누락분_x005f_x0000__x005f_x0000_Ԁ_x005f_x0000_ꀀ쑺"/>
      <sheetName val="내역_누락분_x005f_x0000__x005f_x0000_Ԁ_x005f_x0000_ꀀ쑷"/>
      <sheetName val="내역_누락분_x005f_x0000__x005f_x0000_Ԁ_x005f_x0000_ꀀ켡"/>
      <sheetName val="내역_누락분_x005f_x0000__x005f_x0000_Ԁ_x005f_x0000_瀀䉱"/>
      <sheetName val="내역_누락분_x005f_x0000__x005f_x0000_Ԁ_x005f_x0000_쀀ᰏ"/>
      <sheetName val="____x005f_x005f_x005f_x005f_x005f_x005f_x005f_x005f_x_2"/>
      <sheetName val="원가(㌔ɥ퟈ឩ_x005f_x0000_"/>
      <sheetName val="____x005f_x0000__x005f_x0000__x005f_x0005__x000_2"/>
      <sheetName val="내역_누락분³_x005f_x0000_Ԁ_x005f_x0000_퀀吔胋"/>
      <sheetName val="내역_누락분³_x005f_x0000_Ԁ_x005f_x0000_　秊胋"/>
      <sheetName val="내역_누락분Ñ_x005f_x0000_Ԁ_x005f_x0000_怀嫋"/>
      <sheetName val="내역_누락분³_x005f_x0000_Ԁ_x005f_x0000_㠠⩖"/>
      <sheetName val="내역_누락분³_x005f_x0000_Ԁ_x005f_x0000_耀⩜"/>
      <sheetName val="내역_누락분Ñ_x005f_x0000_Ԁ_x005f_x0000_　靾嫒"/>
      <sheetName val="내역_누락분Ñ_x005f_x0000_Ԁ_x005f_x0000_ 嫒"/>
      <sheetName val="내역_누락분Ñ_x005f_x0000_Ԁ_x005f_x0000_怀㤗嫒"/>
      <sheetName val="내역_누락분Ñ_x005f_x0000_Ԁ_x005f_x0000__x005f_x0000_矫嫒"/>
      <sheetName val="내역_누락분Ñ_x005f_x0000_Ԁ_x005f_x0000_瀀䷜벩"/>
      <sheetName val="내역_누락분Ñ_x005f_x0000_Ԁ_x005f_x0000_䀀࿭벳"/>
      <sheetName val="내역_누락분Ñ_x005f_x0000_Ԁ_x005f_x0000_　亪벩"/>
      <sheetName val="내역_누락분_수량산ᰐẗ_x005f_x0000_"/>
      <sheetName val="Bill_04_Kim_lo_x005f_x0000__x005f_x0000___2"/>
      <sheetName val="내역_누락분å_x005f_x0000_Ԁ_x005f_x0000_䀀쌵"/>
      <sheetName val="내역_누락분å_x005f_x0000_Ԁ_x005f_x0000_　騫쌵"/>
      <sheetName val="내역_누락분å_x005f_x0000_Ԁ_x005f_x0000_뀀颀쌵"/>
      <sheetName val="내역_누락분å_x005f_x0000_Ԁ_x005f_x0000_退桰쌸"/>
      <sheetName val="내역_누락분_x005f_x001e__x005f_x0000_Ԁ_x005f_x0000_ 陁쌹"/>
      <sheetName val="내역_누락분_x005f_x001e__x005f_x0000_Ԁ_x005f_x0000_倀椛쌸"/>
      <sheetName val="내역_누락분Á_x005f_x0000_Ԁ_x005f_x0000_怀Ӟ뢫"/>
      <sheetName val="내역_누락분_수량산출_x005f_x0000__x005f_x0000_"/>
      <sheetName val="내역_누락분_x005f_x0000__x005f_x0000_Ԁ_x005f_x0000_退ᮨ颗"/>
      <sheetName val="97년 추정"/>
      <sheetName val="토공"/>
      <sheetName val="BM_LIST(2)"/>
      <sheetName val="당초"/>
      <sheetName val="Cooling Tower"/>
      <sheetName val="Cooling_Tower"/>
      <sheetName val="토적표"/>
      <sheetName val="제경집계"/>
      <sheetName val="동별 가설전등전열 산출 (1)"/>
      <sheetName val="내역_누락분_x0000__x0000_Ԁ_x0000_뀀䬏_xddfa_"/>
      <sheetName val="5. Nakit ve Naki턠ȵ㥎'䜈ᠿڠկ_x0000__x0000_er"/>
      <sheetName val="5. Nakit ve Naki턠ȵ㥎'ᡲڠկ_x0000__x0000_er"/>
      <sheetName val="MIJIBI"/>
      <sheetName val="REKAP"/>
      <sheetName val="Analisa"/>
      <sheetName val="data_dci"/>
      <sheetName val="data_mci"/>
      <sheetName val="behind"/>
      <sheetName val="Main"/>
      <sheetName val="기초자료"/>
      <sheetName val="견적집계표"/>
      <sheetName val="ASALTOTA"/>
      <sheetName val="산거각호표"/>
      <sheetName val="토공사"/>
      <sheetName val="1단계"/>
      <sheetName val="8521"/>
      <sheetName val="10"/>
      <sheetName val="gvl"/>
      <sheetName val="Alat"/>
      <sheetName val="Analisa Gabungan"/>
      <sheetName val="Areas"/>
      <sheetName val="Bang chiet tinh TBA"/>
      <sheetName val="Chiet tinh DZ 22"/>
      <sheetName val="TBVL"/>
      <sheetName val="Chiet tinh dz22"/>
      <sheetName val="C"/>
      <sheetName val="인원계획"/>
      <sheetName val="Grundformel"/>
      <sheetName val="자금청구"/>
      <sheetName val="노무비단가"/>
      <sheetName val="요율"/>
      <sheetName val="입찰내역 발주처 양식"/>
      <sheetName val="1_취수_x0000__x0000_"/>
      <sheetName val="교각계산"/>
      <sheetName val="13-İŞGÜCÜ.HİSTOGRAM'03"/>
      <sheetName val="기본일위"/>
      <sheetName val="DAF-2"/>
      <sheetName val="Brekdown_E"/>
      <sheetName val="진주방향"/>
      <sheetName val="마산방향"/>
      <sheetName val="대림경상6_x0000__x0000_"/>
      <sheetName val="BEND LOSS"/>
      <sheetName val="MAT"/>
      <sheetName val="회사99"/>
      <sheetName val="일위대가(가설)"/>
      <sheetName val="목록"/>
      <sheetName val="중기"/>
      <sheetName val="내역_누락분_x0000__x0000__x0001__x0000__x0000__x0000_"/>
      <sheetName val="전기공사"/>
      <sheetName val="3단계"/>
      <sheetName val="__"/>
      <sheetName val="??"/>
      <sheetName val="5. Nakit ve Naki턠ȵ㥎'䜈ᠿڠկ"/>
      <sheetName val="5. Nakit ve Naki턠ȵ㥎'ᡲڠ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 refreshError="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  <sheetName val="날개벽수량표"/>
      <sheetName val="실행표(진행실행=PM실행)"/>
      <sheetName val="수량산출서"/>
      <sheetName val="표지"/>
      <sheetName val="갑지  (총합계)"/>
      <sheetName val="견적(을) 총합계"/>
      <sheetName val="갑지 "/>
      <sheetName val="견적(을)"/>
      <sheetName val="에어컨(갑)"/>
      <sheetName val="에어컨(을)"/>
      <sheetName val="구매가구및가전제품(갑)"/>
      <sheetName val="구매가구및가전제품(을)"/>
      <sheetName val="통신및랜(갑)"/>
      <sheetName val="통신및랜(을)"/>
      <sheetName val="바라시"/>
      <sheetName val="실행 "/>
      <sheetName val="날개벽(좌,우=60도-4개)"/>
      <sheetName val="982월원안"/>
      <sheetName val="Total"/>
      <sheetName val="COVER"/>
      <sheetName val="유림골조"/>
      <sheetName val="Sheet4"/>
      <sheetName val="RESOURCE"/>
      <sheetName val="esc"/>
      <sheetName val="BID"/>
      <sheetName val="내역서"/>
      <sheetName val="정부노임단가"/>
      <sheetName val="코드표"/>
      <sheetName val="당정동경상이수"/>
      <sheetName val="당정동공통이수"/>
      <sheetName val="건축집계표이수"/>
      <sheetName val="건축집계합계"/>
      <sheetName val="표준건축비"/>
      <sheetName val="Sheet5"/>
      <sheetName val="한진금융비"/>
      <sheetName val="한화금융비"/>
      <sheetName val="마산월령동골조물량변경"/>
      <sheetName val="건축집계"/>
      <sheetName val="소방사항"/>
      <sheetName val="부하계산서"/>
      <sheetName val="FURNITURE-01"/>
      <sheetName val="도급원가"/>
      <sheetName val="기안"/>
      <sheetName val="0226"/>
      <sheetName val="금융비용"/>
      <sheetName val="직공비"/>
      <sheetName val="토목"/>
      <sheetName val="설명서 "/>
      <sheetName val="시멘트"/>
      <sheetName val="점수계산1-2"/>
      <sheetName val="SG"/>
      <sheetName val="약품설비"/>
      <sheetName val="설계"/>
      <sheetName val="1차증가원가계산"/>
      <sheetName val="설계조건"/>
      <sheetName val="I一般比"/>
      <sheetName val="말뚝지지력산정"/>
      <sheetName val="화전내"/>
      <sheetName val="분양가격표"/>
      <sheetName val="구조물철거타공정이월"/>
      <sheetName val="가로등"/>
      <sheetName val="부대tu"/>
      <sheetName val="fix채권및회수"/>
      <sheetName val="2000.11월설계내역"/>
      <sheetName val="합의경상"/>
      <sheetName val="본공사"/>
      <sheetName val="2010"/>
      <sheetName val="제출내역 (2)"/>
      <sheetName val="금액"/>
      <sheetName val="율표"/>
      <sheetName val="8월차잔"/>
      <sheetName val="3-3"/>
      <sheetName val="U"/>
      <sheetName val="Sheet2"/>
      <sheetName val="고정자산원본"/>
      <sheetName val="물량표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  <sheetName val="ASEM내역"/>
      <sheetName val="내역(전체)"/>
      <sheetName val="포장공"/>
      <sheetName val="토공"/>
      <sheetName val="품종별-이름"/>
      <sheetName val="결과조달"/>
      <sheetName val="Const Staff"/>
      <sheetName val="FREU Engineering"/>
      <sheetName val="Startup Staff"/>
      <sheetName val="건축(충일분)"/>
      <sheetName val="I一般比"/>
      <sheetName val="공틀공사"/>
      <sheetName val="kimre scrubber"/>
      <sheetName val="2-3.V.D일위"/>
      <sheetName val="FANDBS"/>
      <sheetName val="GRDATA"/>
      <sheetName val="SHAFTDBSE"/>
      <sheetName val="확산동"/>
      <sheetName val="교통대책내역"/>
      <sheetName val="음료실행"/>
      <sheetName val="토목주소"/>
      <sheetName val="프랜트면허"/>
      <sheetName val="GRDBS"/>
      <sheetName val="견적대비표"/>
      <sheetName val="시화점실행"/>
      <sheetName val="실행철강하도"/>
      <sheetName val="예산 세부사항"/>
      <sheetName val="갑지1"/>
      <sheetName val="물량표S"/>
      <sheetName val="3련 BOX"/>
      <sheetName val="wall"/>
      <sheetName val="투찰"/>
      <sheetName val="MTL(AG)"/>
      <sheetName val="EQUIPMENT -2"/>
      <sheetName val="부대대비"/>
      <sheetName val="냉연집계"/>
      <sheetName val="1단계"/>
      <sheetName val="단가일람"/>
      <sheetName val="조경일람"/>
      <sheetName val="토사(PE)"/>
      <sheetName val="조명시설"/>
      <sheetName val="년도별실"/>
      <sheetName val="Sheet3"/>
      <sheetName val="수량산출서"/>
      <sheetName val="CODE"/>
      <sheetName val="직공비"/>
      <sheetName val="내역서(총)"/>
      <sheetName val="Y-WORK"/>
      <sheetName val="INPUT"/>
      <sheetName val="예산M12A"/>
      <sheetName val="ABUT수량-A1"/>
      <sheetName val="중기사용료산출근거"/>
      <sheetName val="단가 및 재료비"/>
      <sheetName val="말뚝지지력산정"/>
      <sheetName val="금액내역서"/>
      <sheetName val="Sheet5"/>
      <sheetName val="Main"/>
      <sheetName val="기계내역"/>
      <sheetName val="기초자료"/>
      <sheetName val="98태백"/>
      <sheetName val="건축집계표"/>
      <sheetName val="소업1교"/>
      <sheetName val="설계"/>
      <sheetName val="날개벽(좌,우=45도,75도)"/>
      <sheetName val="eq_data"/>
      <sheetName val="EE-PROP"/>
      <sheetName val="단가산출서"/>
      <sheetName val="전기"/>
      <sheetName val="사업부배부A"/>
      <sheetName val="부대내역"/>
      <sheetName val="단가산출1"/>
      <sheetName val="단가산출2"/>
      <sheetName val="DATE"/>
      <sheetName val="F4-F7"/>
      <sheetName val="차수"/>
      <sheetName val="공통가설"/>
      <sheetName val="매입세"/>
      <sheetName val="세부내역"/>
      <sheetName val="95년간접비"/>
      <sheetName val="발생집계"/>
      <sheetName val="이자수익1"/>
      <sheetName val="Macro(전선)"/>
      <sheetName val="간지"/>
      <sheetName val="낙찰표"/>
      <sheetName val="노임단가"/>
      <sheetName val="일위대가(계측기설치)"/>
      <sheetName val="변수2"/>
      <sheetName val="저항"/>
      <sheetName val="정부노임단가"/>
      <sheetName val="Quantity"/>
      <sheetName val="Sheet1"/>
      <sheetName val="투입실적"/>
      <sheetName val="5사남"/>
      <sheetName val="#REF!"/>
      <sheetName val="Module1"/>
      <sheetName val="tuong"/>
      <sheetName val="Re-bar"/>
      <sheetName val="dtxl"/>
      <sheetName val="자료"/>
      <sheetName val="공사내역"/>
      <sheetName val="데리네이타현황"/>
      <sheetName val="구미4단2.XLS"/>
      <sheetName val="%EA%B5%AC%EB%AF%B84%EB%8B%A82.X"/>
      <sheetName val="ahs"/>
      <sheetName val="metode"/>
      <sheetName val="노임이"/>
      <sheetName val="일위대가_1_"/>
      <sheetName val="건축"/>
      <sheetName val="COPING"/>
      <sheetName val="을지"/>
      <sheetName val="TOEC"/>
      <sheetName val="터파기및재료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CON'C"/>
      <sheetName val="골조시행"/>
      <sheetName val="공사비산출내역"/>
      <sheetName val="품의서"/>
      <sheetName val="공통가설공사"/>
      <sheetName val="재집"/>
      <sheetName val="직재"/>
      <sheetName val="70%"/>
      <sheetName val="설 계"/>
      <sheetName val="10월"/>
      <sheetName val="일위대가표"/>
      <sheetName val="노임"/>
      <sheetName val="단가"/>
      <sheetName val="일위목록"/>
      <sheetName val="Macro1"/>
      <sheetName val="일위대가(가설)"/>
      <sheetName val="실행"/>
      <sheetName val="SUMMARY"/>
      <sheetName val="PAINT"/>
      <sheetName val="가로등내역서"/>
      <sheetName val="작성"/>
      <sheetName val="일위_파일"/>
      <sheetName val="노무비"/>
      <sheetName val="6PILE  (돌출)"/>
      <sheetName val="장비사양"/>
      <sheetName val="식재일위대가"/>
      <sheetName val="Sheet1 (2)"/>
      <sheetName val="전기BOX내역서"/>
      <sheetName val="가도공"/>
      <sheetName val="코드표"/>
      <sheetName val="설계내역서"/>
      <sheetName val="연결임시"/>
      <sheetName val="기자재비"/>
      <sheetName val="Mc1"/>
      <sheetName val="2.냉난방설비공사"/>
      <sheetName val="단가비교표"/>
      <sheetName val="패널"/>
      <sheetName val="1차 내역서"/>
      <sheetName val="Sheet4"/>
      <sheetName val="대목"/>
      <sheetName val="단가표 (2)"/>
      <sheetName val="N賃率-職"/>
      <sheetName val="2000년1차"/>
      <sheetName val="물가시세"/>
      <sheetName val="Sheet2"/>
      <sheetName val="단위중량"/>
      <sheetName val="적용건축"/>
      <sheetName val="단가조사서"/>
      <sheetName val="공문"/>
      <sheetName val="설계변경총괄표(계산식)"/>
      <sheetName val="A3.공사비 검토"/>
      <sheetName val="C3.토목_옹벽"/>
      <sheetName val="3.건축(현장안)"/>
      <sheetName val="의왕내역"/>
      <sheetName val="관급자재"/>
      <sheetName val="단"/>
      <sheetName val="수정시산표"/>
      <sheetName val="매출채권 및 담보비율 변동"/>
      <sheetName val="설계예시"/>
      <sheetName val="물량표"/>
      <sheetName val="기초단가"/>
      <sheetName val="개산공사비"/>
      <sheetName val="완성차 미수금"/>
      <sheetName val="인건-측정"/>
      <sheetName val="전기변내역"/>
      <sheetName val="실행간접비용"/>
      <sheetName val="갑지(요약)"/>
      <sheetName val="현장관리비"/>
      <sheetName val="기초코드"/>
      <sheetName val="비교1"/>
      <sheetName val="내역서2안"/>
      <sheetName val="지급자재"/>
      <sheetName val="2.대외공문"/>
      <sheetName val="HP1AMLIST"/>
      <sheetName val="JUCKEYK"/>
      <sheetName val="분양가"/>
      <sheetName val="대가단최종"/>
      <sheetName val="분양금할인"/>
      <sheetName val="ML"/>
      <sheetName val="업무분장"/>
      <sheetName val="실행대비"/>
      <sheetName val="강북라우터"/>
      <sheetName val="콤보박스와 리스트박스의 연결"/>
      <sheetName val="이토변실(A3-LINE)"/>
      <sheetName val="식재가격"/>
      <sheetName val="식재총괄"/>
      <sheetName val="물가자료"/>
      <sheetName val="목차 및 표지"/>
      <sheetName val="1기성검사원"/>
      <sheetName val="기성검사원"/>
      <sheetName val="2기성산출범위요약서"/>
      <sheetName val="4-10"/>
      <sheetName val="일위대가(출입)"/>
      <sheetName val="설계예산2"/>
      <sheetName val="덤프트럭계수"/>
      <sheetName val="준검 내역서"/>
      <sheetName val="공정코드"/>
      <sheetName val="내역(토목2)11-7"/>
      <sheetName val="설계서을"/>
      <sheetName val="BOX수량"/>
      <sheetName val="용산1(해보)"/>
      <sheetName val="입출재고현황 (2)"/>
      <sheetName val="총괄"/>
      <sheetName val="8공구투찰내역서"/>
      <sheetName val="1.우편집중내역서"/>
      <sheetName val="공사비예산서(토목분)"/>
      <sheetName val="단가조건"/>
      <sheetName val="1.설계조건"/>
      <sheetName val="98지급계획"/>
      <sheetName val="내역(입찰)"/>
      <sheetName val="RAHMEN"/>
      <sheetName val="type-F"/>
      <sheetName val="영업.일"/>
      <sheetName val="산출기준(파견전산실)"/>
      <sheetName val="본부소개"/>
      <sheetName val="예산변경사항"/>
      <sheetName val="청천내"/>
      <sheetName val="단위중기"/>
      <sheetName val="2000.05"/>
      <sheetName val="인사자료총집계"/>
      <sheetName val="hvac내역서(제어동)"/>
      <sheetName val="BOQ건축"/>
      <sheetName val="M1"/>
      <sheetName val="단면검토"/>
      <sheetName val="BSD _2_"/>
      <sheetName val="물가"/>
      <sheetName val="Budget 2004(DW)"/>
      <sheetName val="첨"/>
      <sheetName val="9-1차이내역"/>
      <sheetName val="설비내역서"/>
      <sheetName val="건축내역서"/>
      <sheetName val="전기내역서"/>
      <sheetName val="PROJECT BRIEF(EX.NEW)"/>
      <sheetName val="재무가정"/>
      <sheetName val="말뚝물량"/>
      <sheetName val="협조전"/>
      <sheetName val="정보매체A동"/>
      <sheetName val="ITB COST"/>
      <sheetName val="현장"/>
      <sheetName val="6.OUTPUT"/>
      <sheetName val="계약내역서"/>
      <sheetName val="출력표"/>
      <sheetName val="단면가정"/>
      <sheetName val="I.설계조건"/>
      <sheetName val="단면 (2)"/>
      <sheetName val="combi(wall)"/>
      <sheetName val="표지"/>
      <sheetName val="1련박스"/>
      <sheetName val="대로근거"/>
      <sheetName val="중로근거"/>
      <sheetName val="첨부파일"/>
      <sheetName val="가격조사서"/>
      <sheetName val="현금"/>
      <sheetName val="BREAKDOWN(철거설치)"/>
      <sheetName val="UNIT"/>
      <sheetName val="퇴비산출근거"/>
      <sheetName val="99노임기준"/>
      <sheetName val="2002상반기노임기준"/>
      <sheetName val="분류작업"/>
      <sheetName val="분석"/>
      <sheetName val="설계예산"/>
      <sheetName val="하도급기성_(2)"/>
      <sheetName val="하도급단가산출_(2)"/>
      <sheetName val="입출재고현황_(2)"/>
      <sheetName val="EKOG10건축"/>
      <sheetName val="전체"/>
      <sheetName val="조명율표"/>
      <sheetName val="공사개요설명서"/>
      <sheetName val="건축공사"/>
      <sheetName val="사용성검토"/>
      <sheetName val="안정검토"/>
      <sheetName val="토목내역"/>
      <sheetName val="공통(20-91)"/>
      <sheetName val="토공(완충)"/>
      <sheetName val="기계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토공계산서(부체도로)"/>
      <sheetName val="간접경상비"/>
      <sheetName val="토목"/>
      <sheetName val="옹벽"/>
      <sheetName val="8.PILE  (돌출)"/>
      <sheetName val="입력값"/>
      <sheetName val="간선계산"/>
      <sheetName val="MOTOR"/>
      <sheetName val="부재예실"/>
      <sheetName val="SUMMARY(S)"/>
      <sheetName val="대대터널 설계서"/>
      <sheetName val="내역표지"/>
      <sheetName val="담장산출"/>
      <sheetName val="깨기"/>
      <sheetName val="첨부1"/>
      <sheetName val="hvac(제어동)"/>
      <sheetName val="가정급수관"/>
      <sheetName val="FRT_O"/>
      <sheetName val="FAB_I"/>
      <sheetName val="보일러"/>
      <sheetName val="배수통관(좌)"/>
      <sheetName val="11"/>
      <sheetName val="포장복구집계"/>
      <sheetName val="적용환율"/>
      <sheetName val="접속 SLAB,BRACKET 설계"/>
      <sheetName val="견적조건"/>
      <sheetName val="관리비"/>
      <sheetName val="TB-내역서"/>
      <sheetName val="자재단가비교표"/>
      <sheetName val="교량전기"/>
      <sheetName val="토적1"/>
      <sheetName val="1호맨홀토공"/>
      <sheetName val="12용지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보온자재단가표"/>
      <sheetName val="조경"/>
      <sheetName val="Front"/>
      <sheetName val="DESCRIPTION"/>
      <sheetName val="예산M5A"/>
      <sheetName val="VENDOR LIST"/>
      <sheetName val="공통비"/>
      <sheetName val="WORK"/>
      <sheetName val="crude.SLAB RE-bar"/>
      <sheetName val="예산내역서"/>
      <sheetName val="설계예산서"/>
      <sheetName val="총계"/>
      <sheetName val="수문일1"/>
      <sheetName val="하중계산"/>
      <sheetName val="J直材4"/>
      <sheetName val="내역서 "/>
      <sheetName val="산출근거"/>
      <sheetName val="COVER"/>
      <sheetName val="도"/>
      <sheetName val="1.설계기준"/>
      <sheetName val="소운반"/>
      <sheetName val="Discount Group"/>
      <sheetName val="인건비"/>
      <sheetName val="FB25JN"/>
      <sheetName val="건축내역"/>
      <sheetName val="기성내역서표지"/>
      <sheetName val="바.한일양산"/>
      <sheetName val="요율"/>
      <sheetName val="소방"/>
      <sheetName val="산출"/>
      <sheetName val="기초일위"/>
      <sheetName val="시설일위"/>
      <sheetName val="조명일위"/>
      <sheetName val="A"/>
      <sheetName val="정렬"/>
      <sheetName val="투찰금액"/>
      <sheetName val="J"/>
      <sheetName val="진행 DATA (2)"/>
      <sheetName val="부표총괄"/>
      <sheetName val="대림경상68억"/>
      <sheetName val="일위대가(1)"/>
      <sheetName val="강교(Sub)"/>
      <sheetName val="일반토공견적"/>
      <sheetName val="중기경유지급대장"/>
      <sheetName val="규격"/>
      <sheetName val="FAX"/>
      <sheetName val="한강운반비"/>
      <sheetName val="원가서"/>
      <sheetName val="인천제철"/>
      <sheetName val="예산대비"/>
      <sheetName val="일위"/>
      <sheetName val="내역서(ebs)"/>
      <sheetName val="3.공통공사대비"/>
      <sheetName val="보험료"/>
      <sheetName val="해외(원화)"/>
      <sheetName val="부전지"/>
      <sheetName val="입력"/>
      <sheetName val="9GNG운반"/>
      <sheetName val="계획고"/>
      <sheetName val="구조물공"/>
      <sheetName val="배수공"/>
      <sheetName val="BQ(실행)"/>
      <sheetName val="기본단가"/>
      <sheetName val="연습"/>
      <sheetName val="진천방향"/>
      <sheetName val="단가산출"/>
      <sheetName val="기안"/>
      <sheetName val="APT"/>
      <sheetName val="주안3차A-A"/>
      <sheetName val="DHEQSUPT"/>
      <sheetName val="_REF"/>
      <sheetName val="Apt내역"/>
      <sheetName val="소방사항"/>
      <sheetName val="기본DATA"/>
      <sheetName val="98수문일위"/>
      <sheetName val="자재"/>
      <sheetName val="G.R300경비"/>
      <sheetName val="중기사용료"/>
      <sheetName val="구의33고"/>
      <sheetName val="유림골조"/>
      <sheetName val="제잡비"/>
      <sheetName val="통합보할공정표"/>
      <sheetName val="덕전리"/>
      <sheetName val="증감내역서"/>
      <sheetName val="시운전연료"/>
      <sheetName val="건축내역서 (경제상무실)"/>
      <sheetName val="내역서적용"/>
      <sheetName val="(A)내역서"/>
      <sheetName val="유림총괄"/>
      <sheetName val="편입용지조서"/>
      <sheetName val="원가"/>
      <sheetName val="가. 2006년 사업계획서"/>
      <sheetName val="집행현황"/>
      <sheetName val="MIJIBI"/>
      <sheetName val="부대tu"/>
      <sheetName val="inputdata"/>
      <sheetName val="토목(대안)"/>
      <sheetName val="인제내역"/>
      <sheetName val="설비"/>
      <sheetName val="P1"/>
      <sheetName val="매매"/>
      <sheetName val="전신"/>
      <sheetName val="기본자료"/>
      <sheetName val="A-4"/>
      <sheetName val="현장경상비"/>
      <sheetName val="비용"/>
      <sheetName val="도급원가"/>
      <sheetName val="관로공표지"/>
      <sheetName val="콘크리트타설집계표"/>
      <sheetName val="전기단가조사서"/>
      <sheetName val="목재동바리"/>
      <sheetName val="출력X"/>
      <sheetName val="설계명세"/>
      <sheetName val="XL4Poppy"/>
      <sheetName val="매립"/>
      <sheetName val="s"/>
      <sheetName val="산출내역서집계표"/>
      <sheetName val="입찰"/>
      <sheetName val="현경"/>
      <sheetName val="CAL"/>
      <sheetName val="대치판정"/>
      <sheetName val="배수관공"/>
      <sheetName val="내역_FILE"/>
      <sheetName val="Sheet6"/>
      <sheetName val="database"/>
      <sheetName val="Salary(해외)"/>
      <sheetName val="연돌일위집계"/>
      <sheetName val="실행내역서 "/>
      <sheetName val="영동(D)"/>
      <sheetName val="실행(1)"/>
      <sheetName val="사다리"/>
      <sheetName val="산근"/>
      <sheetName val="배관배선 단가조사"/>
      <sheetName val="일위대가집계"/>
      <sheetName val="설비견적"/>
      <sheetName val="단양 00 아파트-세부내역"/>
      <sheetName val="96보완계획7.12"/>
      <sheetName val="기계경비(시간당)"/>
      <sheetName val="램머"/>
      <sheetName val="공사"/>
      <sheetName val="***********************00"/>
      <sheetName val="목포전화국"/>
      <sheetName val="면적"/>
      <sheetName val="집계"/>
      <sheetName val="수목데이타 "/>
      <sheetName val="식재"/>
      <sheetName val="시설물"/>
      <sheetName val="식재출력용"/>
      <sheetName val="유지관리"/>
      <sheetName val="확약서"/>
      <sheetName val="사토(신천경유)"/>
      <sheetName val="내역서단가산출용"/>
      <sheetName val="건설성적"/>
      <sheetName val="98NS-N"/>
      <sheetName val="청주(철골발주의뢰서)"/>
      <sheetName val="분전함신설"/>
      <sheetName val="접지1종"/>
      <sheetName val="전선 및 전선관"/>
      <sheetName val="일위대가목록"/>
      <sheetName val="공조기"/>
      <sheetName val="예산M2"/>
      <sheetName val="콘크리트타설입력"/>
      <sheetName val="레미콘입고현황"/>
      <sheetName val="부재리스트"/>
      <sheetName val="현장경비"/>
      <sheetName val="타공종이기"/>
      <sheetName val="본사 보고"/>
      <sheetName val="건축공사 집계표"/>
      <sheetName val="총괄표"/>
      <sheetName val="계정"/>
      <sheetName val="환율change"/>
      <sheetName val="금융비용"/>
      <sheetName val="4 LINE"/>
      <sheetName val="7 th"/>
      <sheetName val="냉천부속동"/>
      <sheetName val="만수배관단가"/>
      <sheetName val="FRP배관단가(만수)"/>
      <sheetName val="전 기"/>
      <sheetName val="7단가"/>
      <sheetName val="EQ-R1"/>
      <sheetName val="단가조사표"/>
      <sheetName val="층별"/>
      <sheetName val="DATA(03.20)"/>
      <sheetName val="원가 (2)"/>
      <sheetName val="CONCRETE"/>
      <sheetName val="평3"/>
      <sheetName val="B"/>
      <sheetName val="경비_원본"/>
      <sheetName val="카렌스센터계량기설치공사"/>
      <sheetName val="외주가공"/>
      <sheetName val="통합"/>
      <sheetName val="Sheet14"/>
      <sheetName val="Sheet15"/>
      <sheetName val="관로토공"/>
      <sheetName val="keyword"/>
      <sheetName val="factors"/>
      <sheetName val="진주방향"/>
      <sheetName val="배수공 주요자재 집계표"/>
      <sheetName val="_견적서"/>
      <sheetName val="2_고용보험료산출근거"/>
      <sheetName val="지구단위계획"/>
      <sheetName val="날개벽수량표"/>
      <sheetName val="FAB별"/>
      <sheetName val="EJ"/>
      <sheetName val="단면치수"/>
      <sheetName val="도급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/>
      <sheetData sheetId="106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  <sheetName val="비교1"/>
      <sheetName val="연습"/>
      <sheetName val="물량표"/>
      <sheetName val="준공갑지"/>
      <sheetName val="총괄표"/>
      <sheetName val="DATA1"/>
      <sheetName val="계정"/>
      <sheetName val="일반부표"/>
      <sheetName val="시멘트"/>
      <sheetName val="내역표지"/>
      <sheetName val="데이타"/>
      <sheetName val="식재인부"/>
      <sheetName val="설계가"/>
      <sheetName val="T형( 파일기초) 공현1교"/>
      <sheetName val="골조시행"/>
      <sheetName val="덕전리"/>
      <sheetName val="(A)내역서"/>
      <sheetName val="총괄-1"/>
      <sheetName val="카렌스센터계량기설치공사"/>
      <sheetName val="대공종"/>
      <sheetName val="98지급계획"/>
      <sheetName val="정부노임단가"/>
      <sheetName val="잔수량(작성)"/>
      <sheetName val="자재비"/>
      <sheetName val="구의33고"/>
      <sheetName val="45,46"/>
      <sheetName val="공종별"/>
      <sheetName val="유동표"/>
      <sheetName val="A-LINE"/>
      <sheetName val="수리결과"/>
      <sheetName val="파이프류"/>
      <sheetName val="배수내역 (2)"/>
      <sheetName val="DATA LISTS"/>
      <sheetName val="대"/>
      <sheetName val="공사비"/>
      <sheetName val="단가산출"/>
      <sheetName val="Macro2"/>
      <sheetName val="원가서"/>
      <sheetName val="공량산출서"/>
      <sheetName val="ABUT수량-A1"/>
      <sheetName val="2.대외공문"/>
      <sheetName val="손익차9월2"/>
      <sheetName val="일반관리비"/>
      <sheetName val="costing_Press"/>
      <sheetName val="사급자재"/>
      <sheetName val="001"/>
      <sheetName val="충주"/>
      <sheetName val="투찰"/>
      <sheetName val="70%"/>
      <sheetName val="시험장S자로가로등공사"/>
      <sheetName val="코드표"/>
      <sheetName val="Piping Design Data"/>
      <sheetName val="MEXICO-C"/>
      <sheetName val="물량산출근거"/>
      <sheetName val="도급양식"/>
      <sheetName val="ROOF(ALKALI)"/>
      <sheetName val="cable-data"/>
      <sheetName val="할증 "/>
      <sheetName val="kimre scrubber"/>
      <sheetName val="GRDBS"/>
      <sheetName val="G.R300경비"/>
      <sheetName val="잡철물"/>
      <sheetName val="단가표"/>
      <sheetName val="신설개소별 총집계표(동해-배전)"/>
      <sheetName val="안평역사 총집계"/>
      <sheetName val="CAPVC"/>
      <sheetName val="Customer Databas"/>
      <sheetName val="단중"/>
      <sheetName val="실행(ALT1)"/>
      <sheetName val="냉천부속동"/>
      <sheetName val="돈암사업"/>
      <sheetName val="토목주소"/>
      <sheetName val="프랜트면허"/>
      <sheetName val="전기실-1"/>
      <sheetName val="MATRLDATA"/>
      <sheetName val="1,2공구원가계산서"/>
      <sheetName val="1공구산출내역서"/>
      <sheetName val="4 &amp; 10-inch, CO2 Combo &amp; Sweep"/>
      <sheetName val="CTEMCOST"/>
      <sheetName val="목록"/>
      <sheetName val="부하(성남)"/>
      <sheetName val="RE9604"/>
      <sheetName val="일위대가목차"/>
      <sheetName val="예산경비1차"/>
      <sheetName val="단면치수"/>
      <sheetName val="기둥(원형)"/>
      <sheetName val="물가시세"/>
      <sheetName val="빌딩 안내"/>
      <sheetName val="단열-자재"/>
      <sheetName val="한강운반비"/>
      <sheetName val="역결합트래버스"/>
      <sheetName val="입찰품의서"/>
      <sheetName val="자재운반단가일람표"/>
      <sheetName val="FAB별"/>
      <sheetName val="연부97-1"/>
      <sheetName val="갑지1"/>
      <sheetName val="공통비(전체)"/>
      <sheetName val="을"/>
      <sheetName val="건축공사"/>
      <sheetName val="업체별기성내역"/>
      <sheetName val="9GNG운반"/>
      <sheetName val="전 기"/>
      <sheetName val="관급"/>
      <sheetName val="맨홀수량산출"/>
      <sheetName val="관급자재"/>
      <sheetName val="정렬"/>
      <sheetName val="자료(통합)"/>
      <sheetName val="Site Expenses"/>
      <sheetName val="근거 자료"/>
      <sheetName val="공사"/>
      <sheetName val="Y-WORK"/>
      <sheetName val="전기"/>
      <sheetName val="NOMUBI"/>
      <sheetName val="sw1"/>
      <sheetName val="신우"/>
      <sheetName val="실행(1)"/>
      <sheetName val="매입세"/>
      <sheetName val="견적"/>
      <sheetName val="간접"/>
      <sheetName val="입고장부 (4)"/>
      <sheetName val="DATE"/>
      <sheetName val="건축공사실행"/>
      <sheetName val="6PILE  (돌출)"/>
      <sheetName val="7.경제성결과"/>
      <sheetName val="8.석축단위(H=1.5M)"/>
      <sheetName val="영업소실적"/>
      <sheetName val="공사개요"/>
      <sheetName val="단가 및 재료비"/>
      <sheetName val="단가산출2"/>
      <sheetName val="중기사용료산출근거"/>
      <sheetName val="단가산출1"/>
      <sheetName val="4층내역"/>
      <sheetName val="산근"/>
      <sheetName val="용량(1-2)"/>
      <sheetName val="MOTOR"/>
      <sheetName val="조건"/>
      <sheetName val="견적서"/>
      <sheetName val="옹벽수량집계표"/>
      <sheetName val="설계"/>
      <sheetName val="중기사용료"/>
      <sheetName val="B"/>
      <sheetName val="노임이"/>
      <sheetName val="설계내역서"/>
      <sheetName val="간접비계산"/>
      <sheetName val="서울대규장각(가시설흙막이)"/>
      <sheetName val="기성(1차) "/>
      <sheetName val="내역서 "/>
      <sheetName val="관계주식"/>
      <sheetName val="약품공급2"/>
      <sheetName val="PW3"/>
      <sheetName val="PW4"/>
      <sheetName val="SC1"/>
      <sheetName val="PE"/>
      <sheetName val="PM"/>
      <sheetName val="TR"/>
      <sheetName val="IT-BAT"/>
      <sheetName val="역공종"/>
      <sheetName val="5_BANG I"/>
      <sheetName val="Re-bar"/>
      <sheetName val="수안보-MBR1"/>
      <sheetName val="데리네이타현황"/>
      <sheetName val="수주현황2월"/>
      <sheetName val="원도급"/>
      <sheetName val="하도급"/>
      <sheetName val="원하대비"/>
      <sheetName val="PAINT"/>
      <sheetName val="#REF!"/>
      <sheetName val="밸브설치"/>
      <sheetName val="기초계산(Pmax)"/>
      <sheetName val="JUCK"/>
      <sheetName val="현장관리비 산출내역"/>
      <sheetName val="견적조건"/>
      <sheetName val="Module1"/>
      <sheetName val="Stem Footing"/>
      <sheetName val="건축집계"/>
      <sheetName val="Table"/>
      <sheetName val="장비명"/>
      <sheetName val="와동25-3(변경)"/>
      <sheetName val="공사비집계"/>
      <sheetName val="우각부보강"/>
      <sheetName val="우배수"/>
      <sheetName val="계산식"/>
      <sheetName val="설명"/>
      <sheetName val="01"/>
      <sheetName val="BACK DATA"/>
      <sheetName val="c_balju"/>
      <sheetName val="외천교"/>
      <sheetName val="금액내역서"/>
      <sheetName val="2000년1차"/>
      <sheetName val="코딩 (2)"/>
      <sheetName val="자금청구"/>
      <sheetName val="콘크리트타설집계표"/>
      <sheetName val="일위대가(가설)"/>
      <sheetName val="단가"/>
      <sheetName val="마산월령동골조물량변경"/>
      <sheetName val="2.건축"/>
      <sheetName val="현황산출서"/>
      <sheetName val="Sheet4"/>
      <sheetName val="s"/>
      <sheetName val="인사자료총집계"/>
      <sheetName val="공비대비"/>
      <sheetName val="총괄내역서"/>
      <sheetName val=" 갑지"/>
      <sheetName val="전기공사"/>
      <sheetName val="SOS_PLC &amp; Panel"/>
      <sheetName val="기본단가표"/>
      <sheetName val="DANGA"/>
      <sheetName val="공통(20-91)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증감대비"/>
      <sheetName val="날개벽"/>
      <sheetName val="IBASE"/>
      <sheetName val="RFP002"/>
      <sheetName val="예총"/>
      <sheetName val="Input"/>
      <sheetName val="단"/>
      <sheetName val="orignal"/>
      <sheetName val="감액총괄표"/>
      <sheetName val="Quantity"/>
      <sheetName val="HARSAT"/>
      <sheetName val="원남울진낙찰내역(99_4_13_부산청)"/>
      <sheetName val="8_석축단위(H=1_5M)"/>
      <sheetName val="5_BANG_I"/>
      <sheetName val="플랜트_설치"/>
      <sheetName val="기성(1차)_"/>
      <sheetName val="소상_&quot;1&quot;"/>
      <sheetName val="6PILE__(돌출)"/>
      <sheetName val="BACK_DATA"/>
      <sheetName val="현장관리비_산출내역"/>
      <sheetName val="2_건축"/>
      <sheetName val="SOS_PLC_&amp;_Panel"/>
      <sheetName val="의정부문예회관변경내역"/>
      <sheetName val="8)중점관리장비현황"/>
      <sheetName val="포장공"/>
      <sheetName val="전체내역 (2)"/>
      <sheetName val="TABLE DB"/>
      <sheetName val="쌍용 data base"/>
      <sheetName val="현장별"/>
      <sheetName val="Sheet3"/>
      <sheetName val="견적 집계"/>
      <sheetName val="설계조건"/>
      <sheetName val="LOAD-46"/>
      <sheetName val="현장관리비"/>
      <sheetName val="TRE TABLE"/>
      <sheetName val="Macro3"/>
      <sheetName val="비교원RD-S"/>
      <sheetName val="청천내"/>
      <sheetName val="__MAIN"/>
      <sheetName val="POWER"/>
      <sheetName val="BOL"/>
      <sheetName val="ESTI."/>
      <sheetName val="DI-ESTI"/>
      <sheetName val="증감내역서"/>
      <sheetName val="토목"/>
      <sheetName val="125x125"/>
      <sheetName val="개산공사비"/>
      <sheetName val="CAL"/>
      <sheetName val="DTCT"/>
      <sheetName val="SUMMARY"/>
      <sheetName val="직재"/>
      <sheetName val="재집"/>
      <sheetName val="준검 내역서"/>
      <sheetName val="98수문일위"/>
      <sheetName val="TB(BS)"/>
      <sheetName val="TB(PL)"/>
      <sheetName val="EQT-ESTN"/>
      <sheetName val="구조물철거타공정이월"/>
      <sheetName val="Hrg.Sat"/>
      <sheetName val="일위대가표"/>
      <sheetName val="신대방33(적용)"/>
      <sheetName val="실행"/>
      <sheetName val="울산자동제어"/>
      <sheetName val="APT"/>
      <sheetName val="교통대책내역"/>
      <sheetName val="입력"/>
      <sheetName val="자료입력"/>
      <sheetName val="화설내"/>
      <sheetName val="토목내역"/>
      <sheetName val="아파트-가설"/>
      <sheetName val="소방사항"/>
      <sheetName val="내역서 (2)"/>
      <sheetName val="3월"/>
      <sheetName val="실행내역"/>
      <sheetName val="_갑지"/>
      <sheetName val="9-1차이내역"/>
      <sheetName val="C10집계2"/>
      <sheetName val="실행(표지,갑,을)"/>
      <sheetName val="소비자가"/>
      <sheetName val="4 LINE"/>
      <sheetName val="7 th"/>
      <sheetName val="견적을지"/>
      <sheetName val="내역(전체)"/>
      <sheetName val="TEL"/>
      <sheetName val="개인별 순위표"/>
      <sheetName val="FANDBS"/>
      <sheetName val="GRDATA"/>
      <sheetName val="SHAFTDBSE"/>
      <sheetName val="그림"/>
      <sheetName val="원남울진낙찰내역(99.4.13%20부산청).xls"/>
      <sheetName val="%EC%9B%90%EB%82%A8%EC%9A%B8%EC%"/>
      <sheetName val="Sheet5"/>
      <sheetName val="변경증감내역서"/>
      <sheetName val="투자예산"/>
      <sheetName val="예산"/>
      <sheetName val="목차"/>
      <sheetName val="SG"/>
      <sheetName val="울산자금"/>
      <sheetName val="실행예산"/>
      <sheetName val="Macro(전동기)"/>
      <sheetName val="철근량"/>
      <sheetName val="배수공 주요자재 집계표"/>
      <sheetName val="기초코드"/>
      <sheetName val="철근집계표"/>
      <sheetName val="설계명세서"/>
      <sheetName val="예산명세서"/>
      <sheetName val="도급"/>
      <sheetName val="경비2내역"/>
      <sheetName val="금호"/>
      <sheetName val="제잡비"/>
      <sheetName val="공정별계획(생산,발송)"/>
      <sheetName val="STORAGE"/>
      <sheetName val="노원열병합  건축공사기성내역서"/>
      <sheetName val="시설일위"/>
      <sheetName val="기초일위"/>
      <sheetName val="조명일위"/>
      <sheetName val="동해title"/>
      <sheetName val="Pjny"/>
      <sheetName val="매입세율"/>
      <sheetName val="학생내역"/>
      <sheetName val="기안"/>
      <sheetName val="배관길이"/>
      <sheetName val="자재단가표"/>
      <sheetName val="신공"/>
      <sheetName val="실행내역서 "/>
      <sheetName val="본공사"/>
      <sheetName val="확산동"/>
      <sheetName val="1차 내역서"/>
      <sheetName val="건축(을)"/>
      <sheetName val="음료실행"/>
      <sheetName val="시운전연료"/>
      <sheetName val="Sheet1 (2)"/>
      <sheetName val="C-노임단가"/>
      <sheetName val="식재가격"/>
      <sheetName val="식재총괄"/>
      <sheetName val="코드"/>
      <sheetName val="보안등"/>
      <sheetName val="본부장"/>
      <sheetName val="EACT10"/>
      <sheetName val="3BL공동구 수량"/>
      <sheetName val="가로등내역서"/>
      <sheetName val="화전내"/>
      <sheetName val="대비"/>
      <sheetName val="자재"/>
      <sheetName val="물가기준년"/>
      <sheetName val="장비기준"/>
      <sheetName val="내역(중앙)"/>
      <sheetName val="내역(창신)"/>
      <sheetName val="기계내역"/>
      <sheetName val="포천송우교회_CheckList"/>
      <sheetName val="MOKDONG(1)"/>
      <sheetName val="일위목록"/>
      <sheetName val="수정금지"/>
      <sheetName val="갑지"/>
      <sheetName val="공사비증감"/>
      <sheetName val="CAUDIT"/>
      <sheetName val="원본(갑지)"/>
      <sheetName val="세부추진"/>
      <sheetName val="상용보강"/>
      <sheetName val="부대공Ⅱ"/>
      <sheetName val="sh1"/>
      <sheetName val="신고조서"/>
      <sheetName val="환율change"/>
      <sheetName val="옥외외등집계표"/>
      <sheetName val="참조자료"/>
      <sheetName val="부하계산서"/>
      <sheetName val="B.O.M"/>
      <sheetName val="신공항A-9(원가수정)"/>
      <sheetName val="하조서"/>
      <sheetName val="문학간접"/>
      <sheetName val="소야공정계획표"/>
      <sheetName val="토공사"/>
      <sheetName val="원가"/>
      <sheetName val="전라자금"/>
      <sheetName val="예산입력(전)"/>
      <sheetName val="단가 (2)"/>
      <sheetName val="유림골조"/>
      <sheetName val="건설실행"/>
      <sheetName val="원가총괄"/>
      <sheetName val="평3"/>
      <sheetName val="조명율표"/>
      <sheetName val="품셈"/>
      <sheetName val="BCK3672"/>
      <sheetName val="중기"/>
      <sheetName val="방수"/>
      <sheetName val="원가계산서"/>
      <sheetName val=""/>
      <sheetName val="위치"/>
      <sheetName val="원형1호맨홀토공수량"/>
      <sheetName val="내역서을지"/>
      <sheetName val="Graph (LGEN)"/>
      <sheetName val="out_prog"/>
      <sheetName val="선적schedule (2)"/>
      <sheetName val="집수정(600-700)"/>
      <sheetName val="예정(3)"/>
      <sheetName val="archi(본사)"/>
      <sheetName val="타공종이기"/>
      <sheetName val="P-산#1-1(WOWA1)"/>
      <sheetName val="간접비"/>
      <sheetName val="관람석제출"/>
      <sheetName val="기초자료입력"/>
      <sheetName val="3차설계"/>
      <sheetName val="식재품셈"/>
      <sheetName val="스케즐"/>
      <sheetName val="경"/>
      <sheetName val="인건비"/>
      <sheetName val=" 견적서"/>
      <sheetName val="전신환매도율"/>
      <sheetName val="대로근거"/>
      <sheetName val="빗물받이(910-510-410)"/>
      <sheetName val="실내건축일위대가"/>
      <sheetName val="A공구"/>
      <sheetName val="관경결정"/>
      <sheetName val="교각1"/>
      <sheetName val="조건표"/>
      <sheetName val="토목내역서 (도급단가)"/>
      <sheetName val="위생-sa"/>
      <sheetName val="정산내역서"/>
      <sheetName val="건축원가"/>
      <sheetName val="직노"/>
      <sheetName val="과천MAIN"/>
      <sheetName val="Upgrades pricing"/>
      <sheetName val="XL4Poppy"/>
      <sheetName val="PL"/>
      <sheetName val="Dulieu"/>
      <sheetName val="기기리스트"/>
      <sheetName val="다이꾸"/>
      <sheetName val="Factor"/>
      <sheetName val="S0"/>
      <sheetName val="부하LOAD"/>
      <sheetName val="Cost bd-&quot;A&quot;"/>
      <sheetName val="계수시트"/>
      <sheetName val="쌍송교"/>
      <sheetName val="3.하중산정4.지지력"/>
      <sheetName val="제출내역 (2)"/>
      <sheetName val="관접합및부설"/>
      <sheetName val="HRSG SMALL07220"/>
      <sheetName val="costing_CV"/>
      <sheetName val="자압"/>
      <sheetName val="COPING"/>
      <sheetName val="전차선로 물량표"/>
      <sheetName val="바닥판(1)"/>
      <sheetName val="3련 BOX"/>
      <sheetName val="기초공"/>
      <sheetName val="Sheet22"/>
      <sheetName val="총괄"/>
      <sheetName val="내역1"/>
      <sheetName val="실행간접비용"/>
      <sheetName val="배수내역"/>
      <sheetName val="woo(mac)"/>
      <sheetName val="BQ"/>
      <sheetName val="J直材4"/>
      <sheetName val="배수설비"/>
      <sheetName val="맨홀수량"/>
      <sheetName val="라이닝보강"/>
      <sheetName val="현장별계약현황('98.10.31)"/>
      <sheetName val="집계"/>
      <sheetName val="준공변경요약서(4차1회)"/>
      <sheetName val="원가계산서 (전체변경)"/>
      <sheetName val="원가 (2)"/>
      <sheetName val="A-4"/>
      <sheetName val="123"/>
      <sheetName val="광통신 견적내역서1"/>
      <sheetName val="일위대가표(DEEP)"/>
      <sheetName val="국산화"/>
      <sheetName val="물량 및 할증 적용 내역서(기계 배관)"/>
      <sheetName val="당초"/>
      <sheetName val="SRC-B3U2"/>
      <sheetName val="분뇨"/>
      <sheetName val="품의서"/>
      <sheetName val="ITEM"/>
      <sheetName val="광주"/>
      <sheetName val="K2-02월"/>
      <sheetName val="유형분류"/>
      <sheetName val="시스템구분"/>
      <sheetName val="Xunit (단위환산)"/>
      <sheetName val="합의서"/>
      <sheetName val="1-Master"/>
      <sheetName val="현지판매"/>
      <sheetName val="옥외배관기본공량"/>
      <sheetName val="퍼스트"/>
      <sheetName val="품의서(TL)"/>
      <sheetName val="1.설계조건"/>
      <sheetName val="변전실재분리"/>
      <sheetName val="근로자자료입력"/>
      <sheetName val="참고자료"/>
      <sheetName val="단가비교"/>
      <sheetName val="INSTR"/>
      <sheetName val="용량계산"/>
      <sheetName val="물량 및 할증 적용 내역서"/>
      <sheetName val="1-1-2.고순도용접"/>
      <sheetName val="1-4CHEM"/>
      <sheetName val="1-5"/>
      <sheetName val="CALCULATION"/>
      <sheetName val="GRACE"/>
      <sheetName val="장비당단가 (1)"/>
      <sheetName val="Summary Sheets"/>
      <sheetName val="경상비"/>
      <sheetName val="옹벽"/>
      <sheetName val="지주설치제원"/>
      <sheetName val="D-623D"/>
      <sheetName val="Macro1"/>
      <sheetName val="8.식재일위"/>
      <sheetName val="B시설가격"/>
      <sheetName val="조경"/>
      <sheetName val="물량"/>
      <sheetName val="설-원가"/>
      <sheetName val="가계부"/>
      <sheetName val="제품목록"/>
      <sheetName val="매입매출관리"/>
      <sheetName val="견적산출"/>
      <sheetName val="수량집계"/>
      <sheetName val="I一般比"/>
      <sheetName val="월별수입"/>
      <sheetName val="손익분석"/>
      <sheetName val="제경비"/>
      <sheetName val="장비단가"/>
      <sheetName val="신천3호용수로"/>
      <sheetName val="포장(수량)-관로부"/>
      <sheetName val="DHEQSUPT"/>
      <sheetName val="형강단중집계"/>
      <sheetName val="실행별짠"/>
      <sheetName val="장비내역서"/>
      <sheetName val="기계내역서"/>
      <sheetName val="200"/>
      <sheetName val="X17-TOTAL"/>
      <sheetName val="내역서2안"/>
      <sheetName val="견적대비표"/>
      <sheetName val="도면자료제출일정"/>
      <sheetName val="집 계 표"/>
      <sheetName val="견적 업체 LIST"/>
      <sheetName val="원남울진낙찰내역(99_4_13_부산청)1"/>
      <sheetName val="8_석축단위(H=1_5M)1"/>
      <sheetName val="5_BANG_I1"/>
      <sheetName val="플랜트_설치1"/>
      <sheetName val="기성(1차)_1"/>
      <sheetName val="현장관리비_산출내역1"/>
      <sheetName val="Stem_Footing"/>
      <sheetName val="Piping_Design_Data"/>
      <sheetName val="소상_&quot;1&quot;1"/>
      <sheetName val="6PILE__(돌출)1"/>
      <sheetName val="BACK_DATA1"/>
      <sheetName val="코딩_(2)"/>
      <sheetName val="2_건축1"/>
      <sheetName val="_갑지1"/>
      <sheetName val="SOS_PLC_&amp;_Panel1"/>
      <sheetName val="PROJECT_BRIEF"/>
      <sheetName val="BSD_(2)"/>
      <sheetName val="5_전사투자계획종함안"/>
      <sheetName val="단양_00_아파트-세부내역"/>
      <sheetName val="빌딩_안내"/>
      <sheetName val="시설물_설치표"/>
      <sheetName val="안양동교_1안"/>
      <sheetName val="T형(_파일기초)_공현1교"/>
      <sheetName val="입고장부_(4)"/>
      <sheetName val="2_대외공문"/>
      <sheetName val="전체내역_(2)"/>
      <sheetName val="TABLE_DB"/>
      <sheetName val="쌍용_data_base"/>
      <sheetName val="견적_집계"/>
      <sheetName val="Graph_(LGEN)"/>
      <sheetName val="선적schedule_(2)"/>
      <sheetName val="준검_내역서"/>
      <sheetName val="kimre_scrubber"/>
      <sheetName val="Customer_Databas"/>
      <sheetName val="화재_탐지_설비"/>
      <sheetName val="할증_"/>
      <sheetName val="G_R300경비"/>
      <sheetName val="신설개소별_총집계표(동해-배전)"/>
      <sheetName val="안평역사_총집계"/>
      <sheetName val="원남울진낙찰내역(99_4_13%20부산청)_xls"/>
      <sheetName val="BASE_DATA1"/>
      <sheetName val="PROJECT_BRIEF(EX_NEW)"/>
      <sheetName val="ESTI_"/>
      <sheetName val="Hrg_Sat"/>
      <sheetName val="내역서_(2)"/>
      <sheetName val="4_LINE"/>
      <sheetName val="7_th"/>
      <sheetName val="개인별_순위표"/>
      <sheetName val="배수공_주요자재_집계표"/>
      <sheetName val="노원열병합__건축공사기성내역서"/>
      <sheetName val="실행내역서_"/>
      <sheetName val="1차_내역서"/>
      <sheetName val="Sheet1_(2)"/>
      <sheetName val="3BL공동구_수량"/>
      <sheetName val="7_경제성결과"/>
      <sheetName val="Cost_bd-&quot;A&quot;"/>
      <sheetName val="3_하중산정4_지지력"/>
      <sheetName val="제출내역_(2)"/>
      <sheetName val="HRSG_SMALL07220"/>
      <sheetName val="전차선로_물량표"/>
      <sheetName val="3련_BOX"/>
      <sheetName val="_견적서"/>
      <sheetName val="현장별계약현황('98_10_31)"/>
      <sheetName val="원가계산서_(전체변경)"/>
      <sheetName val="원가_(2)"/>
      <sheetName val="광통신_견적내역서1"/>
      <sheetName val="물량_및_할증_적용_내역서(기계_배관)"/>
      <sheetName val="Site_Expenses"/>
      <sheetName val="4_&amp;_10-inch,_CO2_Combo_&amp;_Sweep"/>
      <sheetName val="근거_자료"/>
      <sheetName val="Xunit_(단위환산)"/>
      <sheetName val="8_식재일위"/>
      <sheetName val="배수내역_(2)"/>
      <sheetName val="DATA_LISTS"/>
      <sheetName val="물량_및_할증_적용_내역서"/>
      <sheetName val="1-1-2_고순도용접"/>
      <sheetName val="Upgrades_pricing"/>
      <sheetName val="장비당단가_(1)"/>
      <sheetName val="Summary_Sheets"/>
      <sheetName val="TIE-INS"/>
      <sheetName val="1.Factory+Office"/>
      <sheetName val="PROCESS"/>
      <sheetName val="Package1"/>
      <sheetName val="공문"/>
      <sheetName val="1-1"/>
      <sheetName val="구조물공"/>
      <sheetName val="부대공"/>
      <sheetName val="배수공"/>
      <sheetName val="토공"/>
      <sheetName val="단가산출서"/>
      <sheetName val="단가산출서 (2)"/>
      <sheetName val="1"/>
      <sheetName val="총괄집계표"/>
      <sheetName val="1공구(을)"/>
      <sheetName val="1을"/>
      <sheetName val="기계경비일람"/>
      <sheetName val="1_설계조건"/>
      <sheetName val="Chiết tính"/>
      <sheetName val="12CGOU"/>
      <sheetName val="CHITIET VL-NCHT1 (2)"/>
      <sheetName val="건축내역"/>
      <sheetName val="TDTKP"/>
      <sheetName val="기계경비(시간당)"/>
      <sheetName val="nys"/>
      <sheetName val="전_기"/>
      <sheetName val="집_계_표"/>
      <sheetName val="b_balju"/>
      <sheetName val="유리"/>
      <sheetName val="건축2"/>
      <sheetName val="15"/>
      <sheetName val="인부신상자료"/>
      <sheetName val="전도자금"/>
      <sheetName val="electric"/>
      <sheetName val="schedule"/>
      <sheetName val="내역서(삼호)"/>
      <sheetName val="저"/>
      <sheetName val="구분자"/>
      <sheetName val="통장출금액"/>
      <sheetName val="수문일위1"/>
      <sheetName val="첨부1"/>
      <sheetName val="단가대비표"/>
      <sheetName val="SIZING"/>
      <sheetName val="원가계산서_(전체변ƽ螁"/>
      <sheetName val="cost"/>
      <sheetName val="중량표"/>
      <sheetName val="원남울진낙찰내역(99_4_13_부산청)2"/>
      <sheetName val="8_석축단위(H=1_5M)2"/>
      <sheetName val="5_BANG_I2"/>
      <sheetName val="플랜트_설치2"/>
      <sheetName val="기성(1차)_2"/>
      <sheetName val="소상_&quot;1&quot;2"/>
      <sheetName val="6PILE__(돌출)2"/>
      <sheetName val="BACK_DATA2"/>
      <sheetName val="현장관리비_산출내역2"/>
      <sheetName val="2_건축2"/>
      <sheetName val="SOS_PLC_&amp;_Panel2"/>
      <sheetName val="Stem_Footing1"/>
      <sheetName val="Piping_Design_Data1"/>
      <sheetName val="코딩_(2)1"/>
      <sheetName val="_갑지2"/>
      <sheetName val="PROJECT_BRIEF1"/>
      <sheetName val="BSD_(2)1"/>
      <sheetName val="5_전사투자계획종함안1"/>
      <sheetName val="단양_00_아파트-세부내역1"/>
      <sheetName val="kimre_scrubber1"/>
      <sheetName val="Customer_Databas1"/>
      <sheetName val="화재_탐지_설비1"/>
      <sheetName val="할증_1"/>
      <sheetName val="G_R300경비1"/>
      <sheetName val="신설개소별_총집계표(동해-배전)1"/>
      <sheetName val="안평역사_총집계1"/>
      <sheetName val="빌딩_안내1"/>
      <sheetName val="시설물_설치표1"/>
      <sheetName val="안양동교_1안1"/>
      <sheetName val="T형(_파일기초)_공현1교1"/>
      <sheetName val="입고장부_(4)1"/>
      <sheetName val="2_대외공문1"/>
      <sheetName val="전체내역_(2)1"/>
      <sheetName val="TABLE_DB1"/>
      <sheetName val="쌍용_data_base1"/>
      <sheetName val="견적_집계1"/>
      <sheetName val="Graph_(LGEN)1"/>
      <sheetName val="선적schedule_(2)1"/>
      <sheetName val="준검_내역서1"/>
      <sheetName val="원남울진낙찰내역(99_4_13%20부산청)_xls1"/>
      <sheetName val="BASE_DATA11"/>
      <sheetName val="PROJECT_BRIEF(EX_NEW)1"/>
      <sheetName val="7_경제성결과1"/>
      <sheetName val="ESTI_1"/>
      <sheetName val="Hrg_Sat1"/>
      <sheetName val="내역서_(2)1"/>
      <sheetName val="4_LINE1"/>
      <sheetName val="7_th1"/>
      <sheetName val="개인별_순위표1"/>
      <sheetName val="배수공_주요자재_집계표1"/>
      <sheetName val="노원열병합__건축공사기성내역서1"/>
      <sheetName val="실행내역서_1"/>
      <sheetName val="1차_내역서1"/>
      <sheetName val="Sheet1_(2)1"/>
      <sheetName val="3BL공동구_수량1"/>
      <sheetName val="Cost_bd-&quot;A&quot;1"/>
      <sheetName val="3_하중산정4_지지력1"/>
      <sheetName val="제출내역_(2)1"/>
      <sheetName val="HRSG_SMALL072201"/>
      <sheetName val="전차선로_물량표1"/>
      <sheetName val="3련_BOX1"/>
      <sheetName val="_견적서1"/>
      <sheetName val="현장별계약현황('98_10_31)1"/>
      <sheetName val="원가계산서_(전체변경)1"/>
      <sheetName val="원가_(2)1"/>
      <sheetName val="광통신_견적내역서11"/>
      <sheetName val="물량_및_할증_적용_내역서(기계_배관)1"/>
      <sheetName val="Site_Expenses1"/>
      <sheetName val="4_&amp;_10-inch,_CO2_Combo_&amp;_Sweep1"/>
      <sheetName val="근거_자료1"/>
      <sheetName val="Xunit_(단위환산)1"/>
      <sheetName val="8_식재일위1"/>
      <sheetName val="배수내역_(2)1"/>
      <sheetName val="DATA_LISTS1"/>
      <sheetName val="물량_및_할증_적용_내역서1"/>
      <sheetName val="1-1-2_고순도용접1"/>
      <sheetName val="Upgrades_pricing1"/>
      <sheetName val="장비당단가_(1)1"/>
      <sheetName val="Summary_Sheets1"/>
      <sheetName val="1_설계조건1"/>
      <sheetName val="단가_및_재료비"/>
      <sheetName val="전_기1"/>
      <sheetName val="1_Factory+Office"/>
      <sheetName val="단가산출서_(2)"/>
      <sheetName val="TRE_TABLE"/>
      <sheetName val="Chiết_tính"/>
      <sheetName val="CHITIET_VL-NCHT1_(2)"/>
      <sheetName val="집_계_표1"/>
      <sheetName val="Currency"/>
      <sheetName val="4641"/>
      <sheetName val="2Piling"/>
      <sheetName val="ma-pt"/>
      <sheetName val="sanitary-ware tower3&amp;4"/>
      <sheetName val="입출재고현황 (2)"/>
      <sheetName val="단중표"/>
      <sheetName val="改加胶玻璃、室外栏杆"/>
      <sheetName val="토공집계표"/>
      <sheetName val="Parem"/>
      <sheetName val="MAIN"/>
      <sheetName val="D_MUC"/>
      <sheetName val="BIDDING-SUM"/>
      <sheetName val="Section"/>
      <sheetName val="Settings"/>
      <sheetName val="BG"/>
      <sheetName val="TH-Dien"/>
      <sheetName val="Area Cal"/>
      <sheetName val="B-B"/>
      <sheetName val="detai cable..."/>
      <sheetName val="NNgung"/>
      <sheetName val="00-Pipe Schedule for QS rev01"/>
      <sheetName val="LOC"/>
      <sheetName val="Units"/>
      <sheetName val="gvl"/>
      <sheetName val="Define finishing"/>
      <sheetName val="Sheet"/>
      <sheetName val="TYPE-B 평균H"/>
      <sheetName val="49일위"/>
      <sheetName val="6)화재 탐지 설비"/>
      <sheetName val="식생매트"/>
      <sheetName val="MV Motor Data"/>
      <sheetName val="인원계획"/>
      <sheetName val="비교표"/>
      <sheetName val="1차배부(JB포함)"/>
      <sheetName val="영지실적"/>
      <sheetName val="95월별매출"/>
      <sheetName val="대야미내역서"/>
      <sheetName val="효율표"/>
      <sheetName val="AHU집계"/>
      <sheetName val="공조기휀"/>
      <sheetName val="공조기"/>
      <sheetName val="가설공사비"/>
      <sheetName val="95년12월말"/>
      <sheetName val="p.m 별"/>
      <sheetName val="BOQ-M"/>
      <sheetName val="General"/>
      <sheetName val="사기도장"/>
      <sheetName val="건축설비"/>
      <sheetName val="검토"/>
      <sheetName val="노무비"/>
      <sheetName val="개소별수량산출"/>
      <sheetName val="을지"/>
      <sheetName val="3_2_집기비품교체주기"/>
      <sheetName val="실행내역(05. 1. 5.)"/>
      <sheetName val="실행단가철(ems코드적용)"/>
      <sheetName val="교대(A1)"/>
      <sheetName val="単価表"/>
      <sheetName val="INDEX"/>
      <sheetName val="변경비교-을"/>
      <sheetName val="98NS-N"/>
      <sheetName val="1.수인터널"/>
      <sheetName val="1_수인터널"/>
      <sheetName val="01. DATA"/>
      <sheetName val="03. TK THEP LANH TO"/>
      <sheetName val="SAP"/>
      <sheetName val="lokasari-el"/>
      <sheetName val="Bảng KL công tác chính"/>
      <sheetName val="tifico"/>
      <sheetName val="UTSBSPC1"/>
      <sheetName val="TONG HOP HOI NGHI"/>
      <sheetName val="02. VK, BT, HT"/>
      <sheetName val="03. TK THEP"/>
      <sheetName val="04. HOÀN THIỆN"/>
      <sheetName val="CTG"/>
      <sheetName val="SEX"/>
      <sheetName val="DonGia chetao"/>
      <sheetName val="DonGia VatTuLK"/>
      <sheetName val="Q-7100-001"/>
      <sheetName val="夹层"/>
      <sheetName val="拉条"/>
      <sheetName val="支撑"/>
      <sheetName val="檩条"/>
      <sheetName val="气楼"/>
      <sheetName val="理重表"/>
      <sheetName val="系杆"/>
      <sheetName val="行车"/>
      <sheetName val="钢架"/>
      <sheetName val="钢梁"/>
      <sheetName val="门"/>
      <sheetName val="隅撑"/>
      <sheetName val="雨篷"/>
      <sheetName val="预埋"/>
      <sheetName val="p"/>
      <sheetName val="PRE (RICONS)"/>
      <sheetName val="DGG"/>
      <sheetName val="外構・目次"/>
      <sheetName val="工場棟・目次"/>
      <sheetName val="事務棟・目次"/>
      <sheetName val="1.우편집중내역서"/>
      <sheetName val="TTTram"/>
      <sheetName val="부문손익"/>
      <sheetName val="HERO01"/>
      <sheetName val="업무분장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/>
      <sheetData sheetId="956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  <sheetName val="원가계산서"/>
      <sheetName val="2011.08."/>
      <sheetName val="table"/>
      <sheetName val="VXXXXXXX"/>
      <sheetName val="단가표"/>
      <sheetName val="건축내역서"/>
      <sheetName val="설비내역서"/>
      <sheetName val="전기내역서"/>
      <sheetName val="설계총괄표"/>
      <sheetName val="수량산출"/>
      <sheetName val="화성태안9공구내역(실행)"/>
      <sheetName val="조건표"/>
      <sheetName val="판매시설"/>
      <sheetName val="일위대가"/>
      <sheetName val="노임단가"/>
      <sheetName val="화산경계"/>
      <sheetName val="철거산출근거"/>
      <sheetName val="을"/>
      <sheetName val="지수"/>
      <sheetName val="비계공사"/>
      <sheetName val="중기사용료산출근거"/>
      <sheetName val="단가산출2"/>
      <sheetName val="단가 및 재료비"/>
      <sheetName val="수량"/>
      <sheetName val="BOJUNGGM"/>
      <sheetName val="관경별내역서"/>
      <sheetName val="TEST1"/>
      <sheetName val="설계서(건축분)"/>
      <sheetName val="요율"/>
      <sheetName val="하중조건(평상시)"/>
      <sheetName val="11-2.아파트내역"/>
      <sheetName val="기안"/>
      <sheetName val="말뚝지지력산정"/>
      <sheetName val="계약내역"/>
      <sheetName val="6호기"/>
      <sheetName val="건설기계"/>
      <sheetName val="노임"/>
      <sheetName val="단가산출"/>
      <sheetName val="사급자재"/>
      <sheetName val="표지"/>
      <sheetName val="아파트 내역"/>
      <sheetName val="총 원가계산"/>
      <sheetName val="시설물기초"/>
      <sheetName val="건축내역"/>
      <sheetName val="목차"/>
      <sheetName val="EQT-ESTN"/>
      <sheetName val="정공공사"/>
      <sheetName val="평가데이터"/>
      <sheetName val="연결임시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변경내역"/>
      <sheetName val="Requirement(Work Crew)"/>
      <sheetName val="단중표"/>
      <sheetName val="대총괄"/>
      <sheetName val="5-2.수량산출(A4)"/>
      <sheetName val="6-1.노임단가"/>
      <sheetName val="6-1.단가비교표"/>
      <sheetName val="인부노임"/>
      <sheetName val="정렬"/>
      <sheetName val="매뉴얼"/>
      <sheetName val="도급기성"/>
      <sheetName val="산출서"/>
      <sheetName val="단면가정"/>
      <sheetName val="경율산정"/>
      <sheetName val="공사비"/>
      <sheetName val="수목단가"/>
      <sheetName val="시설수량표"/>
      <sheetName val="식재수량표"/>
      <sheetName val="자재단가"/>
      <sheetName val="FAB별"/>
      <sheetName val="AHU집계"/>
      <sheetName val="공조기휀"/>
      <sheetName val="공조기"/>
      <sheetName val="입찰안"/>
      <sheetName val="입력자료"/>
      <sheetName val="POL6차-PIPING"/>
      <sheetName val="2000양배"/>
      <sheetName val="공통단가"/>
      <sheetName val="운반비"/>
      <sheetName val="소방"/>
      <sheetName val="DATA(BAC)"/>
      <sheetName val="아파트"/>
      <sheetName val="VST재료산출"/>
      <sheetName val="AS포장복구 "/>
      <sheetName val="중기단가"/>
      <sheetName val="원가"/>
      <sheetName val="인제내역"/>
      <sheetName val="ABUT수량-A1"/>
      <sheetName val="공종별내역(건축실행)"/>
      <sheetName val="기본단가표"/>
      <sheetName val="계약서"/>
      <sheetName val="현장경비"/>
      <sheetName val="단가산출서총괄"/>
      <sheetName val="P-산#1-1(WOWA1)"/>
      <sheetName val="기본단가"/>
      <sheetName val="2-1. 경관조명 내역총괄표"/>
      <sheetName val="2001년계약내력출력분"/>
      <sheetName val="1차기성분내력"/>
      <sheetName val="단위단가"/>
      <sheetName val="을지"/>
      <sheetName val="향후추이"/>
      <sheetName val="설비투자"/>
      <sheetName val="공장능력"/>
      <sheetName val="생산실적"/>
      <sheetName val="개요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손익"/>
      <sheetName val="일정표"/>
      <sheetName val="재료"/>
      <sheetName val="DATE"/>
      <sheetName val="1.10 접지 및 피뢰공사"/>
      <sheetName val="10.전열 공사"/>
      <sheetName val="쌍송교"/>
      <sheetName val="환경기계공정표 (3)"/>
      <sheetName val="본댐설계"/>
      <sheetName val="건축공사"/>
      <sheetName val="수량산출(음암)"/>
      <sheetName val="DATA"/>
      <sheetName val="장비사양"/>
      <sheetName val="b_balju_cho"/>
      <sheetName val="노임산출"/>
      <sheetName val="자료"/>
      <sheetName val="2.대외공문"/>
      <sheetName val="준공정산"/>
      <sheetName val="공사비 증감 내역서"/>
      <sheetName val="인건비"/>
      <sheetName val="건축설비"/>
      <sheetName val="검토"/>
      <sheetName val="화재 탐지 설비"/>
      <sheetName val="설명서"/>
      <sheetName val="기초자료입력"/>
      <sheetName val="재집"/>
      <sheetName val="N賃率-職"/>
      <sheetName val="시중노임단가"/>
      <sheetName val="내역서 제출"/>
      <sheetName val="케이블트레이"/>
      <sheetName val="기계경비 (2)"/>
      <sheetName val="중기사용료"/>
      <sheetName val="예정공정표"/>
      <sheetName val="초기화면"/>
      <sheetName val="관급자재"/>
      <sheetName val="101동"/>
      <sheetName val="DATA1"/>
      <sheetName val="1.일위대가"/>
      <sheetName val="중기손료"/>
      <sheetName val="1-4-2.관(약)"/>
      <sheetName val="FB25JN"/>
      <sheetName val="단가대비표"/>
      <sheetName val="결과조달"/>
      <sheetName val="설계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노임단가 (2)"/>
      <sheetName val="2.재료비"/>
      <sheetName val="12.보오링"/>
      <sheetName val="18.공내수압탄성자연"/>
      <sheetName val="토적표"/>
      <sheetName val="작성"/>
      <sheetName val=""/>
      <sheetName val="문학간접"/>
      <sheetName val="간접"/>
      <sheetName val="간접비"/>
      <sheetName val="골조시행"/>
      <sheetName val="단가(자재)"/>
      <sheetName val="단가(노임)"/>
      <sheetName val="기초목록"/>
      <sheetName val="1.배관공사"/>
      <sheetName val="용역비내역-진짜"/>
      <sheetName val="증감내역서"/>
      <sheetName val="차액보증"/>
      <sheetName val="H-PILE수량집계"/>
      <sheetName val="설계기준"/>
      <sheetName val="내역1"/>
      <sheetName val="중기조종사_단위단가"/>
      <sheetName val="1차_내역서"/>
      <sheetName val="내역서1999_8최종"/>
      <sheetName val="5_설계명세서"/>
      <sheetName val="2011_08_"/>
      <sheetName val="BSD_(2)"/>
      <sheetName val="1_수인터널"/>
      <sheetName val="주빔의_설계"/>
      <sheetName val="Sheet1_(2)"/>
      <sheetName val="6PILE__(돌출)"/>
      <sheetName val="11-2_아파트내역"/>
      <sheetName val="아파트_내역"/>
      <sheetName val="단가_및_재료비"/>
      <sheetName val="표지_(2)"/>
      <sheetName val="내역서_(2)"/>
      <sheetName val="Requirement(Work_Crew)"/>
      <sheetName val="AS포장복구_"/>
      <sheetName val="1_10_접지_및_피뢰공사"/>
      <sheetName val="10_전열_공사"/>
      <sheetName val="환경기계공정표_(3)"/>
      <sheetName val="총_원가계산"/>
      <sheetName val="기성내역"/>
      <sheetName val="준검 내역서"/>
      <sheetName val="96수출"/>
      <sheetName val="PROJECT BRIEF(EX.NEW)"/>
      <sheetName val="PROJECT BRIEF"/>
      <sheetName val="Cost bd-&quot;A&quot;"/>
      <sheetName val="Piping Design Data"/>
      <sheetName val="Macro1"/>
      <sheetName val="직원"/>
      <sheetName val="기본사항"/>
      <sheetName val="집수정"/>
      <sheetName val="납부서"/>
      <sheetName val="시화점실행"/>
      <sheetName val="가동비율"/>
      <sheetName val="단가기준"/>
      <sheetName val="산정표"/>
      <sheetName val="동.총"/>
      <sheetName val="공사"/>
      <sheetName val="보도교산출근거"/>
      <sheetName val="안전시설"/>
      <sheetName val="참조"/>
      <sheetName val="3.골재원검토의견서 갑지"/>
      <sheetName val="경비"/>
      <sheetName val="경  비 "/>
      <sheetName val="노무비"/>
      <sheetName val="재료비"/>
      <sheetName val="설계공통자료입력"/>
      <sheetName val="품셈표"/>
      <sheetName val="공사개별자료입력"/>
      <sheetName val="공사비예산서"/>
      <sheetName val="시운전연료"/>
      <sheetName val="1.설계조건"/>
      <sheetName val="Sheet5"/>
      <sheetName val="수량산출서"/>
      <sheetName val="경율산정.XLS"/>
      <sheetName val="사업성분석"/>
      <sheetName val="설명서 "/>
      <sheetName val="토목"/>
      <sheetName val="블럭 손익"/>
      <sheetName val="단위수량"/>
      <sheetName val="기계경비산출기준"/>
      <sheetName val="운반 및 환율"/>
      <sheetName val="총괄변경내역서"/>
      <sheetName val="대구은행"/>
      <sheetName val="3-3. 실행분석표(개산)"/>
      <sheetName val="남양시작동자105노65기1.3화1.2"/>
      <sheetName val="CONCRETE"/>
      <sheetName val="인사자료총집계"/>
      <sheetName val="적격심사표"/>
      <sheetName val="견적서"/>
      <sheetName val="설계예시"/>
      <sheetName val="건축명"/>
      <sheetName val="기계명"/>
      <sheetName val="전기명"/>
      <sheetName val="토목명"/>
      <sheetName val="우수받이"/>
      <sheetName val="총괄서"/>
      <sheetName val="연동내역"/>
      <sheetName val="편성절차"/>
      <sheetName val="화재_탐지_설비"/>
      <sheetName val="2_대외공문"/>
      <sheetName val="공사비_증감_내역서"/>
      <sheetName val="2-1__경관조명_내역총괄표"/>
      <sheetName val="동_총"/>
      <sheetName val="준검_내역서"/>
      <sheetName val="5-2_수량산출(A4)"/>
      <sheetName val="6-1_노임단가"/>
      <sheetName val="6-1_단가비교표"/>
      <sheetName val="중기조종사_단위단가1"/>
      <sheetName val="5_설계명세서1"/>
      <sheetName val="1_수인터널1"/>
      <sheetName val="주빔의_설계1"/>
      <sheetName val="BSD_(2)1"/>
      <sheetName val="Sheet1_(2)1"/>
      <sheetName val="6PILE__(돌출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I一般比"/>
      <sheetName val="노집"/>
      <sheetName val="9GNG운반"/>
      <sheetName val="실행갑지"/>
      <sheetName val="중곡동"/>
      <sheetName val="결제방"/>
      <sheetName val="군남내역서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3월팀계 "/>
      <sheetName val="총정리"/>
      <sheetName val="지급자재"/>
      <sheetName val="기초도면제작"/>
      <sheetName val="공통"/>
      <sheetName val="의뢰서"/>
      <sheetName val="급여"/>
      <sheetName val="조직"/>
      <sheetName val="거래처등록"/>
      <sheetName val="제품등록"/>
      <sheetName val="7내역"/>
      <sheetName val="일위대가목차"/>
      <sheetName val="배수통관(좌)"/>
      <sheetName val="약품공급2"/>
      <sheetName val="제원및배치"/>
      <sheetName val="일위산출"/>
      <sheetName val="공통비(전체)"/>
      <sheetName val="용수량(생활용수)"/>
      <sheetName val="건축일위"/>
      <sheetName val="그라우팅일위"/>
      <sheetName val="FOB발"/>
      <sheetName val="램프"/>
      <sheetName val="Template"/>
      <sheetName val="3.내역서"/>
      <sheetName val="8.PILE  (돌출)"/>
      <sheetName val="정산내역서"/>
      <sheetName val="소요자재"/>
      <sheetName val="투찰판"/>
      <sheetName val="산출근거"/>
      <sheetName val="일위-1"/>
      <sheetName val="조명율표"/>
      <sheetName val="경비계획(전체)"/>
      <sheetName val="본실행경비"/>
      <sheetName val="Sheet2"/>
      <sheetName val="산출명세"/>
      <sheetName val="건축"/>
      <sheetName val="연돌일위집계"/>
      <sheetName val="실행예산-변경분"/>
      <sheetName val="단양 00 아파트-세부내역"/>
      <sheetName val="G2설비도급"/>
      <sheetName val="중기조종사_단위단가4"/>
      <sheetName val="1_수인터널3"/>
      <sheetName val="주빔의_설계3"/>
      <sheetName val="5_설계명세서3"/>
      <sheetName val="BSD_(2)3"/>
      <sheetName val="Sheet1_(2)3"/>
      <sheetName val="6PILE__(돌출)3"/>
      <sheetName val="1차_내역서3"/>
      <sheetName val="내역서1999_8최종4"/>
      <sheetName val="내역서_(2)3"/>
      <sheetName val="아파트_내역3"/>
      <sheetName val="단가_및_재료비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2_대외공문3"/>
      <sheetName val="총_원가계산3"/>
      <sheetName val="배수장토목공사비"/>
      <sheetName val="구성비"/>
      <sheetName val="98수문일위"/>
      <sheetName val="현장식당(1)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1-4-2_관(약)"/>
      <sheetName val="1_배관공사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__비_"/>
      <sheetName val="설명서_"/>
      <sheetName val="블럭_손익"/>
      <sheetName val="경율산정_XLS"/>
      <sheetName val="1_설계조건"/>
      <sheetName val="3-3__실행분석표(개산)"/>
      <sheetName val="3월팀계_"/>
      <sheetName val="노임이 (2)"/>
      <sheetName val="pier(각형)"/>
      <sheetName val="실행분석표"/>
      <sheetName val="건설임대계약내역"/>
      <sheetName val="대림경상68억"/>
      <sheetName val="견적내역서"/>
      <sheetName val="4.고용보험"/>
      <sheetName val="3.고용보험료산출근거"/>
      <sheetName val="원본1"/>
      <sheetName val="실행내역 "/>
      <sheetName val="사원정보"/>
      <sheetName val="입찰"/>
      <sheetName val="기계실공조설비배관"/>
      <sheetName val="산출(부하간선)"/>
      <sheetName val="포장공"/>
      <sheetName val="정부노임"/>
      <sheetName val="방화산출"/>
      <sheetName val="Data Pembukaan_1.1"/>
      <sheetName val="Summary"/>
      <sheetName val="기본데이타입력"/>
      <sheetName val="동원인원"/>
      <sheetName val="발행"/>
      <sheetName val="계DATA"/>
      <sheetName val="실DATA "/>
      <sheetName val="세부내역"/>
      <sheetName val="조사방법 참조"/>
      <sheetName val="견적1"/>
      <sheetName val="남양시작동자105노65기1_3화1_2"/>
      <sheetName val="경동~상록"/>
      <sheetName val="우주~로베로"/>
      <sheetName val="달력"/>
      <sheetName val="6동"/>
      <sheetName val="품셈TABLE"/>
      <sheetName val="대전가오_견출_집계표"/>
      <sheetName val="장비사용집계표"/>
      <sheetName val="입력"/>
      <sheetName val="주beam"/>
      <sheetName val="중기"/>
      <sheetName val="입력란"/>
      <sheetName val="97노임단가"/>
      <sheetName val="견적(을)"/>
      <sheetName val="List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BOQ(USD)_전체"/>
      <sheetName val="수입입고물량"/>
      <sheetName val="제출내역 (2)"/>
      <sheetName val="원가계산서구조조정"/>
      <sheetName val="암거날개벽"/>
      <sheetName val="상세"/>
      <sheetName val="일위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Factor"/>
      <sheetName val="2.토목공사"/>
      <sheetName val="각형맨홀"/>
      <sheetName val="물량산출서"/>
      <sheetName val="토목검측서"/>
      <sheetName val="설계서(동안동)"/>
      <sheetName val="토목면허1"/>
      <sheetName val="토목면허2"/>
      <sheetName val="건축면허1"/>
      <sheetName val="건축면허2"/>
      <sheetName val="프랜트면허지방"/>
      <sheetName val="아파트면허"/>
      <sheetName val="U-TYPE(1)"/>
      <sheetName val="갑지1"/>
      <sheetName val="GAEYO"/>
      <sheetName val="현장조사"/>
      <sheetName val="보도공제면적"/>
      <sheetName val="중기일위대가"/>
      <sheetName val="방배동내역(리라)"/>
      <sheetName val="건축공사집계표"/>
      <sheetName val="부대공사총괄"/>
      <sheetName val="기초일위"/>
      <sheetName val="시설일위"/>
      <sheetName val="식재일위"/>
      <sheetName val="주식"/>
      <sheetName val="음료실행"/>
      <sheetName val="투자효율분석"/>
      <sheetName val="Sheet4"/>
      <sheetName val="매립"/>
      <sheetName val="FORM-0"/>
      <sheetName val="ELECTRIC"/>
      <sheetName val="SCHEDULE"/>
      <sheetName val="물량표"/>
      <sheetName val="EJ"/>
      <sheetName val="금액내역서"/>
      <sheetName val="경영상태"/>
      <sheetName val="Man Hole"/>
      <sheetName val="마감사양"/>
      <sheetName val="0226"/>
      <sheetName val="1ST"/>
      <sheetName val="DATA2000"/>
      <sheetName val="입출재고현황 (2)"/>
      <sheetName val="A"/>
      <sheetName val="실행내역"/>
      <sheetName val="공사내역"/>
      <sheetName val="금융비용"/>
      <sheetName val="배명(단가)"/>
      <sheetName val="결제"/>
      <sheetName val="할증 "/>
      <sheetName val="CAL1"/>
      <sheetName val="표준건축비"/>
      <sheetName val="환율"/>
      <sheetName val="archi(본사)"/>
      <sheetName val="부속동"/>
      <sheetName val="수량3"/>
      <sheetName val="변경내역대비표(2)"/>
      <sheetName val="도급"/>
      <sheetName val="ENE-CAL"/>
      <sheetName val="단가표 "/>
      <sheetName val="부하계산서"/>
      <sheetName val="을지 (2)"/>
      <sheetName val="방배동내역 (총괄)"/>
      <sheetName val="설계조건"/>
      <sheetName val="가격조사서"/>
      <sheetName val="대갑기성내역"/>
      <sheetName val="영동(D)"/>
      <sheetName val="설산1.나"/>
      <sheetName val="본사S"/>
      <sheetName val="G.R300경비"/>
      <sheetName val="FFU 물량"/>
      <sheetName val="IW-LIST"/>
      <sheetName val="공통가설"/>
      <sheetName val="기지국"/>
      <sheetName val="설계명세"/>
      <sheetName val="내역표지"/>
      <sheetName val="SAKUB"/>
      <sheetName val="TYPE-A"/>
      <sheetName val="1,2,3,4,5단위수량"/>
      <sheetName val="일위대가(여기까지)"/>
      <sheetName val="품셈"/>
      <sheetName val="구체"/>
      <sheetName val="좌측날개벽"/>
      <sheetName val="우측날개벽"/>
      <sheetName val="찍기"/>
      <sheetName val="ITEM"/>
      <sheetName val="공문"/>
      <sheetName val="COVER"/>
      <sheetName val="cable-data"/>
      <sheetName val="산거각호표"/>
      <sheetName val="3.공통공사대비"/>
      <sheetName val="L형옹벽"/>
      <sheetName val="비교1"/>
      <sheetName val="은행"/>
      <sheetName val=" 공장동 건설공사 견적서 R5.xlsx"/>
      <sheetName val="경비2내역"/>
      <sheetName val="공사예산하조서(O.K)"/>
      <sheetName val="투입집계표"/>
      <sheetName val="을 2"/>
      <sheetName val="을 1"/>
      <sheetName val="00년"/>
      <sheetName val="일위_파일"/>
      <sheetName val="날개벽"/>
      <sheetName val="암거단위-1련"/>
      <sheetName val="36+45-113-18+19+20I"/>
      <sheetName val="아파트기별"/>
      <sheetName val="공리일"/>
      <sheetName val="계수시트"/>
      <sheetName val="자금흐름표_SAC_작업"/>
      <sheetName val="장비내역서"/>
      <sheetName val="정산내역"/>
      <sheetName val="MEXICO-C"/>
      <sheetName val="14.1&quot; Cst 변화"/>
      <sheetName val="Supplement2"/>
      <sheetName val="포장절단"/>
      <sheetName val="토목내역"/>
      <sheetName val="1호맨홀토공"/>
      <sheetName val="Sight n M.H"/>
      <sheetName val="__"/>
      <sheetName val="신우"/>
      <sheetName val="98비정기소모"/>
      <sheetName val="설비2차"/>
      <sheetName val="수선계획표"/>
      <sheetName val="Ⅴ-2.공종별내역"/>
      <sheetName val="dg"/>
      <sheetName val="부하(성남)"/>
      <sheetName val="품의"/>
      <sheetName val="40총괄"/>
      <sheetName val="40집계"/>
      <sheetName val="전계가"/>
      <sheetName val="공틀공사"/>
      <sheetName val="단면 (2)"/>
      <sheetName val="화전내"/>
      <sheetName val="현장조직도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간접경상비"/>
      <sheetName val="경성자금"/>
      <sheetName val="안양건축"/>
      <sheetName val="경상비"/>
      <sheetName val="조명일위"/>
      <sheetName val="원본"/>
      <sheetName val="JUCKEYK"/>
      <sheetName val="교통대책내역"/>
      <sheetName val="견적"/>
      <sheetName val="부표총괄"/>
      <sheetName val="기초"/>
      <sheetName val="시설"/>
      <sheetName val="CC16-내역서"/>
      <sheetName val="일위대가(계측기설치)"/>
      <sheetName val="참고"/>
      <sheetName val="장비투입계획"/>
      <sheetName val="장비가동"/>
      <sheetName val="공예을"/>
      <sheetName val="배수내역 (2)"/>
      <sheetName val="증감분석"/>
      <sheetName val="방배동내역(한영)"/>
      <sheetName val="예가표"/>
      <sheetName val="WORK"/>
      <sheetName val="대공종"/>
      <sheetName val="공사비예산서(토목분)"/>
      <sheetName val="간선계산"/>
      <sheetName val="입고현황(전체)"/>
      <sheetName val="선로정수계산"/>
      <sheetName val="목표세부명세"/>
      <sheetName val="INPUT"/>
      <sheetName val="工완성공사율"/>
      <sheetName val="VS P-Q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견적대비표"/>
      <sheetName val="kimre scrubber"/>
      <sheetName val=" 견적서"/>
      <sheetName val="121220_14라인 분석실 개조공사_정산내역서_최종취합"/>
      <sheetName val="BA "/>
      <sheetName val="DRUM"/>
      <sheetName val="장비명"/>
      <sheetName val="F4-F7"/>
      <sheetName val="SPC노임(5월)"/>
      <sheetName val="물량산출근거"/>
      <sheetName val="소방현물"/>
      <sheetName val="AH-1 "/>
      <sheetName val="순환펌프"/>
      <sheetName val="급,배기팬"/>
      <sheetName val="급탕순환펌프"/>
      <sheetName val="c_balju"/>
      <sheetName val="교각1"/>
      <sheetName val="암거공"/>
      <sheetName val="COPING"/>
      <sheetName val="원형1호맨홀토공수량"/>
      <sheetName val="기둥(원형)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이토변실(A3-LINE)"/>
      <sheetName val="판정1교토공"/>
      <sheetName val="내역서(사업소)"/>
      <sheetName val="교대(A1-A2)"/>
      <sheetName val="일반수량총괄집계"/>
      <sheetName val="P.M 별"/>
      <sheetName val="날개벽수량표"/>
      <sheetName val="특수선일위대가"/>
      <sheetName val="COA-17"/>
      <sheetName val="C-18"/>
      <sheetName val="미익SUB"/>
      <sheetName val="실행원가내역"/>
      <sheetName val="수목데이타 "/>
      <sheetName val="전기일위목록"/>
      <sheetName val="산5-3"/>
      <sheetName val="토목내역서"/>
      <sheetName val="적용토목"/>
      <sheetName val="입찰보고"/>
      <sheetName val="대로근거"/>
      <sheetName val="삼보지질"/>
      <sheetName val="원가_(2)"/>
      <sheetName val="별표_"/>
      <sheetName val="EGI_판넬단가표"/>
      <sheetName val="방음판단가_TRIM_ㄷPOST"/>
      <sheetName val="EGI_원가산출표"/>
      <sheetName val="입찰품의서"/>
      <sheetName val="APT"/>
      <sheetName val="터파기및재료"/>
      <sheetName val="돈암사업"/>
      <sheetName val="보고"/>
      <sheetName val="2.당사 사업경비내역"/>
      <sheetName val="목창호"/>
      <sheetName val="산출금액내역"/>
      <sheetName val="수량명세서"/>
      <sheetName val="견"/>
      <sheetName val="원가계산서(남측)"/>
      <sheetName val="유림총괄"/>
      <sheetName val="직원투입계획"/>
      <sheetName val="기술부대조건"/>
      <sheetName val="설 계"/>
      <sheetName val="소일위대가코드표"/>
      <sheetName val="제경비"/>
      <sheetName val="단가적용"/>
      <sheetName val="유치원내역"/>
      <sheetName val="일위대가목록"/>
      <sheetName val="소방 "/>
      <sheetName val="토공사"/>
      <sheetName val="산출내역서"/>
      <sheetName val="b_balju (2)"/>
      <sheetName val="b_gunmul"/>
      <sheetName val="합계"/>
      <sheetName val="_________JABO_O12060_INFORM_M_2"/>
      <sheetName val="토사(PE)"/>
      <sheetName val="직접경비"/>
      <sheetName val="직접인건비"/>
      <sheetName val="내역총괄"/>
      <sheetName val="물가시세표"/>
      <sheetName val="노임 및 중기단가"/>
      <sheetName val="도로구조공사비"/>
      <sheetName val="도로토공공사비"/>
      <sheetName val="여수토공사비"/>
      <sheetName val="입적표"/>
      <sheetName val="유림콘도"/>
      <sheetName val="단양_00_아파트-세부내역"/>
      <sheetName val="8_PILE__(돌출)"/>
      <sheetName val="3_내역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[내역서(ͭͭ가표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  <sheetName val="설계기준"/>
      <sheetName val="골조(1)"/>
      <sheetName val="골조(3)"/>
      <sheetName val="마감(1)"/>
      <sheetName val="부대내역"/>
      <sheetName val="산출근거"/>
      <sheetName val="공종단가"/>
      <sheetName val="절감계산"/>
      <sheetName val="고정자산"/>
      <sheetName val="매출원가추정"/>
      <sheetName val="매출추정"/>
      <sheetName val="EP0618"/>
      <sheetName val="총괄표"/>
      <sheetName val="하수급견적대비"/>
      <sheetName val="교각계산"/>
      <sheetName val="일위대가(계측기설치)"/>
      <sheetName val="본부소개"/>
      <sheetName val="연결임시"/>
      <sheetName val="계정과목"/>
      <sheetName val="옹벽수량집계표"/>
      <sheetName val="울산자동제어"/>
      <sheetName val="매출"/>
      <sheetName val="INDEX"/>
      <sheetName val="물량내역서"/>
      <sheetName val="FACTOR"/>
      <sheetName val="DD_raw"/>
      <sheetName val="NW_raw"/>
      <sheetName val="당월 인력"/>
      <sheetName val="공사요율산출표"/>
      <sheetName val="관급자재대"/>
      <sheetName val="HISTORICAL"/>
      <sheetName val="FORECASTING"/>
      <sheetName val="금전출납"/>
      <sheetName val="직영명부"/>
      <sheetName val="증감대비"/>
      <sheetName val="공사비대비"/>
      <sheetName val="정비손익"/>
      <sheetName val="찍기"/>
      <sheetName val="수선비MATRIX"/>
      <sheetName val="차량소요량-년간주행거리"/>
      <sheetName val="AHU집계"/>
      <sheetName val="공조기휀"/>
      <sheetName val="공조기"/>
      <sheetName val="가도공"/>
      <sheetName val="예산대비"/>
      <sheetName val="ABUT수량-A1"/>
      <sheetName val="도장면"/>
      <sheetName val="MOTOR"/>
      <sheetName val="1.설계조건"/>
      <sheetName val="산출내역서집계표"/>
      <sheetName val="수목데이타"/>
      <sheetName val="200"/>
      <sheetName val="데리네이타현황"/>
      <sheetName val="GT 1050x650"/>
      <sheetName val="업무량"/>
      <sheetName val="현장청취복명서"/>
      <sheetName val="기본단가표"/>
      <sheetName val="기초자료입력"/>
      <sheetName val="총괄BOQ"/>
      <sheetName val="고가수조"/>
      <sheetName val="식재"/>
      <sheetName val="시설물"/>
      <sheetName val="식재출력용"/>
      <sheetName val="유지관리"/>
      <sheetName val="투자비"/>
      <sheetName val="조성원가DATA"/>
      <sheetName val="사업비"/>
      <sheetName val="부대경비산출서"/>
      <sheetName val="Macro1"/>
      <sheetName val="인건비"/>
      <sheetName val="입찰보고"/>
      <sheetName val="토목검측서"/>
      <sheetName val="45,46"/>
      <sheetName val="원"/>
      <sheetName val="신천교(음성)"/>
      <sheetName val="기본항목 입력"/>
      <sheetName val="야장종합"/>
      <sheetName val="신표지1"/>
      <sheetName val="단가산출서(기계)"/>
      <sheetName val="2000전체분"/>
      <sheetName val="설비원가"/>
      <sheetName val="VXXXXX"/>
      <sheetName val="0.0ControlSheet"/>
      <sheetName val="수로BOX"/>
      <sheetName val="1차물량(ABOUT)"/>
      <sheetName val="예총"/>
      <sheetName val="03전반노무비"/>
      <sheetName val="신_분1"/>
      <sheetName val="[내역서(ͭ?ͭ???가표"/>
      <sheetName val="경율산정_XLS"/>
      <sheetName val="BTL시설예산_기준표"/>
      <sheetName val="5_학교신설예산_집행(01~08)"/>
      <sheetName val="점검결과(08년_100교_지원)"/>
      <sheetName val="8_설치품셈"/>
      <sheetName val="내역서_제출"/>
      <sheetName val="아파트_"/>
      <sheetName val="2_고용보험료산출근거"/>
      <sheetName val="27_건설이자"/>
      <sheetName val="9-2_단지투자"/>
      <sheetName val="9-4_단지분양수납"/>
      <sheetName val="28_차입금상환계획"/>
      <sheetName val="10-4_운하물류분양수납"/>
      <sheetName val="10-2_운하물류투자"/>
      <sheetName val="※_2010예산총괄표"/>
      <sheetName val="전차선로_물량표"/>
      <sheetName val="COPING"/>
      <sheetName val="일위대가목차"/>
      <sheetName val="원형1호맨홀토공수량"/>
      <sheetName val="총괄변경내역서"/>
      <sheetName val="8.PILE  (돌출)"/>
      <sheetName val="견적내역서"/>
      <sheetName val="비탈면보호공수량산출"/>
      <sheetName val="산출1"/>
      <sheetName val="소방"/>
      <sheetName val="수량산출서"/>
      <sheetName val="공사비산출내역"/>
      <sheetName val="용수지선토적"/>
      <sheetName val="도로토적"/>
      <sheetName val="공사원가계산서 "/>
      <sheetName val="단가산출서"/>
      <sheetName val="참고)BTL시설예산 기준표"/>
      <sheetName val="경기"/>
      <sheetName val="마스터"/>
      <sheetName val="성명순"/>
      <sheetName val="설계변경총괄표(계산식)"/>
      <sheetName val="99노임단가"/>
      <sheetName val="96.12"/>
      <sheetName val="공통부대"/>
      <sheetName val="드롭다운목록"/>
      <sheetName val="표지 (3)"/>
      <sheetName val="발송공문"/>
      <sheetName val="공사완료보고서"/>
      <sheetName val="준공계"/>
      <sheetName val="준공검사원"/>
      <sheetName val="준공검사조서"/>
      <sheetName val="공사감독조서"/>
      <sheetName val="시설인수인계서"/>
      <sheetName val="손질공사조서"/>
      <sheetName val="입회조서"/>
      <sheetName val="준공내역서"/>
      <sheetName val="공사비집행결과보고서"/>
      <sheetName val="실명화카드"/>
      <sheetName val="원가계산서 (2)"/>
      <sheetName val="원가계산서3"/>
      <sheetName val="공종별집계표1"/>
      <sheetName val="공종별내역서1"/>
      <sheetName val="주요자재1"/>
      <sheetName val="일위대가1"/>
      <sheetName val="산출 근거1"/>
      <sheetName val="원가계산서(군)"/>
      <sheetName val="공종별집계표"/>
      <sheetName val="관급자재정산서"/>
      <sheetName val="작업공정표"/>
      <sheetName val="본사인상전"/>
      <sheetName val="연동내역"/>
      <sheetName val="세부내역"/>
      <sheetName val="2.토목공사"/>
      <sheetName val="BOJUNGGM"/>
      <sheetName val="결재갑지"/>
      <sheetName val="입력단가"/>
      <sheetName val="공사비"/>
      <sheetName val="인부노임"/>
      <sheetName val="CHECKLIST"/>
      <sheetName val="PIPERACK 집계표"/>
      <sheetName val="EQUIPEMENT 집계표"/>
      <sheetName val="BUILDING &amp;SHELTER 집계표"/>
      <sheetName val="OTHERS 집계표"/>
      <sheetName val="MPR01"/>
      <sheetName val="MPR02"/>
      <sheetName val="MPR03"/>
      <sheetName val="SPR01"/>
      <sheetName val="SPR02"/>
      <sheetName val="SPR03"/>
      <sheetName val="FPR01"/>
      <sheetName val="FPR02"/>
      <sheetName val="G-1"/>
      <sheetName val="K-PR"/>
      <sheetName val="YE-1"/>
      <sheetName val="YE-2"/>
      <sheetName val="YK"/>
      <sheetName val="YJ"/>
      <sheetName val="YN"/>
      <sheetName val="YW"/>
      <sheetName val="COLDBOX"/>
      <sheetName val="STR-A"/>
      <sheetName val="STR-B"/>
      <sheetName val="STR-C"/>
      <sheetName val="STR-D"/>
      <sheetName val="STR-E"/>
      <sheetName val="STR-F"/>
      <sheetName val="STR-G"/>
      <sheetName val="101-H"/>
      <sheetName val="203-H"/>
      <sheetName val="401-H"/>
      <sheetName val="124-F1"/>
      <sheetName val="134-C2"/>
      <sheetName val="506-CR"/>
      <sheetName val="CONTROL BD"/>
      <sheetName val="CCS201"/>
      <sheetName val="CCS401"/>
      <sheetName val="C3-LPF"/>
      <sheetName val="CT-LPF"/>
      <sheetName val="CT-HANDRAIL"/>
      <sheetName val="LPM01"/>
      <sheetName val="LPM02"/>
      <sheetName val="LPM03"/>
      <sheetName val="LPM04"/>
      <sheetName val="CW-LPS"/>
      <sheetName val="LPS-AB"/>
      <sheetName val="LPS-AC"/>
      <sheetName val="LPS-AD"/>
      <sheetName val="LPS-CD"/>
      <sheetName val="LPS-JK"/>
      <sheetName val="LIFTING DEVICE"/>
      <sheetName val="건축원가"/>
      <sheetName val="직노"/>
      <sheetName val="Baby일위대가"/>
      <sheetName val="기계내역"/>
      <sheetName val="저"/>
      <sheetName val="사당"/>
      <sheetName val="구조대가"/>
      <sheetName val="포설대가1"/>
      <sheetName val="부대대가"/>
      <sheetName val="견적서"/>
      <sheetName val="단가표"/>
      <sheetName val="우수"/>
      <sheetName val="4.고용보험"/>
      <sheetName val="3.고용보험료산출근거"/>
      <sheetName val="각사별공사비분개 "/>
      <sheetName val="단가적용"/>
      <sheetName val="건축설비"/>
      <sheetName val="검토"/>
      <sheetName val="철골,판넬"/>
      <sheetName val="3희질산"/>
      <sheetName val="개별직종노임단가(2005.1)"/>
      <sheetName val="PIPE"/>
      <sheetName val="일위-1"/>
      <sheetName val="일위-2"/>
      <sheetName val="일위-3"/>
      <sheetName val="일위-4"/>
      <sheetName val="일위-5"/>
      <sheetName val="[내역서(ͭ_x005f_x0000_ͭ_x005f_x0000__x005f_x001c__x0"/>
      <sheetName val="ateCodes_x005f_x0000_TimeCodes_x005f_x0000_"/>
      <sheetName val="[내역서(ͭ?ͭ?_x005f_x001c_?_x005f_x001c_?가표"/>
      <sheetName val="G_R300경푀"/>
      <sheetName val="노임,재료비"/>
      <sheetName val="총괄 내역서"/>
      <sheetName val="골막이(야매)"/>
      <sheetName val="사  업  비  수  지  예  산  서"/>
      <sheetName val="장비"/>
      <sheetName val="사업성분석"/>
      <sheetName val="동해title"/>
      <sheetName val="전체공내역서"/>
      <sheetName val="98지급계획"/>
      <sheetName val="연습장소"/>
      <sheetName val="내역(영일)"/>
      <sheetName val="기술자자료입력"/>
      <sheetName val="단가(1)"/>
      <sheetName val="설산1.나"/>
      <sheetName val="본사S"/>
      <sheetName val="04년부품"/>
      <sheetName val="신청서"/>
      <sheetName val="개인별조서"/>
      <sheetName val="단가일람 (2)"/>
      <sheetName val="단면가정"/>
      <sheetName val="Customer_Databa袸"/>
      <sheetName val="자재코드"/>
      <sheetName val="Table"/>
      <sheetName val="기초입력"/>
      <sheetName val="집계표_정리_"/>
      <sheetName val="공내역"/>
      <sheetName val="스케즐"/>
      <sheetName val="PI"/>
      <sheetName val="자료입력"/>
      <sheetName val="도실집(내역)-전기외주"/>
      <sheetName val="5.학교신설예산 쎸⬅/_x0000_瀀þ_x0000__x0000_밀"/>
      <sheetName val="5.학교신설예산 Ⴘ_x0000_퀀诋쌆蠅/_x0000_᠀"/>
      <sheetName val="수Å_x0000_"/>
      <sheetName val="수뢹_xdd4d_"/>
      <sheetName val="예산서 "/>
      <sheetName val="일산실행내역"/>
      <sheetName val="재집"/>
      <sheetName val="사업ﾈƩ"/>
      <sheetName val="약품공급2"/>
      <sheetName val="단가산출"/>
      <sheetName val="관부설공집계표"/>
      <sheetName val="건축개요"/>
      <sheetName val="1단지구내"/>
      <sheetName val="1단지주차장전등"/>
      <sheetName val="물량표S"/>
      <sheetName val="L형옹벽"/>
      <sheetName val="고시단가"/>
      <sheetName val="TOTAL_BOQ"/>
      <sheetName val="소상 &quot;1&quot;"/>
      <sheetName val="SCHEDULE"/>
      <sheetName val="식재일위대가"/>
      <sheetName val="Sch9"/>
      <sheetName val="양수장(기계)"/>
      <sheetName val="골조"/>
      <sheetName val="조경내역"/>
      <sheetName val="문10"/>
      <sheetName val="주요항목별"/>
      <sheetName val="단가비교표(전기)"/>
      <sheetName val="품셈"/>
      <sheetName val="A2"/>
      <sheetName val="본사공가현황"/>
      <sheetName val="관련자료입력"/>
      <sheetName val="ateCodes_TimeCodes_OverrideShor"/>
      <sheetName val="220 (2)"/>
      <sheetName val="1차배부(JB포함)"/>
      <sheetName val="Man Hole"/>
      <sheetName val="Tool"/>
      <sheetName val="그림"/>
      <sheetName val="BATCH"/>
      <sheetName val="대전-교대(A1-A2)"/>
      <sheetName val="본공사"/>
      <sheetName val="JUCKEYK"/>
      <sheetName val="J형측구단위수량"/>
      <sheetName val="07기준"/>
      <sheetName val="계수시트"/>
      <sheetName val="대로근거"/>
      <sheetName val="중로근거"/>
      <sheetName val="동문건설"/>
      <sheetName val="입력란"/>
      <sheetName val="97노임단가"/>
      <sheetName val="설계요소"/>
      <sheetName val="책등"/>
      <sheetName val="표지 "/>
      <sheetName val="표지간지"/>
      <sheetName val="위치간지"/>
      <sheetName val="현장사진간지"/>
      <sheetName val="설계설명서간지"/>
      <sheetName val="위치도"/>
      <sheetName val="현장사진"/>
      <sheetName val="사업개요서"/>
      <sheetName val="설계설명서"/>
      <sheetName val="예정공정표간지"/>
      <sheetName val="묘목생산자별본수"/>
      <sheetName val="일반시방서간지"/>
      <sheetName val="특별시방서간지"/>
      <sheetName val="목재소반별시방"/>
      <sheetName val="식재방법및시비요령"/>
      <sheetName val="소반시방간지"/>
      <sheetName val="사업원가계산서간지"/>
      <sheetName val="송이소반별시방"/>
      <sheetName val="필지별조서"/>
      <sheetName val="지번별 묘묙소요내역"/>
      <sheetName val="목재임소필지별조서"/>
      <sheetName val="임소필지별조서"/>
      <sheetName val="설계내역간지"/>
      <sheetName val="총괄 설계내역서"/>
      <sheetName val="설계내역서(예정지정리)"/>
      <sheetName val="내역서(조림)"/>
      <sheetName val="단가산출서간지"/>
      <sheetName val="설계내역서(표시봉)"/>
      <sheetName val="설계내역서(대운반비)"/>
      <sheetName val="목재단가산출"/>
      <sheetName val="야장"/>
      <sheetName val="산림재해단가산출서"/>
      <sheetName val="특용수단가산출"/>
      <sheetName val="바이오단가산출"/>
      <sheetName val="송이단가산출서"/>
      <sheetName val="대운반산출기초"/>
      <sheetName val="일반화물자동차운임"/>
      <sheetName val="필지별간지"/>
      <sheetName val="필지별묘목간지"/>
      <sheetName val="사무소간지"/>
      <sheetName val="수고조사야장"/>
      <sheetName val="영동(D젅"/>
      <sheetName val="건축내역(동해조인)"/>
      <sheetName val="[내역서(ͭ_x0000_ͭ_x0000__x001c__x0"/>
      <sheetName val="ateCodes_x0000_TimeCodes_x0000_"/>
      <sheetName val="Quantity"/>
      <sheetName val="De bai"/>
      <sheetName val="125x125"/>
      <sheetName val="2.원가및인원현황집계"/>
      <sheetName val="AILC004"/>
      <sheetName val="손익"/>
      <sheetName val="기자재비"/>
      <sheetName val="2000노임기준"/>
      <sheetName val="공통가설내역서  (당사)"/>
      <sheetName val="원가계산서 "/>
      <sheetName val="1차_내역서1"/>
      <sheetName val="_견적서1"/>
      <sheetName val="플랜트_설치1"/>
      <sheetName val="기초입력_DATA1"/>
      <sheetName val="노임단가_(2)1"/>
      <sheetName val="설명서_1"/>
      <sheetName val="BSD_(2)1"/>
      <sheetName val="2-1__경관조명_내역총괄표1"/>
      <sheetName val="중기조종사_단위단가1"/>
      <sheetName val="인건비_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아파트_내역1"/>
      <sheetName val="1_동력공사"/>
      <sheetName val="내역-_CCTV"/>
      <sheetName val="조도계산서_(도서)"/>
      <sheetName val="품셈_"/>
      <sheetName val="실행내역서_"/>
      <sheetName val="6-1__관개량조서"/>
      <sheetName val="5_직원투입현황"/>
      <sheetName val="우수받이"/>
      <sheetName val="임시정보시트"/>
      <sheetName val="단가_및_밀⪙Ѐ"/>
      <sheetName val="단가_및_렀풫ԯ"/>
      <sheetName val="단가_및_렀侫ԯ"/>
      <sheetName val="단가_및_가ᦘ"/>
      <sheetName val="단가_및_䰀ẗ鐀"/>
      <sheetName val="단가_및_렀纫ԯ"/>
      <sheetName val="노임단가(2010.상)"/>
      <sheetName val="6.1.일위대가"/>
      <sheetName val="효성CB 1P기초"/>
      <sheetName val="전력구구조물산근"/>
      <sheetName val="건축공사"/>
      <sheetName val="사렀趫ԯ"/>
      <sheetName val="사렀㾫ԯ"/>
      <sheetName val="사렀஫԰"/>
      <sheetName val="사업총렀"/>
      <sheetName val="단가_및_렀랫ԯ"/>
      <sheetName val="_내역서(ͭ_x005f_x0000_ͭ_x005f_x0000__x005f_x001c__x0"/>
      <sheetName val="_내역서(ͭ_ͭ__x005f_x001c___x005f_x001c__가표"/>
      <sheetName val="_내역서(ͭ_x005f_x005f_x005f_x0000_ͭ_x005f_x005f_x000"/>
      <sheetName val="ateCodes_x005f_x005f_x005f_x0000_TimeCodes_"/>
      <sheetName val="_내역서(ͭ_ͭ__x005f_x005f_x005f_x001c___x005f_x005f_x"/>
      <sheetName val="ANX3A11"/>
      <sheetName val="_내역서(ͭ_x0000_ͭ_x0000__x001c__x0"/>
      <sheetName val="견蒸8蓼"/>
      <sheetName val="99선급비용"/>
      <sheetName val="정의"/>
      <sheetName val="DHEQSUPT"/>
      <sheetName val="건축집계합계"/>
      <sheetName val="건축집계표이수"/>
      <sheetName val="토적계산서"/>
      <sheetName val="공사명입력"/>
      <sheetName val="(A)내역서"/>
      <sheetName val="JUCK"/>
      <sheetName val="물가자료"/>
      <sheetName val="수로교총재료집계"/>
      <sheetName val="업무처리전"/>
      <sheetName val="현장관리비 산출내역"/>
      <sheetName val="계정과목분류"/>
      <sheetName val="공사"/>
      <sheetName val="A__x0010__x0000_"/>
      <sheetName val="DG"/>
      <sheetName val="EL"/>
      <sheetName val="Isolasi Luar Dalam"/>
      <sheetName val="Isolasi Luar"/>
      <sheetName val="VL,NC,MTC"/>
      <sheetName val="breakdown Price-Chuong"/>
      <sheetName val="cable, lighting, switch"/>
      <sheetName val="DONGIA"/>
      <sheetName val="Dulieu"/>
      <sheetName val="BG"/>
      <sheetName val="DonGia VatTuLK"/>
      <sheetName val="DLdauvao"/>
      <sheetName val="DGXDCB"/>
      <sheetName val="Bang chiet tinh TBA"/>
      <sheetName val="Tcd"/>
      <sheetName val="DTCT"/>
      <sheetName val="gvl"/>
      <sheetName val="Cash2"/>
      <sheetName val="Z"/>
      <sheetName val="재료비집계표"/>
      <sheetName val="은행"/>
      <sheetName val="BM"/>
      <sheetName val="시행결의을"/>
      <sheetName val="수_x0000_"/>
      <sheetName val="갑"/>
      <sheetName val="경영"/>
      <sheetName val="98년"/>
      <sheetName val="실적"/>
      <sheetName val="_갑__지_3"/>
      <sheetName val="실DATA_3"/>
      <sheetName val="코스모공장_(어음)2"/>
      <sheetName val="A_견적2"/>
      <sheetName val="환경기계공정표_(3)2"/>
      <sheetName val="단가_(2)2"/>
      <sheetName val="총괄갑_2"/>
      <sheetName val="Sheet1_(2)2"/>
      <sheetName val="총_원가계산2"/>
      <sheetName val="6PILE__(돌출)2"/>
      <sheetName val="11-2_아파트내역2"/>
      <sheetName val="내역서1999_8최종2"/>
      <sheetName val="전선_및_전선관-자유로1"/>
      <sheetName val="C1_공사개요1"/>
      <sheetName val="A1_스케쥴1"/>
      <sheetName val="DATA_입력란1"/>
      <sheetName val="일위대가_1"/>
      <sheetName val="3월팀계_1"/>
      <sheetName val="단가_및_재료비1"/>
      <sheetName val="AS포장복구_1"/>
      <sheetName val="G_R300경비1"/>
      <sheetName val="주공_갑지1"/>
      <sheetName val="Customer_Databas1"/>
      <sheetName val="2_대외공문"/>
      <sheetName val="EQUIP_LIST"/>
      <sheetName val="전체내역_(2)"/>
      <sheetName val="7_기-검-보_100"/>
      <sheetName val="Raw_Data"/>
      <sheetName val="예정공정표_"/>
      <sheetName val="선급금有(현금지출)"/>
      <sheetName val="토목내역서 (도급단가)"/>
      <sheetName val="덤프트럭계수"/>
      <sheetName val="기초자료"/>
      <sheetName val="PL단가산정"/>
      <sheetName val="그림2"/>
      <sheetName val="EXPENSE"/>
      <sheetName val="환경기계공정표_(3)"/>
      <sheetName val="11-2_아파_x0000__x0000_Ԁ_x0000_"/>
      <sheetName val="안전장치"/>
      <sheetName val="화순 대리-다지리실행내역"/>
      <sheetName val="품셈총괄표"/>
      <sheetName val="환경기계공정표_(3)´"/>
      <sheetName val="PMC"/>
      <sheetName val="상세"/>
      <sheetName val="뚝토공"/>
      <sheetName val="Macro(전기)"/>
      <sheetName val="의왕실행"/>
      <sheetName val="단가_및_재료_xdab0_"/>
      <sheetName val="단가_및_재료讀"/>
      <sheetName val="심사공종"/>
      <sheetName val="회계코드"/>
      <sheetName val="공사코드"/>
      <sheetName val="관리부"/>
      <sheetName val="정산"/>
      <sheetName val="청구분"/>
      <sheetName val="총무부"/>
      <sheetName val="INSTR"/>
      <sheetName val="Sheet㙸˯㦀ȼ_xda1b_!"/>
      <sheetName val="단가_(2\_x0000_"/>
      <sheetName val="단가_(2\栀"/>
      <sheetName val="1,2공구원가계산서"/>
      <sheetName val="1공구산출내역서"/>
      <sheetName val="노임자재단가"/>
      <sheetName val="분수장비시설수량"/>
      <sheetName val="문2공10일위대가"/>
      <sheetName val="원보"/>
      <sheetName val="기계경비일람"/>
      <sheetName val="기본사양입력"/>
      <sheetName val="設計条件"/>
      <sheetName val="경비2내역"/>
      <sheetName val="2.1 受電設備棟"/>
      <sheetName val="2.2 受・防火水槽"/>
      <sheetName val="2.3 排水処理設備棟"/>
      <sheetName val="2.4 倉庫棟"/>
      <sheetName val="2.5 守衛棟"/>
      <sheetName val="Div26 - Elect"/>
      <sheetName val="Prelims"/>
      <sheetName val="Rate"/>
      <sheetName val="電気設備表"/>
      <sheetName val="一発シート"/>
      <sheetName val="Item-DATA"/>
      <sheetName val="NSA fr Revit"/>
      <sheetName val="MTO REV.0"/>
      <sheetName val="HS"/>
      <sheetName val="Area Cal"/>
      <sheetName val="간접비"/>
      <sheetName val="일위대가(가설)"/>
      <sheetName val="케이블트레이"/>
      <sheetName val="사가⺘"/>
      <sheetName val="T13(P68~72,78)"/>
      <sheetName val="30집계표"/>
      <sheetName val="사䀀啣1"/>
      <sheetName val="기초"/>
      <sheetName val="실DATA_4"/>
      <sheetName val="_갑__지_4"/>
      <sheetName val="코스모공장_(어음)3"/>
      <sheetName val="A_견적3"/>
      <sheetName val="환경기계공정표_(3)3"/>
      <sheetName val="총괄갑_3"/>
      <sheetName val="내역서1999_8최종3"/>
      <sheetName val="단가_(2)3"/>
      <sheetName val="6PILE__(돌출)3"/>
      <sheetName val="Sheet1_(2)3"/>
      <sheetName val="총_원가계산3"/>
      <sheetName val="11-2_아파트내역3"/>
      <sheetName val="인건비_2"/>
      <sheetName val="기초입력_DATA2"/>
      <sheetName val="1차_내역서2"/>
      <sheetName val="노임단가_(2)2"/>
      <sheetName val="_견적서2"/>
      <sheetName val="플랜트_설치2"/>
      <sheetName val="설명서_2"/>
      <sheetName val="2-1__경관조명_내역총괄표2"/>
      <sheetName val="중기조종사_단위단가2"/>
      <sheetName val="일위대가_2"/>
      <sheetName val="BSD_(2)2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아파트_내역2"/>
      <sheetName val="전선_및_전선관-자유로2"/>
      <sheetName val="C1_공사개요2"/>
      <sheetName val="A1_스케쥴2"/>
      <sheetName val="단가_및_재료비2"/>
      <sheetName val="신_분2"/>
      <sheetName val="3월팀계_2"/>
      <sheetName val="주공_갑지2"/>
      <sheetName val="AS포장복구_2"/>
      <sheetName val="G_R300경비2"/>
      <sheetName val="Customer_Databas2"/>
      <sheetName val="DATA_입력란2"/>
      <sheetName val="경율산정_XLS1"/>
      <sheetName val="2_고용보험료산출근거1"/>
      <sheetName val="전차선로_물량표1"/>
      <sheetName val="27_건설이자1"/>
      <sheetName val="9-2_단지투자1"/>
      <sheetName val="9-4_단지분양수납1"/>
      <sheetName val="28_차입금상환계획1"/>
      <sheetName val="10-4_운하물류분양수납1"/>
      <sheetName val="10-2_운하물류투자1"/>
      <sheetName val="※_2010예산총괄표1"/>
      <sheetName val="내역서_제출1"/>
      <sheetName val="아파트_1"/>
      <sheetName val="8_설치품셈1"/>
      <sheetName val="BTL시설예산_기준표1"/>
      <sheetName val="5_학교신설예산_집행(01~08)1"/>
      <sheetName val="점검결과(08년_100교_지원)1"/>
      <sheetName val="조도계산서_(도서)1"/>
      <sheetName val="내역-_CCTV1"/>
      <sheetName val="1_설계조건"/>
      <sheetName val="기본항목_입력"/>
      <sheetName val="참고)BTL시설예산_기준표"/>
      <sheetName val="8_PILE__(돌출)"/>
      <sheetName val="공사원가계산서_"/>
      <sheetName val="1__조명내역서(조명설치)"/>
      <sheetName val="2__조명내역서(조명자재)"/>
      <sheetName val="_내역서(ͭ_ͭ___가표"/>
      <sheetName val="표지_(3)"/>
      <sheetName val="원가계산서_(2)"/>
      <sheetName val="산출_근거1"/>
      <sheetName val="GT_1050x650"/>
      <sheetName val="PIPERACK_집계표"/>
      <sheetName val="EQUIPEMENT_집계표"/>
      <sheetName val="BUILDING_&amp;SHELTER_집계표"/>
      <sheetName val="OTHERS_집계표"/>
      <sheetName val="CONTROL_BD"/>
      <sheetName val="LIFTING_DEVICE"/>
      <sheetName val="각사별공사비분개_"/>
      <sheetName val="4_고용보험"/>
      <sheetName val="3_고용보험료산출근거"/>
      <sheetName val="개별직종노임단가(2005_1)"/>
      <sheetName val="96_12"/>
      <sheetName val="소상_&quot;1&quot;"/>
      <sheetName val="총괄_내역서"/>
      <sheetName val="2_토목공사"/>
      <sheetName val="사__업__비__수__지__예__산__서"/>
      <sheetName val="당월_인력"/>
      <sheetName val="단가일람_(2)"/>
      <sheetName val="220_(2)"/>
      <sheetName val="설산1_나"/>
      <sheetName val="0_0ControlSheet"/>
      <sheetName val="[내역서(ͭͭ_x0"/>
      <sheetName val="De_bai"/>
      <sheetName val="2_원가및인원현황집계"/>
      <sheetName val="6_1_일위대가"/>
      <sheetName val="효성CB_1P기초"/>
      <sheetName val="Man_Hole"/>
      <sheetName val="표지_"/>
      <sheetName val="지번별_묘묙소요내역"/>
      <sheetName val="총괄_설계내역서"/>
      <sheetName val="예산서_"/>
      <sheetName val="노임단가(2010_상)"/>
      <sheetName val="수뢹"/>
      <sheetName val="5_학교신설예산_쎸⬅/瀀þ밀"/>
      <sheetName val="원가계산서_"/>
      <sheetName val="토목내역서_(도급단가)"/>
      <sheetName val="Isolasi_Luar_Dalam"/>
      <sheetName val="Isolasi_Luar"/>
      <sheetName val="breakdown_Price-Chuong"/>
      <sheetName val="cable,_lighting,_switch"/>
      <sheetName val="DonGia_VatTuLK"/>
      <sheetName val="Bang_chiet_tinh_TBA"/>
      <sheetName val="[내역서(1).xls]5.학교신설예산 쎸⬅/_x0000_瀀þ_x0000__x0000_밀"/>
      <sheetName val="고객사 관리 코드"/>
      <sheetName val="예가대비"/>
      <sheetName val="고객사_관리_코드"/>
      <sheetName val="_내역서(ͭͭ_x0"/>
      <sheetName val="요약"/>
      <sheetName val="96보완계획7.12"/>
      <sheetName val="공사비 내역 (가)"/>
      <sheetName val="토목내역서"/>
      <sheetName val="기계내역서"/>
      <sheetName val="6공구(당초)"/>
      <sheetName val="방배동내역 (총괄)"/>
      <sheetName val="마감사양"/>
      <sheetName val="신축(_x0000__x0000__x0005_"/>
      <sheetName val="은행코ᇇ"/>
      <sheetName val="HX"/>
      <sheetName val="노무비 근거"/>
      <sheetName val="화순_대리-다지리실행내역"/>
      <sheetName val="공통가설내역서__(당사)"/>
      <sheetName val="BUR"/>
      <sheetName val="Finishes code"/>
      <sheetName val="ironmongery"/>
      <sheetName val="CC-Breakdown"/>
      <sheetName val="직접경비산출근거"/>
      <sheetName val="특수선일위대가"/>
      <sheetName val="Setup"/>
      <sheetName val="충주"/>
      <sheetName val="1승인신청서"/>
      <sheetName val=""/>
      <sheetName val="일정계획"/>
      <sheetName val="범례표"/>
      <sheetName val="노면표시1"/>
      <sheetName val="설계_x0000_"/>
      <sheetName val="부가세별도"/>
      <sheetName val="업체자료"/>
      <sheetName val="제경비산출서"/>
      <sheetName val="HD 1-4 세부공종별,업체별 내역(L4)"/>
      <sheetName val="2F 회의실견적(5_14 일대)"/>
      <sheetName val="ateCodes_x005f_x0000_TimeCodes_"/>
      <sheetName val="_내역서(ͭ_x005f_x0000_ͭ_x000"/>
      <sheetName val="_내역서(ͭ_ͭ__x005f_x001c___x"/>
      <sheetName val="cable-data"/>
      <sheetName val="목록"/>
      <sheetName val="환경기계공정표_(3)E"/>
      <sheetName val="7.경제성결과"/>
      <sheetName val="설명서硅"/>
      <sheetName val="설명서E"/>
      <sheetName val="하도정산계약분"/>
      <sheetName val="costing_CV"/>
      <sheetName val="Spec1"/>
      <sheetName val="w't table"/>
      <sheetName val="VS배관내역서"/>
      <sheetName val="③知识"/>
      <sheetName val="사_x0000__x0000_Ԁ"/>
      <sheetName val="중동볨ᇭ"/>
      <sheetName val="laroux"/>
      <sheetName val="ateCodes_TimeCodes_OverrideSh_2"/>
      <sheetName val="unit 4"/>
      <sheetName val="ประมาณการประตูหน้าต่าง "/>
      <sheetName val="schedule "/>
      <sheetName val="SITE OFFICE"/>
      <sheetName val="달력"/>
      <sheetName val="총급여"/>
      <sheetName val="삼영지급"/>
      <sheetName val="수당"/>
      <sheetName val="노무비대장기본"/>
      <sheetName val="계측-Tray"/>
      <sheetName val="CCTV 수량(배관-송수가압장)"/>
      <sheetName val="LEGEND"/>
      <sheetName val="VIN_Index"/>
      <sheetName val="Khoi luong"/>
      <sheetName val="VCV-BE-TONG"/>
      <sheetName val="chiettinh"/>
      <sheetName val="_내역서(ͭ?ͭ?_x001c__x0"/>
      <sheetName val="ateCodes?TimeCodes?"/>
      <sheetName val="_내역서(ͭͭ가표"/>
      <sheetName val="Section"/>
      <sheetName val="Sum"/>
      <sheetName val="Gia vat tu"/>
      <sheetName val="KL"/>
      <sheetName val="TTDZ22"/>
      <sheetName val="KH-Q1,Q2,01"/>
      <sheetName val="BOQ-VN"/>
      <sheetName val="ESTI."/>
      <sheetName val="DI-ESTI"/>
      <sheetName val="D_MUC"/>
      <sheetName val="Scheme B Estimate "/>
      <sheetName val="Breakdown (B)"/>
      <sheetName val="인건비(10)"/>
      <sheetName val="화성태안9공구내역(실행)"/>
      <sheetName val="교량공"/>
      <sheetName val="Front"/>
      <sheetName val="암센터"/>
      <sheetName val="손익차9월2"/>
      <sheetName val="소화실적"/>
      <sheetName val="사업부배부A"/>
      <sheetName val="상반기손익차2총괄"/>
      <sheetName val="97 사업추정(WEKI)"/>
      <sheetName val="공사금액 내역 (1)"/>
      <sheetName val="대비표(토공1안)"/>
      <sheetName val="전선_및_전선관-_x0000__x0000__x0005_"/>
      <sheetName val="환경기계공정표_(3_x0000__x0000_"/>
      <sheetName val="신규일위"/>
      <sheetName val="신축(단위_x0000_"/>
      <sheetName val="경비계획(전체)"/>
      <sheetName val="97(US,EP,PCT,KR)"/>
      <sheetName val="수정하지마세요"/>
      <sheetName val="H-PILE수량집계"/>
      <sheetName val="ateCodes_TimeCodes_OverrideSh_3"/>
      <sheetName val="[내역서(1).xls]5.학교신설예산 Ⴘ_x0000_퀀诋쌆蠅/_x0000_᠀"/>
      <sheetName val="A__x0010_"/>
      <sheetName val="5.학교신설예산 쎸⬅/"/>
      <sheetName val="5.학교신설예산 Ⴘ"/>
      <sheetName val="11-2_아파"/>
      <sheetName val="환경기계공정표_(3)_x0012_"/>
      <sheetName val="포장물량집계"/>
      <sheetName val="사_x0000__x0000__x0000_"/>
      <sheetName val="말고개터널조명전압강하"/>
      <sheetName val="XL4Po夂囿 "/>
      <sheetName val="관경별내역서"/>
      <sheetName val="수뢹?"/>
      <sheetName val="Sheet㙸˯㦀ȼ?"/>
      <sheetName val="_내역서(ͭ_x005f_x0000_ͭ_x005f_x005f_x000"/>
      <sheetName val="_내역서(ͭ_ͭ__x005f_x001c___x005f_x005f_x"/>
      <sheetName val="[내역서(1).xls]5.학교신설예산 쎸⬅/"/>
      <sheetName val="[내역서(1).xls]5.학교신설예산 Ⴘ"/>
      <sheetName val="부대집계"/>
      <sheetName val="정공공사"/>
      <sheetName val="거래罈.羌"/>
      <sheetName val="[내역서(׃"/>
      <sheetName val="회선별대책안À_x0000_Ԁ_x0000_"/>
      <sheetName val="역T형교대(PILE기초)"/>
      <sheetName val="별표총괄"/>
      <sheetName val="실DATA_5"/>
      <sheetName val="_갑__지_5"/>
      <sheetName val="코스모공장_(어음)4"/>
      <sheetName val="A_견적4"/>
      <sheetName val="환경기계공정표_(3)4"/>
      <sheetName val="총_원가계산4"/>
      <sheetName val="Sheet1_(2)4"/>
      <sheetName val="내역서1999_8최종4"/>
      <sheetName val="단가_(2)4"/>
      <sheetName val="총괄갑_4"/>
      <sheetName val="6PILE__(돌출)4"/>
      <sheetName val="11-2_아파트내역4"/>
      <sheetName val="기초입력_DATA3"/>
      <sheetName val="_견적서3"/>
      <sheetName val="노임단가_(2)3"/>
      <sheetName val="1차_내역서3"/>
      <sheetName val="BSD_(2)3"/>
      <sheetName val="플랜트_설치3"/>
      <sheetName val="설명서_3"/>
      <sheetName val="2-1__경관조명_내역총괄표3"/>
      <sheetName val="일위대가_3"/>
      <sheetName val="중기조종사_단위단가3"/>
      <sheetName val="인건비_3"/>
      <sheetName val="전선_및_전선관-자유로3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신_분3"/>
      <sheetName val="C1_공사개요3"/>
      <sheetName val="A1_스케쥴3"/>
      <sheetName val="3월팀계_3"/>
      <sheetName val="Customer_Databas3"/>
      <sheetName val="단가_및_재료비3"/>
      <sheetName val="아파트_내역3"/>
      <sheetName val="AS포장복구_3"/>
      <sheetName val="전차선로_물량표2"/>
      <sheetName val="G_R300경비3"/>
      <sheetName val="27_건설이자2"/>
      <sheetName val="9-2_단지투자2"/>
      <sheetName val="9-4_단지분양수납2"/>
      <sheetName val="28_차입금상환계획2"/>
      <sheetName val="10-4_운하물류분양수납2"/>
      <sheetName val="10-2_운하물류투자2"/>
      <sheetName val="※_2010예산총괄표2"/>
      <sheetName val="주공_갑지3"/>
      <sheetName val="내역서_제출2"/>
      <sheetName val="1_동력공사1"/>
      <sheetName val="DATA_입력란3"/>
      <sheetName val="경율산정_XLS2"/>
      <sheetName val="조도계산서_(도서)2"/>
      <sheetName val="2_고용보험료산출근거2"/>
      <sheetName val="8_설치품셈2"/>
      <sheetName val="아파트_2"/>
      <sheetName val="품셈_1"/>
      <sheetName val="1_설계조건1"/>
      <sheetName val="BTL시설예산_기준표2"/>
      <sheetName val="5_학교신설예산_집행(01~08)2"/>
      <sheetName val="점검결과(08년_100교_지원)2"/>
      <sheetName val="5_직원투입현황1"/>
      <sheetName val="EQUIP_LIST1"/>
      <sheetName val="6-1__관개량조서1"/>
      <sheetName val="실행내역서_1"/>
      <sheetName val="전체내역_(2)1"/>
      <sheetName val="예정공정표_1"/>
      <sheetName val="Raw_Data1"/>
      <sheetName val="내역-_CCTV2"/>
      <sheetName val="2_대외공문1"/>
      <sheetName val="7_기-검-보_1001"/>
      <sheetName val="기본항목_입력1"/>
      <sheetName val="8_PILE__(돌출)1"/>
      <sheetName val="1__조명내역서(조명설치)1"/>
      <sheetName val="2__조명내역서(조명자재)1"/>
      <sheetName val="참고)BTL시설예산_기준표1"/>
      <sheetName val="표지_(3)1"/>
      <sheetName val="원가계산서_(2)1"/>
      <sheetName val="산출_근거11"/>
      <sheetName val="공사원가계산서_1"/>
      <sheetName val="총괄_내역서1"/>
      <sheetName val="2_토목공사1"/>
      <sheetName val="GT_1050x6501"/>
      <sheetName val="개별직종노임단가(2005_1)1"/>
      <sheetName val="당월_인력1"/>
      <sheetName val="2_원가및인원현황집계1"/>
      <sheetName val="96_121"/>
      <sheetName val="각사별공사비분개_1"/>
      <sheetName val="4_고용보험1"/>
      <sheetName val="3_고용보험료산출근거1"/>
      <sheetName val="단가일람_(2)1"/>
      <sheetName val="사__업__비__수__지__예__산__서1"/>
      <sheetName val="PIPERACK_집계표1"/>
      <sheetName val="EQUIPEMENT_집계표1"/>
      <sheetName val="BUILDING_&amp;SHELTER_집계표1"/>
      <sheetName val="OTHERS_집계표1"/>
      <sheetName val="CONTROL_BD1"/>
      <sheetName val="LIFTING_DEVICE1"/>
      <sheetName val="Man_Hole1"/>
      <sheetName val="소상_&quot;1&quot;1"/>
      <sheetName val="6_1_일위대가1"/>
      <sheetName val="효성CB_1P기초1"/>
      <sheetName val="De_bai1"/>
      <sheetName val="토목내역서_(도급단가)1"/>
      <sheetName val="설산1_나1"/>
      <sheetName val="220_(2)1"/>
      <sheetName val="0_0ControlSheet1"/>
      <sheetName val="노임단가(2010_상)1"/>
      <sheetName val="표지_1"/>
      <sheetName val="지번별_묘묙소요내역1"/>
      <sheetName val="총괄_설계내역서1"/>
      <sheetName val="예산서_1"/>
      <sheetName val="A_"/>
      <sheetName val="5_학교신설예산_Ⴘ퀀诋쌆蠅/᠀"/>
      <sheetName val="Isolasi_Luar_Dalam1"/>
      <sheetName val="Isolasi_Luar1"/>
      <sheetName val="breakdown_Price-Chuong1"/>
      <sheetName val="cable,_lighting,_switch1"/>
      <sheetName val="DonGia_VatTuLK1"/>
      <sheetName val="Bang_chiet_tinh_TBA1"/>
      <sheetName val="현장관리비_산출내역"/>
      <sheetName val="공통가설내역서__(당사)1"/>
      <sheetName val="화순_대리-다지리실행내역1"/>
      <sheetName val="2_1_受電設備棟"/>
      <sheetName val="2_2_受・防火水槽"/>
      <sheetName val="2_3_排水処理設備棟"/>
      <sheetName val="2_4_倉庫棟"/>
      <sheetName val="2_5_守衛棟"/>
      <sheetName val="Div26_-_Elect"/>
      <sheetName val="NSA_fr_Revit"/>
      <sheetName val="MTO_REV_0"/>
      <sheetName val="Area_Cal"/>
      <sheetName val="방배동내역_(총괄)"/>
      <sheetName val="Finishes_code"/>
      <sheetName val="96보완계획7_12"/>
      <sheetName val="HD_1-4_세부공종별,업체별_내역(L4)"/>
      <sheetName val="2F_회의실견적(5_14_일대)"/>
      <sheetName val="방배동내역(_x0000__x0000_"/>
      <sheetName val="실DATA_6"/>
      <sheetName val="_갑__지_6"/>
      <sheetName val="코스모공장_(어음)5"/>
      <sheetName val="A_견적5"/>
      <sheetName val="환경기계공정표_(3)5"/>
      <sheetName val="총_원가계산5"/>
      <sheetName val="단가_(2)5"/>
      <sheetName val="Sheet1_(2)5"/>
      <sheetName val="총괄갑_5"/>
      <sheetName val="내역서1999_8최종5"/>
      <sheetName val="6PILE__(돌출)5"/>
      <sheetName val="11-2_아파트내역5"/>
      <sheetName val="_견적서4"/>
      <sheetName val="1차_내역서4"/>
      <sheetName val="기초입력_DATA4"/>
      <sheetName val="노임단가_(2)4"/>
      <sheetName val="BSD_(2)4"/>
      <sheetName val="플랜트_설치4"/>
      <sheetName val="중기조종사_단위단가4"/>
      <sheetName val="설명서_4"/>
      <sheetName val="인건비_4"/>
      <sheetName val="2-1__경관조명_내역총괄표4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신_분4"/>
      <sheetName val="일위대가_4"/>
      <sheetName val="3월팀계_4"/>
      <sheetName val="전선_및_전선관-자유로4"/>
      <sheetName val="Customer_Databas4"/>
      <sheetName val="주공_갑지4"/>
      <sheetName val="C1_공사개요4"/>
      <sheetName val="A1_스케쥴4"/>
      <sheetName val="단가_및_재료비4"/>
      <sheetName val="아파트_내역4"/>
      <sheetName val="AS포장복구_4"/>
      <sheetName val="2_고용보험료산출근거3"/>
      <sheetName val="DATA_입력란4"/>
      <sheetName val="EQUIP_LIST2"/>
      <sheetName val="G_R300경비4"/>
      <sheetName val="조도계산서_(도서)3"/>
      <sheetName val="8_설치품셈3"/>
      <sheetName val="27_건설이자3"/>
      <sheetName val="9-2_단지투자3"/>
      <sheetName val="9-4_단지분양수납3"/>
      <sheetName val="28_차입금상환계획3"/>
      <sheetName val="10-4_운하물류분양수납3"/>
      <sheetName val="10-2_운하물류투자3"/>
      <sheetName val="※_2010예산총괄표3"/>
      <sheetName val="전차선로_물량표3"/>
      <sheetName val="경율산정_XLS3"/>
      <sheetName val="내역서_제출3"/>
      <sheetName val="아파트_3"/>
      <sheetName val="6-1__관개량조서2"/>
      <sheetName val="BTL시설예산_기준표3"/>
      <sheetName val="5_학교신설예산_집행(01~08)3"/>
      <sheetName val="점검결과(08년_100교_지원)3"/>
      <sheetName val="품셈_2"/>
      <sheetName val="1_동력공사2"/>
      <sheetName val="전체내역_(2)2"/>
      <sheetName val="7_기-검-보_1002"/>
      <sheetName val="5_직원투입현황2"/>
      <sheetName val="예정공정표_2"/>
      <sheetName val="실행내역서_2"/>
      <sheetName val="2_대외공문2"/>
      <sheetName val="Raw_Data2"/>
      <sheetName val="내역-_CCTV3"/>
      <sheetName val="표지_(3)2"/>
      <sheetName val="원가계산서_(2)2"/>
      <sheetName val="산출_근거12"/>
      <sheetName val="1_설계조건2"/>
      <sheetName val="96_122"/>
      <sheetName val="1__조명내역서(조명설치)2"/>
      <sheetName val="2__조명내역서(조명자재)2"/>
      <sheetName val="8_PILE__(돌출)2"/>
      <sheetName val="기본항목_입력2"/>
      <sheetName val="참고)BTL시설예산_기준표2"/>
      <sheetName val="공사원가계산서_2"/>
      <sheetName val="2_원가및인원현황집계2"/>
      <sheetName val="GT_1050x6502"/>
      <sheetName val="각사별공사비분개_2"/>
      <sheetName val="개별직종노임단가(2005_1)2"/>
      <sheetName val="총괄_내역서2"/>
      <sheetName val="4_고용보험2"/>
      <sheetName val="3_고용보험료산출근거2"/>
      <sheetName val="소상_&quot;1&quot;2"/>
      <sheetName val="사__업__비__수__지__예__산__서2"/>
      <sheetName val="PIPERACK_집계표2"/>
      <sheetName val="EQUIPEMENT_집계표2"/>
      <sheetName val="BUILDING_&amp;SHELTER_집계표2"/>
      <sheetName val="OTHERS_집계표2"/>
      <sheetName val="CONTROL_BD2"/>
      <sheetName val="LIFTING_DEVICE2"/>
      <sheetName val="2_토목공사2"/>
      <sheetName val="당월_인력2"/>
      <sheetName val="설산1_나2"/>
      <sheetName val="0_0ControlSheet2"/>
      <sheetName val="노임단가(2010_상)2"/>
      <sheetName val="단가일람_(2)2"/>
      <sheetName val="220_(2)2"/>
      <sheetName val="Man_Hole2"/>
      <sheetName val="6_1_일위대가2"/>
      <sheetName val="효성CB_1P기초2"/>
      <sheetName val="De_bai2"/>
      <sheetName val="토목내역서_(도급단가)2"/>
      <sheetName val="표지_2"/>
      <sheetName val="지번별_묘묙소요내역2"/>
      <sheetName val="총괄_설계내역서2"/>
      <sheetName val="예산서_2"/>
      <sheetName val="Isolasi_Luar_Dalam2"/>
      <sheetName val="Isolasi_Luar2"/>
      <sheetName val="breakdown_Price-Chuong2"/>
      <sheetName val="cable,_lighting,_switch2"/>
      <sheetName val="DonGia_VatTuLK2"/>
      <sheetName val="Bang_chiet_tinh_TBA2"/>
      <sheetName val="HD_1-4_세부공종별,업체별_내역(L4)1"/>
      <sheetName val="2F_회의실견적(5_14_일대)1"/>
      <sheetName val="고객사_관리_코드1"/>
      <sheetName val="화순_대리-다지리실행내역2"/>
      <sheetName val="원가계산서_1"/>
      <sheetName val="현장관리비_산출내역1"/>
      <sheetName val="공통가설내역서__(당사)2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NSA_fr_Revit1"/>
      <sheetName val="MTO_REV_01"/>
      <sheetName val="Area_Cal1"/>
      <sheetName val="방배동내역_(총괄)1"/>
      <sheetName val="Finishes_code1"/>
      <sheetName val="96보완계획7_121"/>
      <sheetName val="신축("/>
      <sheetName val="노무비_근거"/>
      <sheetName val="실DATA_8"/>
      <sheetName val="_갑__지_8"/>
      <sheetName val="코스모공장_(어음)7"/>
      <sheetName val="A_견적7"/>
      <sheetName val="환경기계공정표_(3)7"/>
      <sheetName val="총_원가계산7"/>
      <sheetName val="Sheet1_(2)7"/>
      <sheetName val="내역서1999_8최종7"/>
      <sheetName val="단가_(2)7"/>
      <sheetName val="총괄갑_7"/>
      <sheetName val="6PILE__(돌출)7"/>
      <sheetName val="11-2_아파트내역7"/>
      <sheetName val="기초입력_DATA6"/>
      <sheetName val="_견적서6"/>
      <sheetName val="노임단가_(2)6"/>
      <sheetName val="1차_내역서6"/>
      <sheetName val="BSD_(2)6"/>
      <sheetName val="플랜트_설치6"/>
      <sheetName val="설명서_6"/>
      <sheetName val="2-1__경관조명_내역총괄표6"/>
      <sheetName val="일위대가_6"/>
      <sheetName val="중기조종사_단위단가6"/>
      <sheetName val="인건비_6"/>
      <sheetName val="전선_및_전선관-자유로6"/>
      <sheetName val="수량계산서_집계표(가설_신설_및_철거-을지로3가_3호선6"/>
      <sheetName val="수량계산서_집계표(신설-을지로3가_3호선)6"/>
      <sheetName val="수량계산서_집계표(철거-을지로3가_3호선)6"/>
      <sheetName val="신_분6"/>
      <sheetName val="C1_공사개요6"/>
      <sheetName val="A1_스케쥴6"/>
      <sheetName val="3월팀계_6"/>
      <sheetName val="Customer_Databas6"/>
      <sheetName val="단가_및_재료비6"/>
      <sheetName val="아파트_내역6"/>
      <sheetName val="AS포장복구_6"/>
      <sheetName val="전차선로_물량표5"/>
      <sheetName val="G_R300경비6"/>
      <sheetName val="27_건설이자5"/>
      <sheetName val="9-2_단지투자5"/>
      <sheetName val="9-4_단지분양수납5"/>
      <sheetName val="28_차입금상환계획5"/>
      <sheetName val="10-4_운하물류분양수납5"/>
      <sheetName val="10-2_운하물류투자5"/>
      <sheetName val="※_2010예산총괄표5"/>
      <sheetName val="주공_갑지6"/>
      <sheetName val="내역서_제출5"/>
      <sheetName val="1_동력공사4"/>
      <sheetName val="DATA_입력란6"/>
      <sheetName val="경율산정_XLS5"/>
      <sheetName val="조도계산서_(도서)5"/>
      <sheetName val="2_고용보험료산출근거5"/>
      <sheetName val="8_설치품셈5"/>
      <sheetName val="아파트_5"/>
      <sheetName val="품셈_4"/>
      <sheetName val="1_설계조건4"/>
      <sheetName val="BTL시설예산_기준표5"/>
      <sheetName val="5_학교신설예산_집행(01~08)5"/>
      <sheetName val="점검결과(08년_100교_지원)5"/>
      <sheetName val="5_직원투입현황4"/>
      <sheetName val="EQUIP_LIST4"/>
      <sheetName val="6-1__관개량조서4"/>
      <sheetName val="실행내역서_4"/>
      <sheetName val="전체내역_(2)4"/>
      <sheetName val="예정공정표_4"/>
      <sheetName val="Raw_Data4"/>
      <sheetName val="내역-_CCTV5"/>
      <sheetName val="2_대외공문4"/>
      <sheetName val="7_기-검-보_1004"/>
      <sheetName val="기본항목_입력4"/>
      <sheetName val="8_PILE__(돌출)4"/>
      <sheetName val="1__조명내역서(조명설치)4"/>
      <sheetName val="2__조명내역서(조명자재)4"/>
      <sheetName val="참고)BTL시설예산_기준표4"/>
      <sheetName val="표지_(3)4"/>
      <sheetName val="원가계산서_(2)4"/>
      <sheetName val="산출_근거14"/>
      <sheetName val="공사원가계산서_4"/>
      <sheetName val="총괄_내역서4"/>
      <sheetName val="2_토목공사4"/>
      <sheetName val="GT_1050x6504"/>
      <sheetName val="개별직종노임단가(2005_1)4"/>
      <sheetName val="당월_인력4"/>
      <sheetName val="2_원가및인원현황집계4"/>
      <sheetName val="96_124"/>
      <sheetName val="각사별공사비분개_4"/>
      <sheetName val="사__업__비__수__지__예__산__서4"/>
      <sheetName val="4_고용보험4"/>
      <sheetName val="3_고용보험료산출근거4"/>
      <sheetName val="단가일람_(2)4"/>
      <sheetName val="PIPERACK_집계표4"/>
      <sheetName val="EQUIPEMENT_집계표4"/>
      <sheetName val="BUILDING_&amp;SHELTER_집계표4"/>
      <sheetName val="OTHERS_집계표4"/>
      <sheetName val="CONTROL_BD4"/>
      <sheetName val="LIFTING_DEVICE4"/>
      <sheetName val="0_0ControlSheet4"/>
      <sheetName val="토목내역서_(도급단가)4"/>
      <sheetName val="소상_&quot;1&quot;4"/>
      <sheetName val="6_1_일위대가4"/>
      <sheetName val="효성CB_1P기초4"/>
      <sheetName val="De_bai4"/>
      <sheetName val="노임단가(2010_상)4"/>
      <sheetName val="설산1_나4"/>
      <sheetName val="220_(2)4"/>
      <sheetName val="Man_Hole4"/>
      <sheetName val="표지_4"/>
      <sheetName val="지번별_묘묙소요내역4"/>
      <sheetName val="총괄_설계내역서4"/>
      <sheetName val="공통가설내역서__(당사)4"/>
      <sheetName val="예산서_4"/>
      <sheetName val="원가계산서_3"/>
      <sheetName val="현장관리비_산출내역3"/>
      <sheetName val="고객사_관리_코드3"/>
      <sheetName val="Isolasi_Luar_Dalam4"/>
      <sheetName val="Isolasi_Luar4"/>
      <sheetName val="breakdown_Price-Chuong4"/>
      <sheetName val="cable,_lighting,_switch4"/>
      <sheetName val="DonGia_VatTuLK4"/>
      <sheetName val="Bang_chiet_tinh_TBA4"/>
      <sheetName val="화순_대리-다지리실행내역4"/>
      <sheetName val="실DATA_7"/>
      <sheetName val="_갑__지_7"/>
      <sheetName val="코스모공장_(어음)6"/>
      <sheetName val="A_견적6"/>
      <sheetName val="환경기계공정표_(3)6"/>
      <sheetName val="총_원가계산6"/>
      <sheetName val="Sheet1_(2)6"/>
      <sheetName val="내역서1999_8최종6"/>
      <sheetName val="단가_(2)6"/>
      <sheetName val="총괄갑_6"/>
      <sheetName val="6PILE__(돌출)6"/>
      <sheetName val="11-2_아파트내역6"/>
      <sheetName val="기초입력_DATA5"/>
      <sheetName val="_견적서5"/>
      <sheetName val="노임단가_(2)5"/>
      <sheetName val="1차_내역서5"/>
      <sheetName val="BSD_(2)5"/>
      <sheetName val="플랜트_설치5"/>
      <sheetName val="설명서_5"/>
      <sheetName val="2-1__경관조명_내역총괄표5"/>
      <sheetName val="일위대가_5"/>
      <sheetName val="중기조종사_단위단가5"/>
      <sheetName val="인건비_5"/>
      <sheetName val="전선_및_전선관-자유로5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신_분5"/>
      <sheetName val="C1_공사개요5"/>
      <sheetName val="A1_스케쥴5"/>
      <sheetName val="3월팀계_5"/>
      <sheetName val="Customer_Databas5"/>
      <sheetName val="단가_및_재료비5"/>
      <sheetName val="아파트_내역5"/>
      <sheetName val="AS포장복구_5"/>
      <sheetName val="전차선로_물량표4"/>
      <sheetName val="G_R300경비5"/>
      <sheetName val="27_건설이자4"/>
      <sheetName val="9-2_단지투자4"/>
      <sheetName val="9-4_단지분양수납4"/>
      <sheetName val="28_차입금상환계획4"/>
      <sheetName val="10-4_운하물류분양수납4"/>
      <sheetName val="10-2_운하물류투자4"/>
      <sheetName val="※_2010예산총괄표4"/>
      <sheetName val="주공_갑지5"/>
      <sheetName val="내역서_제출4"/>
      <sheetName val="1_동력공사3"/>
      <sheetName val="DATA_입력란5"/>
      <sheetName val="경율산정_XLS4"/>
      <sheetName val="조도계산서_(도서)4"/>
      <sheetName val="2_고용보험료산출근거4"/>
      <sheetName val="8_설치품셈4"/>
      <sheetName val="아파트_4"/>
      <sheetName val="품셈_3"/>
      <sheetName val="1_설계조건3"/>
      <sheetName val="BTL시설예산_기준표4"/>
      <sheetName val="5_학교신설예산_집행(01~08)4"/>
      <sheetName val="점검결과(08년_100교_지원)4"/>
      <sheetName val="5_직원투입현황3"/>
      <sheetName val="EQUIP_LIST3"/>
      <sheetName val="6-1__관개량조서3"/>
      <sheetName val="실행내역서_3"/>
      <sheetName val="전체내역_(2)3"/>
      <sheetName val="예정공정표_3"/>
      <sheetName val="Raw_Data3"/>
      <sheetName val="내역-_CCTV4"/>
      <sheetName val="2_대외공문3"/>
      <sheetName val="7_기-검-보_1003"/>
      <sheetName val="기본항목_입력3"/>
      <sheetName val="8_PILE__(돌출)3"/>
      <sheetName val="1__조명내역서(조명설치)3"/>
      <sheetName val="2__조명내역서(조명자재)3"/>
      <sheetName val="참고)BTL시설예산_기준표3"/>
      <sheetName val="표지_(3)3"/>
      <sheetName val="원가계산서_(2)3"/>
      <sheetName val="산출_근거13"/>
      <sheetName val="공사원가계산서_3"/>
      <sheetName val="총괄_내역서3"/>
      <sheetName val="2_토목공사3"/>
      <sheetName val="GT_1050x6503"/>
      <sheetName val="개별직종노임단가(2005_1)3"/>
      <sheetName val="당월_인력3"/>
      <sheetName val="2_원가및인원현황집계3"/>
      <sheetName val="96_123"/>
      <sheetName val="각사별공사비분개_3"/>
      <sheetName val="사__업__비__수__지__예__산__서3"/>
      <sheetName val="4_고용보험3"/>
      <sheetName val="3_고용보험료산출근거3"/>
      <sheetName val="단가일람_(2)3"/>
      <sheetName val="PIPERACK_집계표3"/>
      <sheetName val="EQUIPEMENT_집계표3"/>
      <sheetName val="BUILDING_&amp;SHELTER_집계표3"/>
      <sheetName val="OTHERS_집계표3"/>
      <sheetName val="CONTROL_BD3"/>
      <sheetName val="LIFTING_DEVICE3"/>
      <sheetName val="0_0ControlSheet3"/>
      <sheetName val="토목내역서_(도급단가)3"/>
      <sheetName val="소상_&quot;1&quot;3"/>
      <sheetName val="6_1_일위대가3"/>
      <sheetName val="효성CB_1P기초3"/>
      <sheetName val="De_bai3"/>
      <sheetName val="노임단가(2010_상)3"/>
      <sheetName val="설산1_나3"/>
      <sheetName val="220_(2)3"/>
      <sheetName val="Man_Hole3"/>
      <sheetName val="표지_3"/>
      <sheetName val="지번별_묘묙소요내역3"/>
      <sheetName val="총괄_설계내역서3"/>
      <sheetName val="공통가설내역서__(당사)3"/>
      <sheetName val="예산서_3"/>
      <sheetName val="원가계산서_2"/>
      <sheetName val="현장관리비_산출내역2"/>
      <sheetName val="고객사_관리_코드2"/>
      <sheetName val="Isolasi_Luar_Dalam3"/>
      <sheetName val="Isolasi_Luar3"/>
      <sheetName val="breakdown_Price-Chuong3"/>
      <sheetName val="cable,_lighting,_switch3"/>
      <sheetName val="DonGia_VatTuLK3"/>
      <sheetName val="Bang_chiet_tinh_TBA3"/>
      <sheetName val="화순_대리-다지리실행내역3"/>
      <sheetName val="인건비예산(정규직)"/>
      <sheetName val="인건비예산(용역)"/>
      <sheetName val="2013노임단가"/>
      <sheetName val="회선별대책안_x0000__x0000__x0000__x0001_"/>
      <sheetName val="1.변경범위"/>
      <sheetName val="교각_x0000_"/>
      <sheetName val="FRP PIPING 일위대가"/>
      <sheetName val="간¾_x0000_Ԁ"/>
      <sheetName val="제목"/>
      <sheetName val="Don gia chi tiet"/>
      <sheetName val="phuluc1"/>
      <sheetName val="tong du toan"/>
      <sheetName val="DIV2"/>
      <sheetName val="경제지표"/>
      <sheetName val="영업소실적"/>
      <sheetName val="공급기자재조서 (2)"/>
      <sheetName val="산출(동해선 본선)"/>
      <sheetName val="집계(동해본선) "/>
      <sheetName val="산출(동해역통신)"/>
      <sheetName val="역집계(동해역통신)"/>
      <sheetName val="환경기계공정표__x0005__x0000__x0000_"/>
      <sheetName val="전선_및_전선관-罘º헾"/>
      <sheetName val="단위단가"/>
      <sheetName val="공사설명서"/>
      <sheetName val="공사예산하조서(O.K)"/>
      <sheetName val="공사예산하조서_O_K_"/>
      <sheetName val="전선 및 전선관"/>
      <sheetName val="변경내역"/>
      <sheetName val="°ø»ç¿¹»êÇÏÁ¶¼­(O.K)"/>
      <sheetName val="4.설계예산내역서"/>
      <sheetName val="콘센트신설"/>
      <sheetName val="용산1(해보)"/>
      <sheetName val="3.내역서"/>
      <sheetName val="구리토평1전기"/>
      <sheetName val="설계명세"/>
      <sheetName val="BUD"/>
      <sheetName val="archi(본사)"/>
      <sheetName val="인건-측정"/>
      <sheetName val="도급양식"/>
      <sheetName val="49단가"/>
      <sheetName val="36단가"/>
      <sheetName val="36수량"/>
      <sheetName val="규격"/>
      <sheetName val="공리공제"/>
      <sheetName val="역간(덕_동)"/>
      <sheetName val="역간(의-덕)"/>
      <sheetName val="BEND LOSS"/>
      <sheetName val="건축공사 집계표"/>
      <sheetName val="설비2차"/>
      <sheetName val="기준FACTOR"/>
      <sheetName val="설비"/>
      <sheetName val="N賃率-職"/>
      <sheetName val="2016상반기노임단가"/>
      <sheetName val="HARGA MATERIAL"/>
      <sheetName val="Formula"/>
      <sheetName val="재무가정"/>
      <sheetName val="기준"/>
      <sheetName val="변동인원"/>
      <sheetName val="2000제조1"/>
      <sheetName val="집연95"/>
      <sheetName val="TKCK"/>
      <sheetName val="PL Vua"/>
      <sheetName val="THU T6"/>
      <sheetName val="Thu chi T04"/>
      <sheetName val="SLTH"/>
      <sheetName val="PEDESB"/>
      <sheetName val="포장집계"/>
      <sheetName val="포장연장"/>
      <sheetName val="총괄(데倀辍즳"/>
      <sheetName val="총괄(데뀀连즳"/>
      <sheetName val="총괄(데뀀ﾒ犺"/>
      <sheetName val="총괄(데䀀﷥䰗"/>
      <sheetName val="전기일위대가"/>
      <sheetName val="기본단가"/>
      <sheetName val="자재 집계표"/>
      <sheetName val="보고서"/>
      <sheetName val="변경개요"/>
      <sheetName val="실정내역"/>
      <sheetName val="이서 빙등제"/>
      <sheetName val="내역증감-전체분"/>
      <sheetName val="원가계산서(생태쉼터) "/>
      <sheetName val="내역서(빙등제)"/>
      <sheetName val="전망데크1"/>
      <sheetName val="단가산출호표"/>
      <sheetName val="방림 토공수량"/>
      <sheetName val="방림 토공 산출근거"/>
      <sheetName val="종류별수량산출"/>
      <sheetName val="소운반단가산출"/>
      <sheetName val="이서 빙등제 수량집계표"/>
      <sheetName val="이서 빙등제 산출근거"/>
      <sheetName val="현황사진대지"/>
      <sheetName val="code"/>
      <sheetName val="운반거리"/>
      <sheetName val="BOX(1.5X1.5)"/>
      <sheetName val="점수계산1-2"/>
      <sheetName val="구조물공"/>
      <sheetName val="철근단면적"/>
      <sheetName val="직원인원"/>
      <sheetName val="단면 (2)"/>
      <sheetName val="집 계 표"/>
      <sheetName val="선박별 배부"/>
      <sheetName val="KUNGDEVI"/>
      <sheetName val="기본정보"/>
      <sheetName val="내역(설계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내역서중"/>
      <sheetName val="1차설계변경내역"/>
      <sheetName val="2000년 공정표"/>
      <sheetName val="정렬"/>
      <sheetName val="기본1"/>
      <sheetName val="수정일위대가"/>
      <sheetName val="퇴직금(울산천상)"/>
      <sheetName val="기타자료"/>
      <sheetName val="일위(시설)"/>
      <sheetName val="1호인버트수량"/>
      <sheetName val="공종집계"/>
      <sheetName val="6PILE脂鎙堀1_x0013__x0000__x0000_"/>
      <sheetName val="HSNV"/>
      <sheetName val="환경기계공정표_(3)椀"/>
      <sheetName val="전선관"/>
      <sheetName val="c &amp; g rhs"/>
      <sheetName val="전선_및_전선관-"/>
      <sheetName val="방배동내역("/>
      <sheetName val="전선_및_전선관-壆⿶"/>
      <sheetName val="[내역서(1)_xls]5_학교신설예산_쎸⬅/瀀þ밀"/>
      <sheetName val="환경기계공정표_(3)"/>
      <sheetName val="내역(원안-대안)"/>
      <sheetName val="인부노임단가"/>
      <sheetName val="[내역서(ͭ_x0000__x0000_Ԁ"/>
      <sheetName val="1.암사대교 산출"/>
      <sheetName val="마산방향"/>
      <sheetName val="직원관련자료"/>
      <sheetName val="국공유지"/>
      <sheetName val="POL6차-PIPING"/>
      <sheetName val="손익현황"/>
      <sheetName val="배수통관(좌)"/>
      <sheetName val="사업총쌈"/>
      <sheetName val="환경기계공정표_(3)¾"/>
      <sheetName val="ateCodes?TimeCodes?Overrid_x0000__x0000__x0005__x0000_钀"/>
      <sheetName val="점검결과(08년_x0000__x0000_Ԁ_x0000_䀀㸎_x0008__x0000__x0000_"/>
      <sheetName val="환경기계공정표_(3)刀"/>
      <sheetName val="현장"/>
      <sheetName val="전체"/>
      <sheetName val="조명율표"/>
      <sheetName val="종합표"/>
      <sheetName val="차수공개요"/>
      <sheetName val="상시"/>
      <sheetName val="주beam"/>
      <sheetName val="부안일위"/>
      <sheetName val="단가조사표"/>
      <sheetName val="11.산출(전열)"/>
      <sheetName val="6.산출(동력)"/>
      <sheetName val="7.산출(TRAY)"/>
      <sheetName val="추가예산"/>
      <sheetName val="차입"/>
      <sheetName val="코드표"/>
      <sheetName val="월별예산"/>
      <sheetName val="PC%계산"/>
      <sheetName val="유가증권LS"/>
      <sheetName val="통장출금액"/>
      <sheetName val="업무연락"/>
      <sheetName val="월별매출"/>
      <sheetName val="부대tu"/>
      <sheetName val="VXXXXXXX"/>
      <sheetName val="#2_일위대가목록"/>
      <sheetName val="마산월령동골조물량변경"/>
      <sheetName val="공종별현황_공무팀자료"/>
      <sheetName val="6. 안전관리비"/>
      <sheetName val="내역서1"/>
      <sheetName val="P4-C"/>
      <sheetName val="1062-X방향 "/>
      <sheetName val="특외대"/>
      <sheetName val="수입실적"/>
      <sheetName val="A-100전제"/>
      <sheetName val="품의"/>
      <sheetName val="comps LFY+"/>
      <sheetName val="HDI implied"/>
      <sheetName val="호봉피치"/>
      <sheetName val="첨부1"/>
      <sheetName val="감독1130"/>
      <sheetName val="CAUDIT"/>
      <sheetName val="임의 매출-수정전"/>
      <sheetName val="감가상각"/>
      <sheetName val="채권 현황"/>
      <sheetName val="FRQ"/>
      <sheetName val="지급자재"/>
      <sheetName val="직접공사비"/>
      <sheetName val="자산LIST"/>
      <sheetName val="현금흐름"/>
      <sheetName val="간접1"/>
      <sheetName val="CC Down load 0716"/>
      <sheetName val="CF6"/>
      <sheetName val="9703"/>
      <sheetName val="미지급비용"/>
      <sheetName val="요일별시간대별 근무인원 그래프"/>
      <sheetName val="정식주주명부(061108)"/>
      <sheetName val="6월수불"/>
      <sheetName val="코드(대중분류)"/>
      <sheetName val="1.매출액"/>
      <sheetName val="2.원가"/>
      <sheetName val="10.인원"/>
      <sheetName val="2.호선별예상실적"/>
      <sheetName val="생산매출 (4)"/>
      <sheetName val="사업계획"/>
      <sheetName val="1월 예산"/>
      <sheetName val="DATA98"/>
      <sheetName val="건설가"/>
      <sheetName val="RE9604"/>
      <sheetName val="대차대조표 (2)"/>
      <sheetName val="손익계산서"/>
      <sheetName val="지점장"/>
      <sheetName val="admin"/>
      <sheetName val="AN-01"/>
      <sheetName val="환율 및 참고"/>
      <sheetName val=" 총괄표"/>
      <sheetName val="총괄-1"/>
      <sheetName val="MAIN_TABLE"/>
      <sheetName val="95년12월말"/>
      <sheetName val="그림모음"/>
      <sheetName val="국도접속 차도부수량"/>
      <sheetName val="간접(90)"/>
      <sheetName val="용지조사보고서"/>
      <sheetName val="바닥판"/>
      <sheetName val="입력DATA"/>
      <sheetName val="3800-400 기계감가"/>
      <sheetName val="MIBK원단위"/>
      <sheetName val="품셈TABLE"/>
      <sheetName val="콘크리트타설집계표"/>
      <sheetName val="중기"/>
      <sheetName val="DANGA"/>
      <sheetName val="청학계"/>
      <sheetName val="사다리"/>
      <sheetName val="영창26"/>
      <sheetName val="중기일위대가"/>
      <sheetName val="공사비예산서(토목분)"/>
      <sheetName val="외화채권"/>
      <sheetName val="Assumptions"/>
      <sheetName val="조명투자및환수계획"/>
      <sheetName val="제조중간결과"/>
      <sheetName val="101동"/>
      <sheetName val="변경총괄지(1)"/>
      <sheetName val="SANTOGO"/>
      <sheetName val="지수적용공사비내역서"/>
      <sheetName val="부대공Ⅱ"/>
      <sheetName val="TB-내역서"/>
      <sheetName val="총원"/>
      <sheetName val="Summary"/>
      <sheetName val="NKC6"/>
      <sheetName val="Summary - Budget"/>
      <sheetName val="내역전기"/>
      <sheetName val="의뢰서"/>
      <sheetName val="5.학교신설예산 집행(01~偤°"/>
      <sheetName val="A_견_x0000__x0000_"/>
      <sheetName val="[내역서(ͭ_x0000_ͭ_x0000__x001c__x02"/>
      <sheetName val="ateCodes_x0000_TimeCodes_x0000_2"/>
      <sheetName val="[내역서(ͭ_x0000_ͭ_x0000__x001c__x03"/>
      <sheetName val="ateCodes_x0000_TimeCodes_x0000_3"/>
      <sheetName val="[내역서(ͭ_x0000_ͭ_x0000__x001c__x04"/>
      <sheetName val="ateCodes_x0000_TimeCodes_x0000_4"/>
      <sheetName val="[내역서(ͭ_x0000_ͭ_x0000__x001c__x05"/>
      <sheetName val="ateCodes_x0000_TimeCodes_x0000_5"/>
      <sheetName val="[내역서(ͭ_x0000_ͭ_x0000__x001c__x06"/>
      <sheetName val="ateCodes_x0000_TimeCodes_x0000_6"/>
      <sheetName val="[내역서(ͭ_x0000_ͭ_x0000__x001c__x07"/>
      <sheetName val="ateCodes_x0000_TimeCodes_x0000_7"/>
      <sheetName val="[내역서(ͭ_x0000_ͭ_x0000__x001c__x08"/>
      <sheetName val="ateCodes_x0000_TimeCodes_x0000_8"/>
      <sheetName val="[내역서(ͭ_x0000_ͭ_x0000__x001c__x09"/>
      <sheetName val="ateCodes_x0000_TimeCodes_x0000_9"/>
      <sheetName val="[내역서(ͭ_x0000_ͭ_x0000__x001c__x010"/>
      <sheetName val="ateCodes_x0000_TimeCodes_x0000_10"/>
      <sheetName val="[내역서(ͭ_x0000_ͭ_x0000__x001c__x011"/>
      <sheetName val="ateCodes_x0000_TimeCodes_x0000_11"/>
      <sheetName val="[내역서(ͭ_x0000_ͭ_x0000__x001c__x012"/>
      <sheetName val="ateCodes_x0000_TimeCodes_x0000_12"/>
      <sheetName val="[내역서(ͭ_x0000_ͭ_x0000__x001c__x013"/>
      <sheetName val="ateCodes_x0000_TimeCodes_x0000_13"/>
      <sheetName val="[내역서(ͭ_x0000_ͭ_x0000__x001c__x014"/>
      <sheetName val="ateCodes_x0000_TimeCodes_x0000_14"/>
      <sheetName val="말뚝물량"/>
      <sheetName val="맨홀기준"/>
      <sheetName val="철골9F"/>
      <sheetName val="손익경비"/>
      <sheetName val="구체"/>
      <sheetName val="좌측날개벽"/>
      <sheetName val="우측날개벽"/>
      <sheetName val="수입"/>
      <sheetName val="환경기계공정표__x0005_"/>
      <sheetName val="회선별대책안"/>
      <sheetName val="ateCఀ_x0002_저殑"/>
      <sheetName val="Sheet1_Çæ_x0000_"/>
      <sheetName val="DB_ET200(R. A)"/>
      <sheetName val="[내역서(ͭ_x005f_x005f_x005f_x0000_ͭ_x005f_x005f_x000"/>
      <sheetName val="[내역서(ͭ?ͭ?_x005f_x005f_x005f_x001c_?_x005f_x005f_x"/>
      <sheetName val="_내역서(ͭ_x005f_x005f_x005f_x005f_x005f_x005f_x005f_x0000_"/>
      <sheetName val="ateCodes_x005f_x005f_x005f_x005f_x005f_x005f_x000"/>
      <sheetName val="_내역서(ͭ_ͭ__x005f_x005f_x005f_x005f_x005f_x005f_x00"/>
      <sheetName val="일위대가_호표"/>
      <sheetName val="일위대가_산근"/>
      <sheetName val="중기사용료목록"/>
      <sheetName val="중기기초자료"/>
      <sheetName val="자재조서"/>
      <sheetName val="전역변수"/>
      <sheetName val="중기전역변수"/>
      <sheetName val="단가_(2)Ì"/>
      <sheetName val="보증_x0000_縀"/>
      <sheetName val="보증_x0000_ༀ"/>
      <sheetName val="데이터"/>
      <sheetName val="유림총괄"/>
      <sheetName val="Project Name"/>
      <sheetName val="Deliver Date"/>
      <sheetName val="Staff"/>
      <sheetName val="anti-termite"/>
      <sheetName val="BIDDING-SUM"/>
      <sheetName val="CTG"/>
      <sheetName val="Project_Name"/>
      <sheetName val="Deliver_Date"/>
      <sheetName val="손익그래프및카메라"/>
      <sheetName val="hGH정제"/>
      <sheetName val="24_보증금_전신전화가입권_"/>
      <sheetName val="[내역서(ͭͭ가_x0000_"/>
      <sheetName val="간지1"/>
      <sheetName val="1.사유서"/>
      <sheetName val="간지2"/>
      <sheetName val="간지3"/>
      <sheetName val="부재별집계표"/>
      <sheetName val="도면"/>
      <sheetName val="Summ"/>
      <sheetName val="breakdown"/>
      <sheetName val="G_R30绘ÿ헾"/>
      <sheetName val="계장 품셈표"/>
      <sheetName val="가시설수량"/>
      <sheetName val="ITEM"/>
      <sheetName val="준공정산"/>
      <sheetName val="단"/>
      <sheetName val="_갑  지 "/>
      <sheetName val="2공구하도급내역서"/>
      <sheetName val="편성절차"/>
      <sheetName val="THVT"/>
      <sheetName val="SITE-E"/>
      <sheetName val="KHỐI LƯỢNG THANH TOÁN"/>
      <sheetName val="SEX"/>
      <sheetName val="General2"/>
      <sheetName val="Phu cap"/>
      <sheetName val="GIAVLIEU"/>
      <sheetName val="BETON"/>
      <sheetName val="hinhhoc"/>
      <sheetName val="PTDG (T3)"/>
      <sheetName val="PTDG (T4)"/>
      <sheetName val="기계경¬"/>
      <sheetName val="[내역서(1).xls]5_학교신설예산_쎸⬅/瀀þ밀"/>
      <sheetName val="IBASE"/>
      <sheetName val="KLDT DIEN"/>
      <sheetName val="Dinh muc CP KTCB khac"/>
      <sheetName val="TinhGiaMTC"/>
      <sheetName val="TH MTC"/>
      <sheetName val="TH N.Cong"/>
      <sheetName val="TinhGiaNC"/>
      <sheetName val="DMCP"/>
      <sheetName val="_갑___x0000__x0000_"/>
      <sheetName val="현장식당(1)"/>
      <sheetName val="계약내역서"/>
      <sheetName val="배수내역 (2)"/>
      <sheetName val="견적요율_(업체명)"/>
      <sheetName val="(1) 국내 사이트 상세 주소 "/>
      <sheetName val="0. 수출,수입 건수"/>
      <sheetName val="1. 수출 해상 (LCL) "/>
      <sheetName val="2. 수출 항공 "/>
      <sheetName val="(2-3) 수출 특송"/>
      <sheetName val="3. 수출 내륙 운송료"/>
      <sheetName val="4. 수입 해상 (FCL)"/>
      <sheetName val="5. 수입 해상 (LCL) "/>
      <sheetName val="6. 수입 항공 "/>
      <sheetName val="(3-4) 수입 특송 "/>
      <sheetName val="7. 수입 내륙 운송료"/>
      <sheetName val="8. 창고료"/>
      <sheetName val="9. 내륙 운송"/>
      <sheetName val="10. 추가 제안 및 기타"/>
      <sheetName val="운송내역 "/>
      <sheetName val="3.PT개발계획"/>
      <sheetName val="24.보증금(전신전화가입권)"/>
      <sheetName val="Ⅴ-2.공종별내역"/>
      <sheetName val="[내역서(1).xls][내역서(1).xls]5_____2"/>
      <sheetName val="[내역서(1).xls]단가_(2\_x0000_"/>
      <sheetName val="[내역서(1).xls]단가_(2\栀"/>
      <sheetName val="[내역서(1).xls][내역서(1).xls]5_____3"/>
      <sheetName val="[내역서(1).xls]5_학교신설예산_Ⴘ퀀诋쌆蠅/᠀"/>
      <sheetName val="[내역서(1).xls][내역서(1).xls]5_____4"/>
      <sheetName val="Estimate"/>
      <sheetName val="AnalisaSIPIL RIIL"/>
      <sheetName val="D 5243-ARAMCO"/>
      <sheetName val="D-4801 OXY"/>
      <sheetName val="表三甲"/>
      <sheetName val="Har Sat"/>
      <sheetName val="Вспом_лист"/>
      <sheetName val="Analisa Harga Satuan"/>
      <sheetName val="Eq. Mobilization"/>
      <sheetName val="6PILEሀ_x0002_䀀⨊脃ﲙ"/>
      <sheetName val="정부노임"/>
      <sheetName val="방화산출"/>
      <sheetName val="2000,9월 일위"/>
      <sheetName val="공통단가"/>
      <sheetName val="단가일람"/>
      <sheetName val="조경일람"/>
      <sheetName val="운반비"/>
      <sheetName val="전선_및_전선관-㞘}઀"/>
      <sheetName val="전체제잡비"/>
      <sheetName val="A.일용노무비지급명세서"/>
      <sheetName val="Config"/>
      <sheetName val="Du toan"/>
      <sheetName val="Keothep"/>
      <sheetName val="Re-bar"/>
      <sheetName val="HVAC"/>
      <sheetName val="공사비예비관리공감측설산출내역"/>
      <sheetName val="인원"/>
      <sheetName val="基础资料"/>
      <sheetName val="재고list"/>
      <sheetName val="JP_GP_UP통합"/>
      <sheetName val="DW산출"/>
      <sheetName val="회선별대책안À"/>
      <sheetName val="asd"/>
      <sheetName val="B"/>
      <sheetName val="I一般比"/>
      <sheetName val="토공 total"/>
      <sheetName val="조경"/>
      <sheetName val="당진1,2호기전선관설치및접지4차공사내역서-을지"/>
      <sheetName val="식생블럭단위수량"/>
      <sheetName val="인공산출"/>
      <sheetName val="ENE-CAL 1"/>
      <sheetName val="본사업"/>
      <sheetName val="예산M11A"/>
      <sheetName val="철콘산출"/>
      <sheetName val="DB"/>
      <sheetName val="토공내역"/>
      <sheetName val="설직재-1"/>
      <sheetName val="96정변2"/>
      <sheetName val="배수공 시멘트 및 골재량 산출"/>
      <sheetName val="부서코드표"/>
      <sheetName val="소방사항"/>
      <sheetName val="공사진행"/>
      <sheetName val="96노임기준"/>
      <sheetName val="대공종"/>
      <sheetName val="총괄(데䀀?䰗"/>
      <sheetName val="입찰내역 발주처 양식"/>
      <sheetName val="붙임4.앵커볼트"/>
      <sheetName val="붙임2.최대수평하중"/>
      <sheetName val="3월팀계_x0010_"/>
      <sheetName val=" 기성청구서 양식.xlsx"/>
      <sheetName val="Bang TH"/>
      <sheetName val="Shelves"/>
      <sheetName val="Cst Pkg-Eden"/>
      <sheetName val="Tiepdia"/>
      <sheetName val="ma-pt"/>
      <sheetName val="COAT&amp;WRAP-QIOT-#3"/>
      <sheetName val="Bill2-TTTM&amp;CH"/>
      <sheetName val="Bill 2-VMart&amp;VPro"/>
      <sheetName val="Parem"/>
      <sheetName val="원본1"/>
      <sheetName val="수량계산서_집계표(가설_신설_및_철거-을지로3가_3ఀ_x0002_က"/>
      <sheetName val="ateCodes?TimeCodes?Overrid"/>
      <sheetName val="간¾"/>
      <sheetName val="분문집계2"/>
      <sheetName val="배부금액"/>
      <sheetName val="입고계획"/>
      <sheetName val="주공_¹"/>
      <sheetName val="Sheet1_Çꀀ_x0000_"/>
      <sheetName val="ate_x000b__x0000_蠀᏿㤂"/>
      <sheetName val="순위"/>
      <sheetName val="노단"/>
      <sheetName val="단산"/>
      <sheetName val="명세"/>
      <sheetName val="일대"/>
      <sheetName val="단가__x0000__x0000_Ԁ_x0000_"/>
      <sheetName val="w't_table"/>
      <sheetName val="ประมาณการประตูหน้าต่าง_"/>
      <sheetName val="schedule_"/>
      <sheetName val="SITE_OFFICE"/>
      <sheetName val="Concord"/>
      <sheetName val="보증"/>
      <sheetName val="중기작업"/>
      <sheetName val="COA-17"/>
      <sheetName val="POWER"/>
      <sheetName val="설명서劝"/>
      <sheetName val="단가_및邰㡗_xdc00_㡗"/>
      <sheetName val="신축"/>
      <sheetName val="제잡비계산"/>
      <sheetName val="도급기성"/>
      <sheetName val="입찰내역서"/>
      <sheetName val="터파기및재료"/>
      <sheetName val="실행-자재"/>
      <sheetName val="06 일위대가목록"/>
      <sheetName val="수량산출표"/>
      <sheetName val="세월교산출기초"/>
      <sheetName val="댐구조도"/>
      <sheetName val="공간"/>
      <sheetName val="공종"/>
      <sheetName val="부위자재"/>
      <sheetName val="하자유형"/>
      <sheetName val="세대"/>
      <sheetName val="부대공"/>
      <sheetName val="배수공"/>
      <sheetName val="토공"/>
      <sheetName val="포장공"/>
      <sheetName val="일반공사"/>
      <sheetName val="지하1층"/>
      <sheetName val="시화점실행"/>
      <sheetName val="각종양식"/>
      <sheetName val="자금운용표"/>
      <sheetName val="총(철거)"/>
      <sheetName val="검수고1-1층"/>
      <sheetName val="총물량표"/>
      <sheetName val="하수처리장"/>
      <sheetName val="BREAKDOWN(철거설치)"/>
      <sheetName val="3본사"/>
      <sheetName val="총공사내역서"/>
      <sheetName val="견적대비(1차) (2)"/>
      <sheetName val="총괄내역"/>
      <sheetName val="정산내역서"/>
      <sheetName val="대분류 ITEM별 분석(3월)"/>
      <sheetName val="기본일위"/>
      <sheetName val="카렌스센터계량기설치공사"/>
      <sheetName val="boq"/>
      <sheetName val="산출내역서"/>
      <sheetName val="평3"/>
      <sheetName val="기초데이타"/>
      <sheetName val="2.损益表"/>
      <sheetName val="4.PL"/>
      <sheetName val="6.BS"/>
      <sheetName val="9.차입,대여금"/>
      <sheetName val="1월--7월"/>
      <sheetName val="2-2.매출분석"/>
      <sheetName val="첨부_예산"/>
      <sheetName val="선박별_배부"/>
      <sheetName val="1_변경범위"/>
      <sheetName val="comps_LFY+"/>
      <sheetName val="HDI_implied"/>
      <sheetName val="임의_매출-수정전"/>
      <sheetName val="채권_현황"/>
      <sheetName val="2000년_공정표"/>
      <sheetName val="CC_Down_load_0716"/>
      <sheetName val="요일별시간대별_근무인원_그래프"/>
      <sheetName val="BOX(1_5X1_5)"/>
      <sheetName val="1_매출액"/>
      <sheetName val="2_원가"/>
      <sheetName val="10_인원"/>
      <sheetName val="1월_예산"/>
      <sheetName val="2_호선별예상실적"/>
      <sheetName val="생산매출_(4)"/>
      <sheetName val="대차대조표_(2)"/>
      <sheetName val="환율_및_참고"/>
      <sheetName val="6.PL"/>
      <sheetName val="4.成本明细表"/>
      <sheetName val="7.6大成本明细表"/>
      <sheetName val="본부평가(연말)"/>
      <sheetName val="4.추정손익"/>
      <sheetName val="2.매출원가"/>
      <sheetName val="3.일반관리,영업외"/>
      <sheetName val="AT비용"/>
      <sheetName val="JJ비용"/>
      <sheetName val="부대수입"/>
      <sheetName val="MA비용"/>
      <sheetName val="ME비용"/>
      <sheetName val="MF비용"/>
      <sheetName val="MI비용"/>
      <sheetName val="MT비용"/>
      <sheetName val="5.管理费明细表"/>
      <sheetName val="6.营业外收支明细表"/>
      <sheetName val="3.收入明细表"/>
      <sheetName val="공통"/>
      <sheetName val="cash_flow"/>
      <sheetName val="FOOTING"/>
      <sheetName val="봉방동근생"/>
      <sheetName val="교수설계"/>
      <sheetName val="특기시방"/>
      <sheetName val="선박별_배부1"/>
      <sheetName val="1_변경범위1"/>
      <sheetName val="comps_LFY+1"/>
      <sheetName val="HDI_implied1"/>
      <sheetName val="임의_매출-수정전1"/>
      <sheetName val="채권_현황1"/>
      <sheetName val="2000년_공정표1"/>
      <sheetName val="CC_Down_load_07161"/>
      <sheetName val="요일별시간대별_근무인원_그래프1"/>
      <sheetName val="BOX(1_5X1_5)1"/>
      <sheetName val="1_매출액1"/>
      <sheetName val="2_원가1"/>
      <sheetName val="10_인원1"/>
      <sheetName val="2_호선별예상실적1"/>
      <sheetName val="생산매출_(4)1"/>
      <sheetName val="1월_예산1"/>
      <sheetName val="대차대조표_(2)1"/>
      <sheetName val="환율_및_참고1"/>
      <sheetName val="_총괄표"/>
      <sheetName val="1062-X방향_"/>
      <sheetName val="2_损益表"/>
      <sheetName val="4_PL"/>
      <sheetName val="6_BS"/>
      <sheetName val="9_차입,대여금"/>
      <sheetName val="2-2_매출분석"/>
      <sheetName val="6_PL"/>
      <sheetName val="4_成本明细表"/>
      <sheetName val="7_6大成本明细表"/>
      <sheetName val="4_추정손익"/>
      <sheetName val="2_매출원가"/>
      <sheetName val="3_일반관리,영업외"/>
      <sheetName val="5_管理费明细表"/>
      <sheetName val="6_营业外收支明细表"/>
      <sheetName val="3_收入明细表"/>
      <sheetName val="3800-400_기계감가"/>
      <sheetName val="FILE1"/>
      <sheetName val="토공(우물통,기타) "/>
      <sheetName val="토지조서(원본)"/>
      <sheetName val="잡철물"/>
      <sheetName val="총괄(데이소ꃁ"/>
      <sheetName val="총괄(데이소ࣁ"/>
      <sheetName val="인원계획"/>
      <sheetName val="공사내_x0000_"/>
      <sheetName val="환경기계공정표_髈㘻_x0000__x0000_"/>
      <sheetName val="환경기계공정표_艀㫐_x0000__x0000_"/>
      <sheetName val="환경기계공정표_蔀㫐_x0000__x0000_"/>
      <sheetName val="대비표"/>
      <sheetName val="MEXICO-C"/>
      <sheetName val="노원열병합  건축공사기성내역서"/>
      <sheetName val="_내역서(ͭ_ͭ__x001c___x"/>
      <sheetName val="96수출"/>
      <sheetName val="호프"/>
      <sheetName val="scale &amp; Income"/>
      <sheetName val="기본사항"/>
      <sheetName val="현황산출서"/>
      <sheetName val="강관파일내역"/>
      <sheetName val="_갑__"/>
      <sheetName val="점검결과(08년"/>
      <sheetName val="ate_x000b_"/>
      <sheetName val="제작비"/>
      <sheetName val="용융아연도금"/>
      <sheetName val="제작물량 7월"/>
      <sheetName val="건    재"/>
      <sheetName val="SOLICITUD"/>
      <sheetName val="집계표(건축)"/>
      <sheetName val="집수정(600-700)"/>
      <sheetName val="적용노임(09상)"/>
      <sheetName val="보_x0000__x0000__x0005_"/>
      <sheetName val="70%"/>
      <sheetName val="ateCodes?TimeCodes?OverrideSho_x0000_"/>
      <sheetName val="ateCodes?TimeCodes?OverrideSho适"/>
      <sheetName val="ateCodes?TimeCodes?OverrideSho렀"/>
      <sheetName val="ateCodes?TimeCodes?OverrideSho"/>
      <sheetName val="ateCodes?TimeCodes?OverrideSho退"/>
      <sheetName val="ateCodes?TimeCodes?OverrideSho᠀"/>
      <sheetName val="ateCodes?TimeCodes?OverrideSho怀"/>
      <sheetName val="ateCodes?TimeCodes?OverrideSho逃"/>
      <sheetName val="Price Database"/>
      <sheetName val="tong hop v.tu"/>
      <sheetName val="_갑__지_9"/>
      <sheetName val="실DATA_9"/>
      <sheetName val="코스모공장_(어음)8"/>
      <sheetName val="환경기계공정표_(3)8"/>
      <sheetName val="A_견적8"/>
      <sheetName val="Sheet1_(2)8"/>
      <sheetName val="총_원가계산8"/>
      <sheetName val="총괄갑_8"/>
      <sheetName val="내역서1999_8최종8"/>
      <sheetName val="단가_(2)8"/>
      <sheetName val="6PILE__(돌출)8"/>
      <sheetName val="11-2_아파트내역8"/>
      <sheetName val="설명서_7"/>
      <sheetName val="2-1__경관조명_내역총괄표7"/>
      <sheetName val="_견적서7"/>
      <sheetName val="기초입력_DATA7"/>
      <sheetName val="1차_내역서7"/>
      <sheetName val="노임단가_(2)7"/>
      <sheetName val="BSD_(2)7"/>
      <sheetName val="인건비_7"/>
      <sheetName val="플랜트_설치7"/>
      <sheetName val="중기조종사_단위단가7"/>
      <sheetName val="신_분7"/>
      <sheetName val="DATA_입력란7"/>
      <sheetName val="3월팀계_7"/>
      <sheetName val="일위대가_7"/>
      <sheetName val="수량계산서_집계표(가설_신설_및_철거-을지로3가_3호선7"/>
      <sheetName val="수량계산서_집계표(신설-을지로3가_3호선)7"/>
      <sheetName val="수량계산서_집계표(철거-을지로3가_3호선)7"/>
      <sheetName val="C1_공사개요7"/>
      <sheetName val="A1_스케쥴7"/>
      <sheetName val="Customer_Databas7"/>
      <sheetName val="단가_및_재료비7"/>
      <sheetName val="아파트_내역7"/>
      <sheetName val="전선_및_전선관-자유로7"/>
      <sheetName val="AS포장복구_7"/>
      <sheetName val="G_R300경비7"/>
      <sheetName val="주공_갑지7"/>
      <sheetName val="내역서_제출6"/>
      <sheetName val="전차선로_물량표6"/>
      <sheetName val="27_건설이자6"/>
      <sheetName val="9-2_단지투자6"/>
      <sheetName val="9-4_단지분양수납6"/>
      <sheetName val="28_차입금상환계획6"/>
      <sheetName val="10-4_운하물류분양수납6"/>
      <sheetName val="10-2_운하물류투자6"/>
      <sheetName val="※_2010예산총괄표6"/>
      <sheetName val="경율산정_XLS6"/>
      <sheetName val="아파트_6"/>
      <sheetName val="2_고용보험료산출근거6"/>
      <sheetName val="8_설치품셈6"/>
      <sheetName val="조도계산서_(도서)6"/>
      <sheetName val="품셈_5"/>
      <sheetName val="BTL시설예산_기준표6"/>
      <sheetName val="5_학교신설예산_집행(01~08)6"/>
      <sheetName val="점검결과(08년_100교_지원)6"/>
      <sheetName val="1_동력공사5"/>
      <sheetName val="5_직원투입현황5"/>
      <sheetName val="EQUIP_LIST5"/>
      <sheetName val="6-1__관개량조서5"/>
      <sheetName val="내역-_CCTV6"/>
      <sheetName val="예정공정표_5"/>
      <sheetName val="실행내역서_5"/>
      <sheetName val="2_대외공문5"/>
      <sheetName val="1__조명내역서(조명설치)5"/>
      <sheetName val="2__조명내역서(조명자재)5"/>
      <sheetName val="전체내역_(2)5"/>
      <sheetName val="7_기-검-보_1005"/>
      <sheetName val="Raw_Data5"/>
      <sheetName val="1_설계조건5"/>
      <sheetName val="기본항목_입력5"/>
      <sheetName val="공사원가계산서_5"/>
      <sheetName val="8_PILE__(돌출)5"/>
      <sheetName val="참고)BTL시설예산_기준표5"/>
      <sheetName val="96_125"/>
      <sheetName val="GT_1050x6505"/>
      <sheetName val="PIPERACK_집계표5"/>
      <sheetName val="EQUIPEMENT_집계표5"/>
      <sheetName val="BUILDING_&amp;SHELTER_집계표5"/>
      <sheetName val="OTHERS_집계표5"/>
      <sheetName val="CONTROL_BD5"/>
      <sheetName val="LIFTING_DEVICE5"/>
      <sheetName val="사__업__비__수__지__예__산__서5"/>
      <sheetName val="표지_(3)5"/>
      <sheetName val="원가계산서_(2)5"/>
      <sheetName val="산출_근거15"/>
      <sheetName val="총괄_내역서5"/>
      <sheetName val="개별직종노임단가(2005_1)5"/>
      <sheetName val="2_토목공사5"/>
      <sheetName val="당월_인력5"/>
      <sheetName val="2_원가및인원현황집계5"/>
      <sheetName val="각사별공사비분개_5"/>
      <sheetName val="4_고용보험5"/>
      <sheetName val="3_고용보험료산출근거5"/>
      <sheetName val="소상_&quot;1&quot;5"/>
      <sheetName val="De_bai5"/>
      <sheetName val="단가일람_(2)5"/>
      <sheetName val="0_0ControlSheet5"/>
      <sheetName val="220_(2)5"/>
      <sheetName val="설산1_나5"/>
      <sheetName val="Man_Hole5"/>
      <sheetName val="표지_5"/>
      <sheetName val="지번별_묘묙소요내역5"/>
      <sheetName val="총괄_설계내역서5"/>
      <sheetName val="6_1_일위대가5"/>
      <sheetName val="효성CB_1P기초5"/>
      <sheetName val="화순_대리-다지리실행내역5"/>
      <sheetName val="예산서_5"/>
      <sheetName val="노임단가(2010_상)5"/>
      <sheetName val="토목내역서_(도급단가)5"/>
      <sheetName val="원가계산서_4"/>
      <sheetName val="공통가설내역서__(당사)5"/>
      <sheetName val="Isolasi_Luar_Dalam5"/>
      <sheetName val="Isolasi_Luar5"/>
      <sheetName val="breakdown_Price-Chuong5"/>
      <sheetName val="cable,_lighting,_switch5"/>
      <sheetName val="DonGia_VatTuLK5"/>
      <sheetName val="현장관리비_산출내역4"/>
      <sheetName val="Bang_chiet_tinh_TBA5"/>
      <sheetName val="2_1_受電設備棟2"/>
      <sheetName val="2_2_受・防火水槽2"/>
      <sheetName val="2_3_排水処理設備棟2"/>
      <sheetName val="2_4_倉庫棟2"/>
      <sheetName val="2_5_守衛棟2"/>
      <sheetName val="Div26_-_Elect2"/>
      <sheetName val="NSA_fr_Revit2"/>
      <sheetName val="MTO_REV_02"/>
      <sheetName val="Area_Cal2"/>
      <sheetName val="고객사_관리_코드4"/>
      <sheetName val="HD_1-4_세부공종별,업체별_내역(L4)2"/>
      <sheetName val="2F_회의실견적(5_14_일대)2"/>
      <sheetName val="노무비_근거1"/>
      <sheetName val="방배동내역_(총괄)2"/>
      <sheetName val="96보완계획7_122"/>
      <sheetName val="Khoi_luong"/>
      <sheetName val="Gia_vat_tu"/>
      <sheetName val="_내역서(ͭ?ͭ?_x0"/>
      <sheetName val="ESTI_"/>
      <sheetName val="Finishes_code2"/>
      <sheetName val="Scheme_B_Estimate_"/>
      <sheetName val="Breakdown_(B)"/>
      <sheetName val="Don_gia_chi_tiet"/>
      <sheetName val="5_학교신설예산_쎸⬅/"/>
      <sheetName val="5_학교신설예산_Ⴘ"/>
      <sheetName val="THU_T6"/>
      <sheetName val="Thu_chi_T04"/>
      <sheetName val="tong_du_toan"/>
      <sheetName val="97_사업추정(WEKI)"/>
      <sheetName val="공사금액_내역_(1)"/>
      <sheetName val="CCTV_수량(배관-송수가압장)"/>
      <sheetName val="7_경제성결과"/>
      <sheetName val="공사비_내역_(가)"/>
      <sheetName val="A_"/>
      <sheetName val="1_암사대교_산출"/>
      <sheetName val="[내역서(1)_xls]5_학교신설예산_Ⴘ퀀诋쌆蠅/᠀"/>
      <sheetName val="이서_빙등제"/>
      <sheetName val="원가계산서(생태쉼터)_"/>
      <sheetName val="방림_토공수량"/>
      <sheetName val="방림_토공_산출근거"/>
      <sheetName val="이서_빙등제_수량집계표"/>
      <sheetName val="이서_빙등제_산출근거"/>
      <sheetName val="자재_집계표"/>
      <sheetName val="FRP_PIPING_일위대가"/>
      <sheetName val="단면_(2)"/>
      <sheetName val="집_계_표"/>
      <sheetName val="6PILE脂鎙堀1"/>
      <sheetName val="공급기자재조서_(2)"/>
      <sheetName val="산출(동해선_본선)"/>
      <sheetName val="집계(동해본선)_"/>
      <sheetName val="환경기계공정표_"/>
      <sheetName val="공사예산하조서(O_K)"/>
      <sheetName val="전선_및_전선관"/>
      <sheetName val="°ø»ç¿¹»êÇÏÁ¶¼­(O_K)"/>
      <sheetName val="4_설계예산내역서"/>
      <sheetName val="3_내역서"/>
      <sheetName val="BEND_LOSS"/>
      <sheetName val="건축공사_집계표"/>
      <sheetName val="ateCodes?TimeCodes?Overrid钀"/>
      <sheetName val="PL_Vua"/>
      <sheetName val="거래罈_羌"/>
      <sheetName val="[내역서(1)_xls]5_학교신설예산_쎸⬅/"/>
      <sheetName val="[내역서(1)_xls]5_학교신설예산_Ⴘ"/>
      <sheetName val="ateCodes?TimeCodes?Overri_x0000__x0000__x0005__x0000_飀Ⱔ"/>
      <sheetName val="총괄(Í_x0000_Ԁ_x0000_"/>
      <sheetName val="ateCodes_x0000_TimeCodes_"/>
      <sheetName val="_내역서(ͭ_x0000_ͭ_x000"/>
      <sheetName val="철콘깨기단산"/>
      <sheetName val="경유"/>
      <sheetName val="휘발유"/>
      <sheetName val="CABLE SIZE-1"/>
      <sheetName val="분전반계산서(석관)"/>
      <sheetName val="AS포장복_x0000__x0000_"/>
      <sheetName val="신축넃䛀跡"/>
      <sheetName val="폐기물"/>
      <sheetName val="견적집계표(철콘)"/>
      <sheetName val="계좌분리郁蒬퀤蒭"/>
      <sheetName val="계좌분리蘎ꨃ㟑"/>
      <sheetName val="Summary_-_Budget"/>
      <sheetName val="KHỐI_LƯỢNG_THANH_TOÁN"/>
      <sheetName val="Phu_cap"/>
      <sheetName val="DB_ET200(R__A)"/>
      <sheetName val="Bill_2-VMart&amp;VPro"/>
      <sheetName val="Cst_Pkg-Eden"/>
      <sheetName val="c_&amp;_g_rhs"/>
      <sheetName val="11_산출(전열)"/>
      <sheetName val="6_산출(동력)"/>
      <sheetName val="7_산출(TRAY)"/>
      <sheetName val="TOSHIBA-Structure"/>
      <sheetName val="NKChungTu"/>
      <sheetName val="Detail"/>
      <sheetName val="cov-estimate"/>
      <sheetName val="chiet tinh"/>
      <sheetName val="5.학교신설예산 쎸⬅_"/>
      <sheetName val="_내역서(1).xls_5.학교신설예산 쎸⬅_"/>
      <sheetName val="_내역서(ͭ_ͭ__x001c__x0"/>
      <sheetName val="ateCodes_TimeCodes_"/>
      <sheetName val="5_학교신설예산_쎸⬅_瀀þ밀"/>
      <sheetName val="5_학교신설예산_Ⴘ퀀诋쌆蠅_᠀"/>
      <sheetName val="단가_(2_"/>
      <sheetName val="단가_(2_栀"/>
      <sheetName val="침하계"/>
      <sheetName val="unit_4"/>
      <sheetName val="6__안전관리비"/>
      <sheetName val="국도접속_차도부수량"/>
      <sheetName val="HARGA_MATERIAL"/>
      <sheetName val="A_일용노무비지급명세서"/>
      <sheetName val="[내역서(1)_xls]5_학교신설예산_쎸⬅/瀀þ밀1"/>
      <sheetName val="점검결과(08년Ԁ䀀㸎"/>
      <sheetName val="환경기계공정표_"/>
      <sheetName val="5_학교신설예산_집행(01~偤°"/>
      <sheetName val="정산산출서(배수판)"/>
      <sheetName val="아파트_Ö_x0000_"/>
      <sheetName val="아파트_⃖휬"/>
      <sheetName val="아파트_烖"/>
      <sheetName val="아파트_壖"/>
      <sheetName val="keyword"/>
      <sheetName val="과장"/>
      <sheetName val="공사기본내용입력"/>
      <sheetName val="조정금액결과표 (차수별)"/>
      <sheetName val="변화치수"/>
      <sheetName val="Executive Summary"/>
      <sheetName val="5201.2004"/>
      <sheetName val="GRAND REKAP"/>
      <sheetName val="맨홀수량집계"/>
      <sheetName val="Analisa"/>
      <sheetName val="REKAP"/>
      <sheetName val="수고조사야_x0002_"/>
      <sheetName val="계약"/>
      <sheetName val="거래刀_x0010__x0000_"/>
      <sheetName val="거래_x0000_⨀ﯥ"/>
      <sheetName val="AS포_x0000__x0000__x0000__x0000_"/>
      <sheetName val="재직자"/>
      <sheetName val="내역서-전기"/>
      <sheetName val="대장"/>
      <sheetName val="voucher"/>
      <sheetName val="거래_x0000__x0000__x0000_"/>
      <sheetName val="발행"/>
      <sheetName val="ateCodes?TimeCodes?Overri"/>
      <sheetName val="16-1"/>
      <sheetName val="설계조縨"/>
      <sheetName val="설계조"/>
      <sheetName val="계좌번호"/>
      <sheetName val="12월"/>
      <sheetName val="2007년1월"/>
      <sheetName val="__"/>
      <sheetName val="6PILE__(効_x0010__x0000__x0000_"/>
      <sheetName val="ประมาณการประตูหน้าต่าง_1"/>
      <sheetName val="schedule_1"/>
      <sheetName val="SITE_OFFICE1"/>
      <sheetName val="w't_table1"/>
      <sheetName val="1_변경범위2"/>
      <sheetName val="BOX(1_5X1_5)2"/>
      <sheetName val="선박별_배부2"/>
      <sheetName val="2000년_공정표2"/>
      <sheetName val="1062-X방향_1"/>
      <sheetName val="comps_LFY+2"/>
      <sheetName val="HDI_implied2"/>
      <sheetName val="임의_매출-수정전2"/>
      <sheetName val="채권_현황2"/>
      <sheetName val="CC_Down_load_07162"/>
      <sheetName val="요일별시간대별_근무인원_그래프2"/>
      <sheetName val="1_매출액2"/>
      <sheetName val="2_원가2"/>
      <sheetName val="10_인원2"/>
      <sheetName val="2_호선별예상실적2"/>
      <sheetName val="생산매출_(4)2"/>
      <sheetName val="1월_예산2"/>
      <sheetName val="대차대조표_(2)2"/>
      <sheetName val="환율_및_참고2"/>
      <sheetName val="_총괄표1"/>
      <sheetName val="3800-400_기계감가1"/>
      <sheetName val="ateCఀ저殑"/>
      <sheetName val="Project_Name1"/>
      <sheetName val="Deliver_Date1"/>
      <sheetName val="계장_품셈표"/>
      <sheetName val="1_사유서"/>
      <sheetName val="입찰내역_발주처_양식"/>
      <sheetName val="PTDG_(T3)"/>
      <sheetName val="PTDG_(T4)"/>
      <sheetName val="KLDT_DIEN"/>
      <sheetName val="Dinh_muc_CP_KTCB_khac"/>
      <sheetName val="TH_MTC"/>
      <sheetName val="TH_N_Cong"/>
      <sheetName val="3월팀계"/>
      <sheetName val="ate蠀᏿㤂"/>
      <sheetName val="Eq__Mobilization"/>
      <sheetName val="Analisa_Harga_Satuan"/>
      <sheetName val="Ⅴ-2_공종별내역"/>
      <sheetName val="배수내역_(2)"/>
      <sheetName val="[내역서(ͭͭ_x02"/>
      <sheetName val="[내역서(ͭͭ_x03"/>
      <sheetName val="[내역서(ͭͭ_x04"/>
      <sheetName val="[내역서(ͭͭ_x05"/>
      <sheetName val="[내역서(ͭͭ_x06"/>
      <sheetName val="[내역서(ͭͭ_x07"/>
      <sheetName val="[내역서(ͭͭ_x08"/>
      <sheetName val="[내역서(ͭͭ_x09"/>
      <sheetName val="[내역서(ͭͭ_x010"/>
      <sheetName val="[내역서(ͭͭ_x011"/>
      <sheetName val="[내역서(ͭͭ_x012"/>
      <sheetName val="[내역서(ͭͭ_x013"/>
      <sheetName val="[내역서(ͭͭ_x014"/>
      <sheetName val="(1)_국내_사이트_상세_주소_"/>
      <sheetName val="0__수출,수입_건수"/>
      <sheetName val="1__수출_해상_(LCL)_"/>
      <sheetName val="2__수출_항공_"/>
      <sheetName val="(2-3)_수출_특송"/>
      <sheetName val="3__수출_내륙_운송료"/>
      <sheetName val="4__수입_해상_(FCL)"/>
      <sheetName val="5__수입_해상_(LCL)_"/>
      <sheetName val="6__수입_항공_"/>
      <sheetName val="(3-4)_수입_특송_"/>
      <sheetName val="7__수입_내륙_운송료"/>
      <sheetName val="8__창고료"/>
      <sheetName val="9__내륙_운송"/>
      <sheetName val="10__추가_제안_및_기타"/>
      <sheetName val="운송내역_"/>
      <sheetName val="3_PT개발계획"/>
      <sheetName val="24_보증금(전신전화가입권)"/>
      <sheetName val="토공_total"/>
      <sheetName val="ENE-CAL_1"/>
      <sheetName val="배수공_시멘트_및_골재량_산출"/>
      <sheetName val="[내역서(1)_xls][내역서(1)_xls]5_____2"/>
      <sheetName val="[내역서(1)_xls][내역서(1)_xls]5_____3"/>
      <sheetName val="6PILEሀ䀀⨊脃ﲙ"/>
      <sheetName val="_갑__지_10"/>
      <sheetName val="AnalisaSIPIL_RIIL"/>
      <sheetName val="D_5243-ARAMCO"/>
      <sheetName val="D-4801_OXY"/>
      <sheetName val="Har_Sat"/>
      <sheetName val="[내역서(1)_xls]단가_(2\"/>
      <sheetName val="[내역서(1)_xls]단가_(2\栀"/>
      <sheetName val="[내역서(1)_xls][내역서(1)_xls]5_____4"/>
      <sheetName val="2000,9월_일위"/>
      <sheetName val="_기성청구서_양식_xlsx"/>
      <sheetName val="Bang_TH"/>
      <sheetName val="Du_toan"/>
      <sheetName val="수량계산서_집계표(가설_신설_및_철거-을지로3가_3ఀက"/>
      <sheetName val="단가_및邰㡗㡗"/>
      <sheetName val="06_일위대가목록"/>
      <sheetName val="견적대비(1차)_(2)"/>
      <sheetName val="대분류_ITEM별_분석(3월)"/>
      <sheetName val="2_损益表1"/>
      <sheetName val="4_PL1"/>
      <sheetName val="6_BS1"/>
      <sheetName val="9_차입,대여금1"/>
      <sheetName val="2-2_매출분석1"/>
      <sheetName val="6_PL1"/>
      <sheetName val="4_成本明细表1"/>
      <sheetName val="7_6大成本明细表1"/>
      <sheetName val="4_추정손익1"/>
      <sheetName val="2_매출원가1"/>
      <sheetName val="3_일반관리,영업외1"/>
      <sheetName val="5_管理费明细表1"/>
      <sheetName val="6_营业外收支明细表1"/>
      <sheetName val="3_收入明细表1"/>
      <sheetName val="토공(우물통,기타)_"/>
      <sheetName val="6PILE__(効"/>
      <sheetName val="ateCodes?TimeCod_xd978_ꀋᙰ0_x0000_頀{_x0000__x0000_堀簊夞ĸ"/>
      <sheetName val="ateCodes?TimeCod_xd80b_齒ꀈᙰ0_x0000__xd800_Y_x0000__x0000_堀䠊夙ĸ"/>
      <sheetName val="기계경비시간당손료목록"/>
      <sheetName val="Bang NS79"/>
      <sheetName val="간공설계서"/>
      <sheetName val="Progres"/>
      <sheetName val="H.Satuan"/>
      <sheetName val="노임명세"/>
      <sheetName val="II. CF"/>
      <sheetName val="BQ"/>
      <sheetName val="Total for Check"/>
      <sheetName val="DAFTAR_8"/>
      <sheetName val="DAFTAR 7"/>
      <sheetName val="SIZING"/>
      <sheetName val="공정진도현황(2069)"/>
      <sheetName val="공정진도현황(2단계2차)"/>
      <sheetName val="설명서ó"/>
      <sheetName val="Final Staff Chart"/>
      <sheetName val="7.Á¶Á÷Ç¥"/>
      <sheetName val="J直材4"/>
      <sheetName val="배수관공"/>
      <sheetName val="토공계산서(부체도로)"/>
      <sheetName val="자재분류"/>
      <sheetName val="자재청구서"/>
      <sheetName val="PILE"/>
      <sheetName val="ptvt"/>
      <sheetName val="1.R18 BF"/>
      <sheetName val="A"/>
      <sheetName val="G"/>
      <sheetName val="F-B"/>
      <sheetName val="H-J"/>
      <sheetName val="6.External works-R18"/>
      <sheetName val="Items"/>
      <sheetName val="Earthwork"/>
      <sheetName val="6MONTHS"/>
      <sheetName val="LE"/>
      <sheetName val="BLOCK C2"/>
      <sheetName val="품셈衆"/>
      <sheetName val="계좌분리(_xdae0_䛸+"/>
      <sheetName val="시선유도표지집계표"/>
      <sheetName val="단가_"/>
      <sheetName val="[내역서(1).xls][내역서(1).xls]5_____5"/>
      <sheetName val="[내역서(1).xls][내역서(1).xls]5_____6"/>
      <sheetName val="[내역서(1).xls][내역서(1).xls]5_____7"/>
      <sheetName val="[내역서(1).xls][내역서(1).xls]5_____8"/>
      <sheetName val="[내역서(1).xls][내역서(1).xls]단가_(2\_x0000_"/>
      <sheetName val="[내역서(1).xls][내역서(1).xls]단가_(2\栀"/>
      <sheetName val="[내역서(1).xls][내역서(1).xls]5_____9"/>
      <sheetName val="[내역서(1).xls][내역서(1).xls]5____10"/>
      <sheetName val="[내역서(1).xls][내역서(1).xls]5____11"/>
      <sheetName val="[내역서(1).xls][내역서(1).xls]5____12"/>
      <sheetName val="[내역서(1).xls][내역서(1).xls]5____13"/>
      <sheetName val="[내역서(1).xls][내역서(1).xls]5____14"/>
      <sheetName val="[내역서(1).xls][내역서(1).xls]______2"/>
      <sheetName val="[내역서(1).xls][내역서(1).xls]______3"/>
      <sheetName val="[내역서(1).xls][내역서(1)_xls]5_____2"/>
      <sheetName val="ateCodes?TimeCodes?OverrideSho_x0002_"/>
      <sheetName val="1.취수장"/>
      <sheetName val="발주참고#"/>
      <sheetName val="노임변동률"/>
      <sheetName val="총공사비"/>
      <sheetName val="수액원료4"/>
      <sheetName val="장비 (2)"/>
      <sheetName val="금리계산"/>
      <sheetName val="영외수지"/>
      <sheetName val="전동기"/>
      <sheetName val="단가(공통)"/>
      <sheetName val="대부예산서"/>
      <sheetName val="공정코드"/>
      <sheetName val="내역총괄"/>
      <sheetName val="내역총괄2"/>
      <sheetName val="내역총괄3"/>
      <sheetName val="선수금"/>
      <sheetName val="Total All By Trades highest 1st"/>
      <sheetName val="원가서"/>
      <sheetName val="M.o.S. Schedule"/>
      <sheetName val="기준액"/>
      <sheetName val="SCE_LOG"/>
      <sheetName val="PROJ. DATA"/>
      <sheetName val=" Beams Sched "/>
      <sheetName val="5.동별횡주관경"/>
      <sheetName val="별첨2.발주예정"/>
      <sheetName val="양식_x0000_"/>
      <sheetName val="부하자료"/>
      <sheetName val="3BL공동구 수량"/>
      <sheetName val="공사설계서"/>
      <sheetName val="동해묵호1내역"/>
      <sheetName val="준검 내역서"/>
      <sheetName val="통계자료"/>
      <sheetName val="93D"/>
      <sheetName val="94D"/>
      <sheetName val="95D"/>
      <sheetName val="      "/>
      <sheetName val="SJB-101"/>
      <sheetName val="SLAB&quot;1&quot;"/>
      <sheetName val="선급비용"/>
      <sheetName val="골재산출"/>
      <sheetName val="기술부대조건"/>
      <sheetName val="Total_All_By_Trades_highest_1st"/>
      <sheetName val="M_o_S__Schedule"/>
      <sheetName val="1_취수장"/>
      <sheetName val="PROJ__DATA"/>
      <sheetName val="_Beams_Sched_"/>
      <sheetName val="4차원가계산서"/>
      <sheetName val="토목내역 (2)"/>
      <sheetName val="Num_Word1"/>
      <sheetName val="시산표"/>
      <sheetName val="본사재고"/>
      <sheetName val="손익계산서PL"/>
      <sheetName val="현금성자산,단기금융"/>
      <sheetName val="매출채권"/>
      <sheetName val="대여,공사,분양미수금,미수수익"/>
      <sheetName val="미수금"/>
      <sheetName val="선급금,선급법인세,선급비용"/>
      <sheetName val="재고자산,임대주택자산"/>
      <sheetName val="장기금융,장기투자,보증금"/>
      <sheetName val="유,무형자산"/>
      <sheetName val="건중,장기미수금,보증금"/>
      <sheetName val="매입채무"/>
      <sheetName val="미지급금"/>
      <sheetName val="단기,장기차입금"/>
      <sheetName val="분양,임대선수금"/>
      <sheetName val="예수금,미지급비용,예수보증금"/>
      <sheetName val="장기보증금"/>
      <sheetName val="퇴충,하자충"/>
      <sheetName val="자본금"/>
      <sheetName val="영업부문분류"/>
      <sheetName val="BOX"/>
      <sheetName val="5.직倳즪စ즬_x0005_"/>
      <sheetName val="5.직耳䀪*"/>
      <sheetName val="BOM LIST 정리"/>
      <sheetName val="입고단가 LIST"/>
      <sheetName val="노원열병합__건축공사기성내역서"/>
      <sheetName val="_내역서(ͭ_ͭ___x"/>
      <sheetName val="조서입력"/>
      <sheetName val="적용기준"/>
      <sheetName val="설계_x0005_"/>
      <sheetName val="bi-mnthly rep Villa"/>
      <sheetName val="original"/>
      <sheetName val="1999-2000 MONTHLY CASHFLOW"/>
      <sheetName val="장비종합부표"/>
      <sheetName val="집계표_식재"/>
      <sheetName val="부표"/>
      <sheetName val="bi-mnthly_rep_Villa"/>
      <sheetName val="1999-2000_MONTHLY_CASHFLOW"/>
      <sheetName val="5_학교신설예산_쎸⬅_"/>
      <sheetName val="_내역서(ͭ_ͭ__x0"/>
      <sheetName val="_내역서(1)_xls_5_학교신설예산_쎸⬅_"/>
      <sheetName val="13.접속슬래브"/>
      <sheetName val="계측제어설비"/>
      <sheetName val="_______x005f_x0000___x005f_x0000__x005f_x001c___2"/>
      <sheetName val="ateCodes_x005f_x0000_TimeCodes_x000_2"/>
      <sheetName val="_______x005f_x005f_x005f_x0000___x005f_x005f_x0_2"/>
      <sheetName val="ateCodes_x005f_x005f_x005f_x0000_TimeCode_2"/>
      <sheetName val="__________x005f_x005f_x005f_x001c___x005f_x005f_2"/>
      <sheetName val="수_x005f_x0000_"/>
      <sheetName val="_______x005f_x005f_x005f_x0000___x005f_x005f_x0_3"/>
      <sheetName val="__________x005f_x005f_x005f_x001c___x005f_x005f_3"/>
      <sheetName val="수Å_x005f_x0000_"/>
      <sheetName val="수뢹_x005f_xdd4d_"/>
      <sheetName val="A__x005f_x0010__x005f_x0000_"/>
      <sheetName val="5____________x005f_x0000____x005f_x0000___2"/>
      <sheetName val="5.학교신설예산 Ⴘ_x005f_x0000_퀀诋쌆蠅/_x005f_x0000_᠀"/>
      <sheetName val="신축(_x005f_x0000__x005f_x0000__x005f_x0005_"/>
      <sheetName val="단가_및_재료_x005f_xdab0_"/>
      <sheetName val="_______x005f_x005f_x005f_x005f_x005f_x005f_x000_2"/>
      <sheetName val="ateCodes_x005f_x005f_x005f_x005f_x005f_x005f_x0_2"/>
      <sheetName val="__________x005f_x005f_x005f_x005f_x005f_x005f_x_2"/>
      <sheetName val="[내역서(1).xls]5____________x000_2"/>
      <sheetName val="11-2_아파_x005f_x0000__x005f_x0000_Ԁ_x005f_x0000_"/>
      <sheetName val="_내역서(ͭ_x005f_x005f_x005f_x0000_ͭ_x000"/>
      <sheetName val="_내역서(ͭ_ͭ__x005f_x005f_x005f_x001c___x"/>
      <sheetName val="사_x005f_x0000__x005f_x0000_Ԁ"/>
      <sheetName val="설계_x005f_x0000_"/>
      <sheetName val="전선_및_전선관-_x005f_x0000__x005f_x0000__x005f_x0005_"/>
      <sheetName val="신축(단위_x005f_x0000_"/>
      <sheetName val="Sheet㙸˯㦀ȼ_x005f_xda1b_!"/>
      <sheetName val="_내역서(ͭ?ͭ?_x005f_x001c__x0"/>
      <sheetName val="단가_(2\_x005f_x0000_"/>
      <sheetName val="A__x005f_x0010_"/>
      <sheetName val="사_x005f_x0000__x005f_x0000__x005f_x0000_"/>
      <sheetName val="방배동내역(_x005f_x0000__x005f_x0000_"/>
      <sheetName val="[내역서(1).xls]5__________x005f_x0000__2"/>
      <sheetName val="환경기계공정표_(3_x005f_x0000__x005f_x0000_"/>
      <sheetName val="환경기계공정표__x005f_x0005__x005f_x0000__x005f_x0000_"/>
      <sheetName val="_______x005f_x0000__x005f_x0000__x005f_x0000__x_2"/>
      <sheetName val="환경기계공정표_(3)_x005f_x0012_"/>
      <sheetName val="A_견_x005f_x0000__x005f_x0000_"/>
      <sheetName val="환경기계공정표__x005f_x0005_"/>
      <sheetName val="교각_x005f_x0000_"/>
      <sheetName val="ateCఀ_x005f_x0002_저殑"/>
      <sheetName val="[내역서(ͭ_x005f_x0000__x005f_x0000_Ԁ"/>
      <sheetName val="_______x005f_x005f_x005f_x0000___x005f_x005f_x0_4"/>
      <sheetName val="__________x005f_x005f_x005f_x001c___x005f_x005f_4"/>
      <sheetName val="ateCodes_TimeCodes_Overrid_x0_2"/>
      <sheetName val="_갑___x005f_x0000__x005f_x0000_"/>
      <sheetName val="6PILE脂鎙堀1_x005f_x0013__x005f_x0000__x005f_x0000_"/>
      <sheetName val="간¾_x005f_x0000_Ԁ"/>
      <sheetName val="_______x005f_x005f_x005f_x005f_x005f_x005f_x000_3"/>
      <sheetName val="__________x005f_x005f_x005f_x005f_x005f_x005f_x_3"/>
      <sheetName val="_______x005f_x005f_x005f_x005f_x005f_x005f_x005_2"/>
      <sheetName val="ateCodes_x005f_x005f_x005f_x005f_x005f_x005f_x0_3"/>
      <sheetName val="__________x005f_x005f_x005f_x005f_x005f_x005f_x_4"/>
      <sheetName val="경비일위계"/>
      <sheetName val="MP01"/>
      <sheetName val="MP02"/>
      <sheetName val="[내역서(ͭ_x0000_ͭ_x0000_ _x0000_ _x0000_가표"/>
      <sheetName val="[내역서(ͭ?ͭ? ? ?가표"/>
      <sheetName val="WORK"/>
      <sheetName val="공사비증감"/>
      <sheetName val="모래운반"/>
      <sheetName val="외동,공시지가"/>
      <sheetName val="내역- ꍈ┊"/>
      <sheetName val="내역- _xdc48_ʉꍈ&gt;"/>
      <sheetName val="참_x0000__x0000_Ԁ"/>
      <sheetName val="대차대조표"/>
      <sheetName val="재무비율"/>
      <sheetName val="일위대가(건축)"/>
      <sheetName val="보"/>
      <sheetName val="총괄(Í"/>
      <sheetName val="빙축열"/>
      <sheetName val="조건표"/>
      <sheetName val="업체별공사이행등급"/>
      <sheetName val="상용"/>
      <sheetName val="LS"/>
      <sheetName val="한전일위"/>
      <sheetName val="⑤항목별2"/>
      <sheetName val="DGG"/>
      <sheetName val="MAIN GATE HOUSE"/>
      <sheetName val="_내역서(ͭ_x005f"/>
      <sheetName val="ateCodes_x005f"/>
      <sheetName val="ee-prop"/>
      <sheetName val="자재단가_x0000__x0000__x0005_"/>
      <sheetName val="판넬"/>
      <sheetName val="철골"/>
      <sheetName val="수량계산서_집계표(철거-_x0000__x0000_즈ɐ:_xdef0_㄀_x0000__x0000_"/>
      <sheetName val="수량계산서_집계표(철거-_x0000__x0000_즈ɐ:⏰ヿ_x0000__x0000_"/>
      <sheetName val="수량계산서_집계표(철거-:_xdf10_‭_x0000__x0000__x0000__x0000_冘˚"/>
      <sheetName val="수량계산서_집계표(철거-:ᬐ‭_x0000__x0000__x0000__x0000_冘˚"/>
      <sheetName val="C1_공䂏࿢ﱼ"/>
      <sheetName val="C1_공_x0000_Ԁ"/>
      <sheetName val="조선용암면"/>
      <sheetName val="TONG NUOCGOC"/>
      <sheetName val="단가_및_재료?"/>
      <sheetName val="Doi so"/>
      <sheetName val="_내역서(1).xls_5.학교신설예산 Ⴘ"/>
      <sheetName val="Main"/>
      <sheetName val="Bar-Data"/>
      <sheetName val="적용요율"/>
      <sheetName val="전선_및_전선관-자㢾㝎"/>
      <sheetName val="보.기둥표"/>
      <sheetName val="PROFILE"/>
      <sheetName val="마감재표"/>
      <sheetName val="창호"/>
      <sheetName val="6-1. 관개량_x0000__x0000_"/>
      <sheetName val="MIJIBI"/>
      <sheetName val="노임9월"/>
      <sheetName val="사고96"/>
      <sheetName val="자금운용계획표"/>
      <sheetName val="남양내역"/>
      <sheetName val="제품목록"/>
      <sheetName val="lee"/>
      <sheetName val="집계표소트"/>
      <sheetName val="ATM기초철가"/>
      <sheetName val="인원계획-미화"/>
      <sheetName val="환산"/>
      <sheetName val="통계연보"/>
      <sheetName val="2.1  노무비 평균단가산출"/>
      <sheetName val="인력투입산출"/>
      <sheetName val="전체실적"/>
      <sheetName val="효율계획(당월)"/>
      <sheetName val="제조부문배부"/>
      <sheetName val="SCH- % WT."/>
      <sheetName val="OVERALL CURVE"/>
      <sheetName val="Input_Data"/>
      <sheetName val="건____재"/>
      <sheetName val="환경기계공정표_腰╙_x0000__x0000_"/>
      <sheetName val="환경기계공정표_〃ᇐᖗ"/>
      <sheetName val="prog-C1"/>
      <sheetName val="geo-C1"/>
      <sheetName val="geo-C2"/>
      <sheetName val="WIP"/>
      <sheetName val="기성내역"/>
      <sheetName val="C1_공_x0000__x0000_"/>
      <sheetName val="C1_공_x0019__x0000__x0000_"/>
      <sheetName val="CAP"/>
      <sheetName val="dV&amp;Cl"/>
      <sheetName val="Var."/>
      <sheetName val="R"/>
      <sheetName val="산거각호표"/>
      <sheetName val="C1_공_x001c_"/>
      <sheetName val="ateCodeñ"/>
      <sheetName val="C1_공则_x0010__x0000_"/>
      <sheetName val="[내역서(ͭ_x005f_x0000_ͭ_x005f_x005f_x000"/>
      <sheetName val="[내역서(ͭ?ͭ?_x005f_x001c_?_x005f_x005f_x"/>
      <sheetName val="_내역서(ͭ_x005f_x005f_x005F?"/>
      <sheetName val="ateCodes_x005f_x005f_x000"/>
      <sheetName val="_내역서(ͭ_ͭ__x005f_x005f_x00"/>
      <sheetName val="단가_및邰㡗?㡗"/>
      <sheetName val="철거폐쇄,고재"/>
      <sheetName val="자재,부설,부대공(50)"/>
      <sheetName val="재료,부설(80)"/>
      <sheetName val="품셈Å"/>
      <sheetName val="현장지지물물량"/>
      <sheetName val="3-2. 산재고용보험료"/>
      <sheetName val="ateCodes?TimeCod_xd978_ꀋᙰ0"/>
      <sheetName val="ateCodes?TimeCod_xd80b_齒ꀈᙰ0"/>
      <sheetName val="흑관"/>
      <sheetName val="산출2-기기동력"/>
      <sheetName val="설계개요"/>
      <sheetName val="BCulSch"/>
      <sheetName val="statement"/>
      <sheetName val="Build Up Rates"/>
      <sheetName val="M1master"/>
      <sheetName val="건물"/>
      <sheetName val="1분기재고장"/>
      <sheetName val="2분기재고"/>
      <sheetName val="단면"/>
      <sheetName val="수입2"/>
      <sheetName val="결재판(삭제하지말아주세요)"/>
      <sheetName val="거래⺿g"/>
      <sheetName val="SANBAISU"/>
      <sheetName val="건축공사椂軶"/>
      <sheetName val="건축공사椂軶저"/>
      <sheetName val="건축공사椂軶 "/>
      <sheetName val="건축공사栀ᬧ,"/>
      <sheetName val="건축공사糥嬲䀂"/>
      <sheetName val="ateCode勱"/>
      <sheetName val="투자계획집계표"/>
      <sheetName val="ACC NW"/>
      <sheetName val="유지보수"/>
      <sheetName val="이동통신"/>
      <sheetName val="II SYS"/>
      <sheetName val="해외"/>
      <sheetName val="LOOKUP"/>
      <sheetName val="협가표"/>
      <sheetName val="3연box"/>
      <sheetName val="총괄(데이소劼"/>
      <sheetName val="환경검토직접경비"/>
      <sheetName val="환경검토총괄"/>
      <sheetName val="환경검토직접인건비"/>
      <sheetName val="단가_(2_x0000__x0000_"/>
      <sheetName val="중강당 내역"/>
      <sheetName val="빌딩 안내"/>
      <sheetName val="TEMP (9)"/>
      <sheetName val="初期値設定"/>
      <sheetName val="纏め表"/>
      <sheetName val="見積総括表"/>
      <sheetName val="환경기계공정표_¹_x0000_Ԁ_x0000_"/>
      <sheetName val="steam table"/>
      <sheetName val="配管BQ"/>
      <sheetName val="비열"/>
      <sheetName val="PLCAL"/>
      <sheetName val="5.BANG I"/>
      <sheetName val="Public Health systems"/>
      <sheetName val="Annual_CFs_Asset"/>
      <sheetName val="마산방향철근집계"/>
      <sheetName val="TH VL, NC, DDHT Thanhphuoc"/>
      <sheetName val="대창(함평)"/>
      <sheetName val="대창(장성)"/>
      <sheetName val="Cost increment"/>
      <sheetName val="XLR_NoRangeSheet"/>
      <sheetName val="Define finishing"/>
      <sheetName val="Khoi_luong1"/>
      <sheetName val="ESTI_1"/>
      <sheetName val="Gia_vat_tu1"/>
      <sheetName val="Don_gia_chi_tiet1"/>
      <sheetName val="Breakdown_(B)1"/>
      <sheetName val="Scheme_B_Estimate_1"/>
      <sheetName val="5_학교신설예산_쎸⬅/1"/>
      <sheetName val="5_학교신설예산_Ⴘ1"/>
      <sheetName val="97_사업추정(WEKI)1"/>
      <sheetName val="공사금액_내역_(1)1"/>
      <sheetName val="tong_du_toan1"/>
      <sheetName val="Summary_-_Budget1"/>
      <sheetName val="PL_Vua1"/>
      <sheetName val="[내역서(1)_xls]5_학교신설예산_쎸⬅/1"/>
      <sheetName val="THU_T61"/>
      <sheetName val="Thu_chi_T041"/>
      <sheetName val="KHỐI_LƯỢNG_THANH_TOÁN1"/>
      <sheetName val="DB_ET200(R__A)1"/>
      <sheetName val="c_&amp;_g_rhs1"/>
      <sheetName val="Phu_cap1"/>
      <sheetName val="Cst_Pkg-Eden1"/>
      <sheetName val="11_산출(전열)1"/>
      <sheetName val="6_산출(동력)1"/>
      <sheetName val="7_산출(TRAY)1"/>
      <sheetName val="Bill_2-VMart&amp;VPro1"/>
      <sheetName val="tong_hop_v_tu"/>
      <sheetName val="H_Satuan"/>
      <sheetName val="Executive_Summary"/>
      <sheetName val="5201_2004"/>
      <sheetName val="GRAND_REKAP"/>
      <sheetName val="5_BANG_I"/>
      <sheetName val="Public_Health_systems"/>
      <sheetName val="TH_VL,_NC,_DDHT_Thanhphuoc"/>
      <sheetName val="Cost_increment"/>
      <sheetName val="Define_finishing"/>
      <sheetName val="C1_공_x0019__x0000_꤀"/>
      <sheetName val="C1_공r_x0000__x0000_"/>
      <sheetName val="C1_공_x0019__x0000_倀"/>
      <sheetName val="내역서(교량)전체"/>
      <sheetName val="소일위대가코드표"/>
      <sheetName val="기초목"/>
      <sheetName val="S-Curve"/>
      <sheetName val="부재력정리"/>
      <sheetName val="TYPE-B 평균H"/>
      <sheetName val="B1"/>
      <sheetName val="Civil"/>
      <sheetName val="CIM"/>
      <sheetName val="DD EST."/>
      <sheetName val="KP_List"/>
      <sheetName val="LIBRARY"/>
      <sheetName val="GESTION FICHE"/>
      <sheetName val="TRADUCTION LISTES"/>
      <sheetName val="Schedule S-Curve Revision#3"/>
      <sheetName val="RFP002"/>
      <sheetName val="BOQ segment3 (Part C-H)"/>
      <sheetName val="VF Full Recon"/>
      <sheetName val="BOQ segment3 (PartB)"/>
      <sheetName val="eqpmt"/>
      <sheetName val="性能取り纏め"/>
      <sheetName val="Materials"/>
      <sheetName val="見管ＧＴ"/>
      <sheetName val="EXR"/>
      <sheetName val="NDC HW Repair"/>
      <sheetName val="Derive"/>
      <sheetName val="prod-rates2"/>
      <sheetName val="CFA"/>
      <sheetName val="Main Bldg."/>
      <sheetName val="prices"/>
      <sheetName val="RATES"/>
      <sheetName val="Summary - Buildings"/>
      <sheetName val="CashFlwProjections"/>
      <sheetName val="NC"/>
      <sheetName val="取纏"/>
      <sheetName val="INPUT DATA HERE"/>
      <sheetName val="想定価格"/>
      <sheetName val="costing_ESDV"/>
      <sheetName val="costing_FE"/>
      <sheetName val="costing_Misc"/>
      <sheetName val="costing_MOV"/>
      <sheetName val="costing_Press"/>
      <sheetName val="eq_data"/>
      <sheetName val="Equipt Rental"/>
      <sheetName val="BM DATA SHEET"/>
      <sheetName val="Electrical Pricelist"/>
      <sheetName val="Other"/>
      <sheetName val="Building"/>
      <sheetName val="Dico"/>
      <sheetName val="C_E"/>
      <sheetName val="ACMV"/>
      <sheetName val="markup"/>
      <sheetName val="Resource"/>
      <sheetName val="A.1.1(e)"/>
      <sheetName val="A.1.4"/>
      <sheetName val="A.1.1(d)"/>
      <sheetName val="A.1.3"/>
      <sheetName val="A.1.2(a)"/>
      <sheetName val="A.1.1(a)"/>
      <sheetName val="적용환율"/>
      <sheetName val="corbeldatail"/>
      <sheetName val="I.설계조건"/>
      <sheetName val="Bill 2 -RETAIL"/>
      <sheetName val="tabulation (comparison)"/>
      <sheetName val="TABLO-3"/>
      <sheetName val="LOADS"/>
      <sheetName val="Code 07"/>
      <sheetName val="ph2B cnstrction sched."/>
      <sheetName val="도기류"/>
      <sheetName val="3-DIV3"/>
      <sheetName val="ANL SNI"/>
      <sheetName val="Bahan"/>
      <sheetName val="Cash Out-Plan"/>
      <sheetName val="_내역서(ͭͭ_x001c__x001c_가표"/>
      <sheetName val="5.학교신설예산 쎸⬅_瀀þ밀"/>
      <sheetName val="5.학교신설예산 Ⴘ퀀诋쌆蠅_᠀"/>
      <sheetName val="_내역서(1).xls_5.학교신설예산 쎸⬅_瀀þ밀"/>
      <sheetName val="_내역서(1).xls_5.학교신설예산 Ⴘ퀀诋쌆蠅_᠀"/>
      <sheetName val="_내역서(׃"/>
      <sheetName val="_내역서(ͭԀ"/>
      <sheetName val="수뢹_"/>
      <sheetName val="Sheet㙸˯㦀ȼ_"/>
      <sheetName val="_내역서(1)_xls_5_학교신설예산_쎸⬅_瀀þ밀"/>
      <sheetName val="ateCodes_TimeCodes_Overrid_x0005_钀"/>
      <sheetName val="_내역서(ͭͭ가"/>
      <sheetName val="_내역서(ͭͭ_x001c__x02"/>
      <sheetName val="_내역서(ͭͭ_x001c__x03"/>
      <sheetName val="_내역서(ͭͭ_x001c__x04"/>
      <sheetName val="_내역서(ͭͭ_x001c__x05"/>
      <sheetName val="_내역서(ͭͭ_x001c__x06"/>
      <sheetName val="_내역서(ͭͭ_x001c__x07"/>
      <sheetName val="_내역서(ͭͭ_x001c__x08"/>
      <sheetName val="_내역서(ͭͭ_x001c__x09"/>
      <sheetName val="_내역서(ͭͭ_x001c__x010"/>
      <sheetName val="_내역서(ͭͭ_x001c__x011"/>
      <sheetName val="_내역서(ͭͭ_x001c__x012"/>
      <sheetName val="_내역서(ͭͭ_x001c__x013"/>
      <sheetName val="_내역서(ͭͭ_x001c__x014"/>
      <sheetName val="_내역서(1).xls_5_학교신설예산_쎸⬅_瀀þ밀"/>
      <sheetName val="_내역서(1).xls_5_학교신설예산_Ⴘ퀀诋쌆蠅_᠀"/>
      <sheetName val="_내역서(1).xls__내역서(1).xls_5_____2"/>
      <sheetName val="_내역서(1).xls__내역서(1).xls_5_____3"/>
      <sheetName val="ateCodes_TimeCodes_Overri_x0005_飀Ⱔ"/>
      <sheetName val="_내역서(1).xls_단가_(2_"/>
      <sheetName val="_내역서(1).xls_단가_(2_栀"/>
      <sheetName val="_내역서(1).xls__내역서(1).xls_5_____4"/>
      <sheetName val="ateCodes_TimeCodes_OverrideSho"/>
      <sheetName val="ateCodes_TimeCodes_OverrideSho适"/>
      <sheetName val="ateCodes_TimeCodes_OverrideSho렀"/>
      <sheetName val="ateCodes_TimeCodes_OverrideSho"/>
      <sheetName val="ateCodes_TimeCodes_OverrideSho退"/>
      <sheetName val="ateCodes_TimeCodes_OverrideSho᠀"/>
      <sheetName val="ateCodes_TimeCodes_OverrideSho怀"/>
      <sheetName val="ateCodes_TimeCodes_OverrideSho逃"/>
      <sheetName val="ateCodes_TimeCodes_Overrid"/>
      <sheetName val="ateCodes_TimeCodes_Overri"/>
      <sheetName val="_내역서(1)_xls_5_학교신설예산_Ⴘ퀀诋쌆蠅_᠀"/>
      <sheetName val="ateCodes_TimeCodes_Overrid钀"/>
      <sheetName val="_내역서(1)_xls_5_학교신설예산_Ⴘ"/>
      <sheetName val="총괄(데䀀_䰗"/>
      <sheetName val="_내역서(1).xls__내역서(1).xls_5____10"/>
      <sheetName val="_내역서(1).xls__내역서(1).xls_5____11"/>
      <sheetName val="_내역서(1).xls__내역서(1).xls_5____12"/>
      <sheetName val="_내역서(1).xls__내역서(1).xls_5____13"/>
      <sheetName val="_내역서(1).xls__내역서(1).xls_단가_(2_"/>
      <sheetName val="_내역서(1).xls__내역서(1).xls_단가_(2_栀"/>
      <sheetName val="_내역서(1).xls__내역서(1).xls_5____14"/>
      <sheetName val="_내역서(1).xls__내역서(1).xls_5_____5"/>
      <sheetName val="_내역서(1).xls__내역서(1).xls_5_____6"/>
      <sheetName val="_내역서(1).xls__내역서(1).xls_5_____7"/>
      <sheetName val="_내역서(1).xls__내역서(1).xls_5_____8"/>
      <sheetName val="_내역서(1).xls__내역서(1).xls_______2"/>
      <sheetName val="_내역서(1).xls__내역서(1).xls_______3"/>
      <sheetName val="_내역서(1).xls__내역서(1).xls_5_____9"/>
      <sheetName val="_내역서(1).xls__내역서(1)_xls_5_____2"/>
      <sheetName val="ateCodes_TimeCodes_OverrideSho_x0002_"/>
      <sheetName val="5.직耳䀪_"/>
      <sheetName val="ateCodes_TimeCod_xd978_ꀋᙰ0頀{堀簊夞ĸ"/>
      <sheetName val="ateCodes_TimeCod_xd80b_齒ꀈᙰ0_xd800_Y堀䠊夙ĸ"/>
      <sheetName val="_내역서(1)_xls_5_학교신설예산_쎸⬅_瀀þ밀1"/>
      <sheetName val="_내역서(1)_xls__내역서(1)_xls_5_____2"/>
      <sheetName val="_내역서(1)_xls_단가_(2_"/>
      <sheetName val="_내역서(1)_xls_단가_(2_栀"/>
      <sheetName val="_내역서(1)_xls__내역서(1)_xls_5_____3"/>
      <sheetName val="_내역서(1)_xls__내역서(1)_xls_5_____4"/>
      <sheetName val="_내역서(ͭͭ_x02"/>
      <sheetName val="_내역서(ͭͭ_x03"/>
      <sheetName val="_내역서(ͭͭ_x04"/>
      <sheetName val="_내역서(ͭͭ_x05"/>
      <sheetName val="_내역서(ͭͭ_x06"/>
      <sheetName val="_내역서(ͭͭ_x07"/>
      <sheetName val="_내역서(ͭͭ_x08"/>
      <sheetName val="_내역서(ͭͭ_x09"/>
      <sheetName val="_내역서(ͭͭ_x010"/>
      <sheetName val="_내역서(ͭͭ_x011"/>
      <sheetName val="_내역서(ͭͭ_x012"/>
      <sheetName val="_내역서(ͭͭ_x013"/>
      <sheetName val="_내역서(ͭͭ_x014"/>
      <sheetName val="5.학교신설예산 Ⴘ_x005f_x0000_퀀诋쌆蠅__x005f_x0000_᠀"/>
      <sheetName val="_내역서(1).xls_5____________x000_2"/>
      <sheetName val="_내역서(ͭ_ͭ__x005f_x001c__x0"/>
      <sheetName val="단가_(2__x005f_x0000_"/>
      <sheetName val="_내역서(1).xls_5__________x005f_x0000__2"/>
      <sheetName val="_내역서(ͭ_x005f_x0000__x005f_x0000_Ԁ"/>
      <sheetName val="5_학교신설예산_쎸⬅_1"/>
      <sheetName val="_내역서(1)_xls_5_학교신설예산_쎸⬅_1"/>
      <sheetName val="단가_및_재료_"/>
      <sheetName val="참"/>
      <sheetName val="자바라1"/>
      <sheetName val="ateCodes?TimeCod�齒ꀈᙰ0_x0000_�Y_x0000__x0000_堀䠊夙ĸ"/>
      <sheetName val="실DATA_10"/>
      <sheetName val="코스모공장_(어음)9"/>
      <sheetName val="A_견적9"/>
      <sheetName val="환경기계공정표_(3)9"/>
      <sheetName val="Sheet1_(2)9"/>
      <sheetName val="총_원가계산9"/>
      <sheetName val="단가_(2)9"/>
      <sheetName val="6PILE__(돌출)9"/>
      <sheetName val="총괄갑_9"/>
      <sheetName val="11-2_아파트내역9"/>
      <sheetName val="내역서1999_8최종9"/>
      <sheetName val="기초입력_DATA8"/>
      <sheetName val="노임단가_(2)8"/>
      <sheetName val="1차_내역서8"/>
      <sheetName val="BSD_(2)8"/>
      <sheetName val="설명서_8"/>
      <sheetName val="2-1__경관조명_내역총괄표8"/>
      <sheetName val="_견적서8"/>
      <sheetName val="플랜트_설치8"/>
      <sheetName val="중기조종사_단위단가8"/>
      <sheetName val="신_분8"/>
      <sheetName val="인건비_8"/>
      <sheetName val="수량계산서_집계표(가설_신설_및_철거-을지로3가_3호선8"/>
      <sheetName val="수량계산서_집계표(신설-을지로3가_3호선)8"/>
      <sheetName val="수량계산서_집계표(철거-을지로3가_3호선)8"/>
      <sheetName val="일위대가_8"/>
      <sheetName val="전선_및_전선관-자유로8"/>
      <sheetName val="3월팀계_8"/>
      <sheetName val="Customer_Databas8"/>
      <sheetName val="C1_공사개요8"/>
      <sheetName val="A1_스케쥴8"/>
      <sheetName val="단가_및_재료비8"/>
      <sheetName val="AS포장복구_8"/>
      <sheetName val="G_R300경비8"/>
      <sheetName val="아파트_내역8"/>
      <sheetName val="DATA_입력란8"/>
      <sheetName val="주공_갑지8"/>
      <sheetName val="경율산정_XLS7"/>
      <sheetName val="전차선로_물량표7"/>
      <sheetName val="조도계산서_(도서)7"/>
      <sheetName val="1_동력공사6"/>
      <sheetName val="2_고용보험료산출근거7"/>
      <sheetName val="27_건설이자7"/>
      <sheetName val="9-2_단지투자7"/>
      <sheetName val="9-4_단지분양수납7"/>
      <sheetName val="28_차입금상환계획7"/>
      <sheetName val="10-4_운하물류분양수납7"/>
      <sheetName val="10-2_운하물류투자7"/>
      <sheetName val="※_2010예산총괄표7"/>
      <sheetName val="내역서_제출7"/>
      <sheetName val="8_설치품셈7"/>
      <sheetName val="아파트_7"/>
      <sheetName val="품셈_6"/>
      <sheetName val="1_설계조건6"/>
      <sheetName val="EQUIP_LIST6"/>
      <sheetName val="6-1__관개량조서6"/>
      <sheetName val="BTL시설예산_기준표7"/>
      <sheetName val="5_학교신설예산_집행(01~08)7"/>
      <sheetName val="점검결과(08년_100교_지원)7"/>
      <sheetName val="표지_(3)6"/>
      <sheetName val="원가계산서_(2)6"/>
      <sheetName val="산출_근거16"/>
      <sheetName val="Raw_Data6"/>
      <sheetName val="전체내역_(2)6"/>
      <sheetName val="실행내역서_6"/>
      <sheetName val="5_직원투입현황6"/>
      <sheetName val="예정공정표_6"/>
      <sheetName val="7_기-검-보_1006"/>
      <sheetName val="내역-_CCTV7"/>
      <sheetName val="2_대외공문6"/>
      <sheetName val="기본항목_입력6"/>
      <sheetName val="공사원가계산서_6"/>
      <sheetName val="1__조명내역서(조명설치)6"/>
      <sheetName val="2__조명내역서(조명자재)6"/>
      <sheetName val="8_PILE__(돌출)6"/>
      <sheetName val="참고)BTL시설예산_기준표6"/>
      <sheetName val="단가일람_(2)6"/>
      <sheetName val="96_126"/>
      <sheetName val="GT_1050x6506"/>
      <sheetName val="2_토목공사6"/>
      <sheetName val="사__업__비__수__지__예__산__서6"/>
      <sheetName val="각사별공사비분개_6"/>
      <sheetName val="개별직종노임단가(2005_1)6"/>
      <sheetName val="총괄_내역서6"/>
      <sheetName val="4_고용보험6"/>
      <sheetName val="3_고용보험료산출근거6"/>
      <sheetName val="PIPERACK_집계표6"/>
      <sheetName val="EQUIPEMENT_집계표6"/>
      <sheetName val="BUILDING_&amp;SHELTER_집계표6"/>
      <sheetName val="OTHERS_집계표6"/>
      <sheetName val="CONTROL_BD6"/>
      <sheetName val="LIFTING_DEVICE6"/>
      <sheetName val="220_(2)6"/>
      <sheetName val="Man_Hole6"/>
      <sheetName val="소상_&quot;1&quot;6"/>
      <sheetName val="당월_인력6"/>
      <sheetName val="0_0ControlSheet6"/>
      <sheetName val="설산1_나6"/>
      <sheetName val="공통가설내역서__(당사)6"/>
      <sheetName val="2_원가및인원현황집계6"/>
      <sheetName val="De_bai6"/>
      <sheetName val="표지_6"/>
      <sheetName val="지번별_묘묙소요내역6"/>
      <sheetName val="총괄_설계내역서6"/>
      <sheetName val="6_1_일위대가6"/>
      <sheetName val="효성CB_1P기초6"/>
      <sheetName val="예산서_6"/>
      <sheetName val="화순_대리-다지리실행내역6"/>
      <sheetName val="노임단가(2010_상)6"/>
      <sheetName val="원가계산서_5"/>
      <sheetName val="토목내역서_(도급단가)6"/>
      <sheetName val="Isolasi_Luar_Dalam6"/>
      <sheetName val="Isolasi_Luar6"/>
      <sheetName val="breakdown_Price-Chuong6"/>
      <sheetName val="cable,_lighting,_switch6"/>
      <sheetName val="DonGia_VatTuLK6"/>
      <sheetName val="Bang_chiet_tinh_TBA6"/>
      <sheetName val="현장관리비_산출내역5"/>
      <sheetName val="고객사_관리_코드5"/>
      <sheetName val="2_1_受電設備棟3"/>
      <sheetName val="2_2_受・防火水槽3"/>
      <sheetName val="2_3_排水処理設備棟3"/>
      <sheetName val="2_4_倉庫棟3"/>
      <sheetName val="2_5_守衛棟3"/>
      <sheetName val="Div26_-_Elect3"/>
      <sheetName val="NSA_fr_Revit3"/>
      <sheetName val="MTO_REV_03"/>
      <sheetName val="Area_Cal3"/>
      <sheetName val="96보완계획7_123"/>
      <sheetName val="공사비_내역_(가)1"/>
      <sheetName val="방배동내역_(총괄)3"/>
      <sheetName val="노무비_근거2"/>
      <sheetName val="Finishes_code3"/>
      <sheetName val="HD_1-4_세부공종별,업체별_내역(L4)3"/>
      <sheetName val="2F_회의실견적(5_14_일대)3"/>
      <sheetName val="FRP_PIPING_일위대가1"/>
      <sheetName val="CCTV_수량(배관-송수가압장)1"/>
      <sheetName val="공사예산하조서(O_K)1"/>
      <sheetName val="전선_및_전선관1"/>
      <sheetName val="°ø»ç¿¹»êÇÏÁ¶¼­(O_K)1"/>
      <sheetName val="4_설계예산내역서1"/>
      <sheetName val="3_내역서1"/>
      <sheetName val="BEND_LOSS1"/>
      <sheetName val="건축공사_집계표1"/>
      <sheetName val="7_경제성결과1"/>
      <sheetName val="공급기자재조서_(2)1"/>
      <sheetName val="산출(동해선_본선)1"/>
      <sheetName val="집계(동해본선)_1"/>
      <sheetName val="거래罈_羌1"/>
      <sheetName val="이서_빙등제1"/>
      <sheetName val="원가계산서(생태쉼터)_1"/>
      <sheetName val="방림_토공수량1"/>
      <sheetName val="방림_토공_산출근거1"/>
      <sheetName val="이서_빙등제_수량집계표1"/>
      <sheetName val="이서_빙등제_산출근거1"/>
      <sheetName val="자재_집계표1"/>
      <sheetName val="1_암사대교_산출1"/>
      <sheetName val="단면_(2)1"/>
      <sheetName val="집_계_표1"/>
      <sheetName val="unit_41"/>
      <sheetName val="[내역서(1)_xls]5_학교신설예산_Ⴘ1"/>
      <sheetName val="HARGA_MATERIAL1"/>
      <sheetName val="_갑__지_11"/>
      <sheetName val="[내역서(1)_xls]5_학교신설예산_쎸⬅/瀀þ밀2"/>
      <sheetName val="6__안전관리비1"/>
      <sheetName val="국도접속_차도부수량1"/>
      <sheetName val="[내역서(1)_xls]5_학교신설예산_Ⴘ퀀诋쌆蠅/᠀1"/>
      <sheetName val="A_일용노무비지급명세서1"/>
      <sheetName val="5_학교신설예산_집행(01~偤°1"/>
      <sheetName val="ateCodes?TimeCodes?Overri飀Ⱔ"/>
      <sheetName val="chiet_tinh"/>
      <sheetName val="Price_Database"/>
      <sheetName val="붙임4_앵커볼트"/>
      <sheetName val="붙임2_최대수평하중"/>
      <sheetName val="[내역서(1)_xls][내역서(1)_xls]5____10"/>
      <sheetName val="[내역서(1)_xls][내역서(1)_xls]5____11"/>
      <sheetName val="[내역서(1)_xls][내역서(1)_xls]5____12"/>
      <sheetName val="[내역서(1)_xls][내역서(1)_xls]5____13"/>
      <sheetName val="[내역서(1)_xls][내역서(1)_xls]단가_(2\"/>
      <sheetName val="[내역서(1)_xls][내역서(1)_xls]단가_(2\栀"/>
      <sheetName val="[내역서(1)_xls][내역서(1)_xls]5____14"/>
      <sheetName val="[내역서(1)_xls][내역서(1)_xls]5_____5"/>
      <sheetName val="[내역서(1)_xls][내역서(1)_xls]5_____6"/>
      <sheetName val="[내역서(1)_xls][내역서(1)_xls]5_____7"/>
      <sheetName val="[내역서(1)_xls][내역서(1)_xls]5_____8"/>
      <sheetName val="[내역서(1)_xls][내역서(1)_xls]______2"/>
      <sheetName val="[내역서(1)_xls][내역서(1)_xls]______3"/>
      <sheetName val="[내역서(1)_xls][내역서(1)_xls]5_____9"/>
      <sheetName val="[내역서(1)_xls][내역서(1)_xls]5_____1"/>
      <sheetName val="ate"/>
      <sheetName val="Total_for_Check"/>
      <sheetName val="DAFTAR_7"/>
      <sheetName val="II__CF"/>
      <sheetName val="Final_Staff_Chart"/>
      <sheetName val="7_Á¶Á÷Ç¥"/>
      <sheetName val="scale_&amp;_Income"/>
      <sheetName val="BOM_LIST_정리"/>
      <sheetName val="입고단가_LIST"/>
      <sheetName val="거래刀"/>
      <sheetName val="CABLE_SIZE-1"/>
      <sheetName val="제작물량_7월"/>
      <sheetName val="수고조사야"/>
      <sheetName val="산출금액내역"/>
      <sheetName val="CHAMBER"/>
      <sheetName val="영동癰၎_x0000_"/>
      <sheetName val="세금계산서 "/>
      <sheetName val="출고대장"/>
      <sheetName val="거래명세표"/>
      <sheetName val="주공_갑_x0000_"/>
      <sheetName val="수목일위"/>
      <sheetName val="TH Kinh phi"/>
      <sheetName val="Thuc thanh"/>
      <sheetName val="총원가계산서(요율)"/>
      <sheetName val="GlassData"/>
      <sheetName val="Đơn giá theo m2"/>
      <sheetName val="기초분물량표"/>
      <sheetName val="접합 및 부설 "/>
      <sheetName val="전선_및_전선관-자䝼-"/>
      <sheetName val="비계공사"/>
      <sheetName val="_내역서(ͭ_x005f_x005f_x005F"/>
      <sheetName val="_내역서(ͭ_x005f_x0000_"/>
      <sheetName val="2A"/>
      <sheetName val="Customer_Datab뇠ᜑ"/>
      <sheetName val="Customer_Datab먠᜽"/>
      <sheetName val="BGT"/>
      <sheetName val="공구비품"/>
      <sheetName val="기계장치"/>
      <sheetName val="임차시설"/>
      <sheetName val="차량운반구"/>
      <sheetName val="[내역서(ͭ_x0000__x0000_훐끺_x0001__x0000__x0000__x0000__x0000_"/>
      <sheetName val="①매출"/>
      <sheetName val="세골재  T2 변경 현황"/>
      <sheetName val="일위대가(계측_x0000__x0000_Ԁ_x0000_"/>
      <sheetName val="loading"/>
      <sheetName val="Assumption"/>
      <sheetName val="3.하중계산"/>
      <sheetName val="Re1"/>
      <sheetName val="Sheet㙸˯㦀ȼ?!"/>
      <sheetName val="ateCodes?TimeCod?ꀋᙰ0_x0000_頀{_x0000__x0000_堀簊夞ĸ"/>
      <sheetName val="ateCodes?TimeCod?齒ꀈᙰ0_x0000_?Y_x0000__x0000_堀䠊夙ĸ"/>
      <sheetName val="수량계산서_집계표(철거-을_x0000__x0000__x0000__x0000__x0000__x0000_Ā_x0000_ᅐ"/>
      <sheetName val="수량계산서_집계표(철거-을_x0000__x0000__x0000__x0000__x0000__x0000_Ā_x0000_"/>
      <sheetName val="_내역서(ͭ_x005f_x005f_x005f_x0000_"/>
      <sheetName val="본부장"/>
      <sheetName val="일위대가(당초)"/>
      <sheetName val="Rebar Sum"/>
      <sheetName val="Manpower costs + data"/>
      <sheetName val="rate PC item"/>
      <sheetName val="7IFS-5A"/>
      <sheetName val="설치내역서"/>
      <sheetName val="포장수량단위"/>
      <sheetName val="내역서(1).xls"/>
      <sheetName val="%EB%82%B4%EC%97%AD%EC%84%9C(1)."/>
      <sheetName val="간접비 총괄표"/>
      <sheetName val="산출근거#2-3"/>
      <sheetName val="Sur Site"/>
      <sheetName val="Spool Index"/>
      <sheetName val="분석적검토"/>
      <sheetName val="현금흐름표"/>
      <sheetName val="12CGOU"/>
      <sheetName val="99년하반기"/>
      <sheetName val="공정집계_국별"/>
      <sheetName val="접속도로1"/>
      <sheetName val="산출(부하간선)"/>
      <sheetName val="제비용"/>
      <sheetName val="C.S.A"/>
      <sheetName val="Sch.6"/>
      <sheetName val="jobhist"/>
      <sheetName val="SECT12-A"/>
      <sheetName val="SECT34-A"/>
      <sheetName val="SECT6-A"/>
      <sheetName val="SECT7-Frame"/>
      <sheetName val="BILL 1"/>
      <sheetName val="Master01"/>
      <sheetName val="css_inpatient_day_surg_sub"/>
      <sheetName val="PROCURE"/>
      <sheetName val="설계내역2"/>
      <sheetName val="고용(소방)"/>
      <sheetName val="고용(전기)"/>
      <sheetName val="소총괄(계좌)"/>
      <sheetName val="산출근_x001b__x0000__x0000__x0000_"/>
      <sheetName val=" 총 괄 표"/>
      <sheetName val="조정금액결과표_(차수별)"/>
      <sheetName val="토공_total1"/>
      <sheetName val="ENE-CAL_11"/>
      <sheetName val="견적대비(1차)_(2)1"/>
      <sheetName val="대분류_ITEM별_분석(3월)1"/>
      <sheetName val="5_학교신설예산_Ⴘ_x005f_x0000_퀀诋쌆蠅/_x005f_x0000_᠀"/>
      <sheetName val="[내역서(1)_xls]5____________x000_2"/>
      <sheetName val="[내역서(1)_xls]5__________x005f_x0000__2"/>
      <sheetName val="1_취수장1"/>
      <sheetName val="장비_(2)"/>
      <sheetName val="Total_All_By_Trades_highest_1s1"/>
      <sheetName val="M_o_S__Schedule1"/>
      <sheetName val="PROJ__DATA1"/>
      <sheetName val="_Beams_Sched_1"/>
      <sheetName val="5_동별횡주관경"/>
      <sheetName val="별첨2_발주예정"/>
      <sheetName val="3BL공동구_수량"/>
      <sheetName val="준검_내역서"/>
      <sheetName val="______"/>
      <sheetName val="토목내역_(2)"/>
      <sheetName val="내역-_ꍈ┊"/>
      <sheetName val="내역-_ʉꍈ&gt;"/>
      <sheetName val="TDTKP"/>
      <sheetName val="DK-KH"/>
      <sheetName val="Tongke"/>
      <sheetName val="VCBo"/>
      <sheetName val="Bang KL"/>
      <sheetName val="Construction"/>
      <sheetName val="BẢNG TRA"/>
      <sheetName val="현황표-원래"/>
      <sheetName val="지급(진행중)"/>
      <sheetName val="자  재"/>
      <sheetName val="건축외주"/>
      <sheetName val="실DAT_x0000__x0000__x0000_"/>
      <sheetName val="[내역서(1).xls]단가_(2\_x005f_x0000_"/>
      <sheetName val="[내역서(1).xls]5_학교신설예산_쎸⬅/"/>
      <sheetName val="[내역서(1).xls][내역서(1)_xls]단가_(2\"/>
      <sheetName val="[내역서(1).xls][내역서(1)_xls]단가_(2\栀"/>
      <sheetName val="LP-S"/>
      <sheetName val="DATA_입_x0000__x0000_"/>
      <sheetName val="HEAT_입력자료"/>
      <sheetName val="열수지"/>
      <sheetName val="마감(_x0000__x0000_"/>
      <sheetName val="보_x0000__x0000_t"/>
      <sheetName val="방배동내역(리_x0000__x0000_"/>
      <sheetName val="tree"/>
      <sheetName val="0226"/>
      <sheetName val="공사기본내용"/>
      <sheetName val="관람_x0000__x0000_Ԁ"/>
      <sheetName val="은Í_x0000__x0000_"/>
      <sheetName val="[내역서(1).xls][내역서(1).xls]5____15"/>
      <sheetName val="[내역서(1).xls][내역서(1).xls]5____16"/>
      <sheetName val="[내역서(1).xls][내역서(1).xls]5____17"/>
      <sheetName val="[내역서(1).xls][내역서(1)_xls]5_____3"/>
      <sheetName val="[내역서(1).xls][내역서(1).xls]5____18"/>
      <sheetName val="[내역서(1).xls][내역서(1).xls]5____19"/>
      <sheetName val="[내역서(1).xls][내역서(1)_xls]5_____4"/>
      <sheetName val="[내역서(1).xls][내역서(1)_xls]5_____5"/>
      <sheetName val="[내역서(1).xls][내역서(1).xls]______4"/>
      <sheetName val="[내역서(1).xls][내역서(1).xls]______5"/>
      <sheetName val="사전재해(개발)-소요인력"/>
      <sheetName val="사전재해(개발)-산출근거-면적"/>
      <sheetName val="주공_갑Ը"/>
      <sheetName val="사용자입력"/>
      <sheetName val="거래_x0000__x0000_Ԁ"/>
      <sheetName val="ateCodes?TimeCod�齒ꀈᙰ0"/>
      <sheetName val="공량산출서"/>
      <sheetName val="Customer_Databa_x0000_"/>
      <sheetName val="총_원_x0000__x0000_Ԁ_x0000_"/>
      <sheetName val="수량계산서_집계표(철거-을ၒ_x0000__x0000__x0000_Ā_x0000__x0000__x0000__x0005_"/>
      <sheetName val="환경기계공정표_(3),"/>
      <sheetName val="저장품"/>
      <sheetName val="3_공통공사대비"/>
      <sheetName val="전선_및_전선관-자유_x000a_"/>
      <sheetName val="M"/>
      <sheetName val="IO"/>
      <sheetName val="코스모공장_(어음)헾"/>
      <sheetName val="중기손료"/>
      <sheetName val="賃料等一覧"/>
      <sheetName val="XXXXXX"/>
      <sheetName val="내역서 (2)"/>
      <sheetName val="별도구매"/>
      <sheetName val="공사비목록표"/>
      <sheetName val="코스모공장_(어軰#_x0000_"/>
      <sheetName val="이름교환"/>
      <sheetName val="2130䢧"/>
      <sheetName val="전선_및_전선관-자유頀"/>
      <sheetName val="투찰"/>
      <sheetName val="내역금액적용"/>
      <sheetName val="내역서종합"/>
      <sheetName val="중기단가"/>
      <sheetName val="1,2,3,4,5단위수량"/>
      <sheetName val="2004.06.23"/>
      <sheetName val="AC"/>
      <sheetName val="Data Base"/>
      <sheetName val="15100"/>
      <sheetName val="ANALISA railing"/>
      <sheetName val="villa"/>
      <sheetName val="A.H. DOOR WINDOW"/>
      <sheetName val="CEW"/>
      <sheetName val="REQDELTA"/>
      <sheetName val="rumus"/>
      <sheetName val="tifico"/>
      <sheetName val="맨홀수량산출(A-LINE)"/>
      <sheetName val="Structure Bills Qty"/>
      <sheetName val="SRC-B3U2"/>
      <sheetName val="雨棚"/>
      <sheetName val="材料"/>
      <sheetName val="#REF!"/>
      <sheetName val="eqpmad2"/>
      <sheetName val="8"/>
      <sheetName val="工程量"/>
      <sheetName val="Z- GENERAL PRICE SUMMARY"/>
      <sheetName val="cables"/>
      <sheetName val="Communs &amp; coefficients"/>
      <sheetName val="改加胶玻璃、室外栏杆"/>
      <sheetName val="Variations (2)"/>
      <sheetName val="Rate analysis"/>
      <sheetName val="Bill-2.1（1）"/>
      <sheetName val="Currency"/>
      <sheetName val="单价表"/>
      <sheetName val="General"/>
      <sheetName val="AN"/>
      <sheetName val="Account Codes"/>
      <sheetName val="2.2 STAFF Scedule"/>
      <sheetName val="1.2 Staff Schedule"/>
      <sheetName val="FitOutConfCentre"/>
      <sheetName val="5. 离职现况"/>
      <sheetName val="C1_공逜_x0010__x0000_"/>
      <sheetName val="gi-list"/>
      <sheetName val="지수산출"/>
      <sheetName val="보조부문비배부"/>
      <sheetName val="돈암사업"/>
      <sheetName val="계약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>
        <row r="21">
          <cell r="A21">
            <v>0</v>
          </cell>
        </row>
      </sheetData>
      <sheetData sheetId="1351">
        <row r="21">
          <cell r="A21">
            <v>0</v>
          </cell>
        </row>
      </sheetData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>
        <row r="21">
          <cell r="A21">
            <v>0</v>
          </cell>
        </row>
      </sheetData>
      <sheetData sheetId="1454">
        <row r="21">
          <cell r="A21">
            <v>0</v>
          </cell>
        </row>
      </sheetData>
      <sheetData sheetId="1455">
        <row r="21">
          <cell r="A21">
            <v>0</v>
          </cell>
        </row>
      </sheetData>
      <sheetData sheetId="1456">
        <row r="21">
          <cell r="A21">
            <v>0</v>
          </cell>
        </row>
      </sheetData>
      <sheetData sheetId="1457">
        <row r="21">
          <cell r="A21">
            <v>0</v>
          </cell>
        </row>
      </sheetData>
      <sheetData sheetId="1458">
        <row r="21">
          <cell r="A21">
            <v>0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>
        <row r="21">
          <cell r="A21">
            <v>0</v>
          </cell>
        </row>
      </sheetData>
      <sheetData sheetId="1467">
        <row r="21">
          <cell r="A21">
            <v>0</v>
          </cell>
        </row>
      </sheetData>
      <sheetData sheetId="1468">
        <row r="21">
          <cell r="A21">
            <v>0</v>
          </cell>
        </row>
      </sheetData>
      <sheetData sheetId="1469">
        <row r="21">
          <cell r="A21">
            <v>0</v>
          </cell>
        </row>
      </sheetData>
      <sheetData sheetId="1470">
        <row r="21">
          <cell r="A21">
            <v>0</v>
          </cell>
        </row>
      </sheetData>
      <sheetData sheetId="1471">
        <row r="21">
          <cell r="A21">
            <v>0</v>
          </cell>
        </row>
      </sheetData>
      <sheetData sheetId="1472">
        <row r="21">
          <cell r="A21">
            <v>0</v>
          </cell>
        </row>
      </sheetData>
      <sheetData sheetId="1473">
        <row r="21">
          <cell r="A21">
            <v>0</v>
          </cell>
        </row>
      </sheetData>
      <sheetData sheetId="1474">
        <row r="21">
          <cell r="A21">
            <v>0</v>
          </cell>
        </row>
      </sheetData>
      <sheetData sheetId="1475">
        <row r="21">
          <cell r="A21">
            <v>0</v>
          </cell>
        </row>
      </sheetData>
      <sheetData sheetId="1476">
        <row r="21">
          <cell r="A21">
            <v>0</v>
          </cell>
        </row>
      </sheetData>
      <sheetData sheetId="1477">
        <row r="21">
          <cell r="A21">
            <v>0</v>
          </cell>
        </row>
      </sheetData>
      <sheetData sheetId="1478">
        <row r="21">
          <cell r="A21">
            <v>0</v>
          </cell>
        </row>
      </sheetData>
      <sheetData sheetId="1479">
        <row r="21">
          <cell r="A21">
            <v>0</v>
          </cell>
        </row>
      </sheetData>
      <sheetData sheetId="1480">
        <row r="21">
          <cell r="A21">
            <v>0</v>
          </cell>
        </row>
      </sheetData>
      <sheetData sheetId="1481">
        <row r="21">
          <cell r="A21">
            <v>0</v>
          </cell>
        </row>
      </sheetData>
      <sheetData sheetId="1482">
        <row r="21">
          <cell r="A21">
            <v>0</v>
          </cell>
        </row>
      </sheetData>
      <sheetData sheetId="1483">
        <row r="21">
          <cell r="A21">
            <v>0</v>
          </cell>
        </row>
      </sheetData>
      <sheetData sheetId="1484">
        <row r="21">
          <cell r="A21">
            <v>0</v>
          </cell>
        </row>
      </sheetData>
      <sheetData sheetId="1485">
        <row r="21">
          <cell r="A21">
            <v>0</v>
          </cell>
        </row>
      </sheetData>
      <sheetData sheetId="1486">
        <row r="21">
          <cell r="A21">
            <v>0</v>
          </cell>
        </row>
      </sheetData>
      <sheetData sheetId="1487">
        <row r="21">
          <cell r="A21">
            <v>0</v>
          </cell>
        </row>
      </sheetData>
      <sheetData sheetId="1488">
        <row r="21">
          <cell r="A21">
            <v>0</v>
          </cell>
        </row>
      </sheetData>
      <sheetData sheetId="1489">
        <row r="21">
          <cell r="A21">
            <v>0</v>
          </cell>
        </row>
      </sheetData>
      <sheetData sheetId="1490">
        <row r="21">
          <cell r="A21">
            <v>0</v>
          </cell>
        </row>
      </sheetData>
      <sheetData sheetId="1491">
        <row r="21">
          <cell r="A21">
            <v>0</v>
          </cell>
        </row>
      </sheetData>
      <sheetData sheetId="1492">
        <row r="21">
          <cell r="A21">
            <v>0</v>
          </cell>
        </row>
      </sheetData>
      <sheetData sheetId="1493">
        <row r="21">
          <cell r="A21">
            <v>0</v>
          </cell>
        </row>
      </sheetData>
      <sheetData sheetId="1494">
        <row r="21">
          <cell r="A21">
            <v>0</v>
          </cell>
        </row>
      </sheetData>
      <sheetData sheetId="1495">
        <row r="21">
          <cell r="A21">
            <v>0</v>
          </cell>
        </row>
      </sheetData>
      <sheetData sheetId="1496">
        <row r="21">
          <cell r="A21">
            <v>0</v>
          </cell>
        </row>
      </sheetData>
      <sheetData sheetId="1497">
        <row r="21">
          <cell r="A21">
            <v>0</v>
          </cell>
        </row>
      </sheetData>
      <sheetData sheetId="1498">
        <row r="21">
          <cell r="A21">
            <v>0</v>
          </cell>
        </row>
      </sheetData>
      <sheetData sheetId="1499">
        <row r="21">
          <cell r="A21">
            <v>0</v>
          </cell>
        </row>
      </sheetData>
      <sheetData sheetId="1500">
        <row r="21">
          <cell r="A21">
            <v>0</v>
          </cell>
        </row>
      </sheetData>
      <sheetData sheetId="1501">
        <row r="21">
          <cell r="A21">
            <v>0</v>
          </cell>
        </row>
      </sheetData>
      <sheetData sheetId="1502">
        <row r="21">
          <cell r="A21">
            <v>0</v>
          </cell>
        </row>
      </sheetData>
      <sheetData sheetId="1503">
        <row r="21">
          <cell r="A21">
            <v>0</v>
          </cell>
        </row>
      </sheetData>
      <sheetData sheetId="1504">
        <row r="21">
          <cell r="A21">
            <v>0</v>
          </cell>
        </row>
      </sheetData>
      <sheetData sheetId="1505">
        <row r="21">
          <cell r="A21">
            <v>0</v>
          </cell>
        </row>
      </sheetData>
      <sheetData sheetId="1506">
        <row r="21">
          <cell r="A21">
            <v>0</v>
          </cell>
        </row>
      </sheetData>
      <sheetData sheetId="1507">
        <row r="21">
          <cell r="A21">
            <v>0</v>
          </cell>
        </row>
      </sheetData>
      <sheetData sheetId="1508">
        <row r="21">
          <cell r="A21">
            <v>0</v>
          </cell>
        </row>
      </sheetData>
      <sheetData sheetId="1509">
        <row r="21">
          <cell r="A21">
            <v>0</v>
          </cell>
        </row>
      </sheetData>
      <sheetData sheetId="1510">
        <row r="21">
          <cell r="A21">
            <v>0</v>
          </cell>
        </row>
      </sheetData>
      <sheetData sheetId="1511">
        <row r="21">
          <cell r="A21">
            <v>0</v>
          </cell>
        </row>
      </sheetData>
      <sheetData sheetId="1512">
        <row r="21">
          <cell r="A21">
            <v>0</v>
          </cell>
        </row>
      </sheetData>
      <sheetData sheetId="1513">
        <row r="21">
          <cell r="A21">
            <v>0</v>
          </cell>
        </row>
      </sheetData>
      <sheetData sheetId="1514">
        <row r="21">
          <cell r="A21">
            <v>0</v>
          </cell>
        </row>
      </sheetData>
      <sheetData sheetId="1515">
        <row r="21">
          <cell r="A21">
            <v>0</v>
          </cell>
        </row>
      </sheetData>
      <sheetData sheetId="1516">
        <row r="21">
          <cell r="A21">
            <v>0</v>
          </cell>
        </row>
      </sheetData>
      <sheetData sheetId="1517">
        <row r="21">
          <cell r="A21">
            <v>0</v>
          </cell>
        </row>
      </sheetData>
      <sheetData sheetId="1518">
        <row r="21">
          <cell r="A21">
            <v>0</v>
          </cell>
        </row>
      </sheetData>
      <sheetData sheetId="1519">
        <row r="21">
          <cell r="A21">
            <v>0</v>
          </cell>
        </row>
      </sheetData>
      <sheetData sheetId="1520">
        <row r="21">
          <cell r="A21">
            <v>0</v>
          </cell>
        </row>
      </sheetData>
      <sheetData sheetId="1521">
        <row r="21">
          <cell r="A21">
            <v>0</v>
          </cell>
        </row>
      </sheetData>
      <sheetData sheetId="1522">
        <row r="21">
          <cell r="A21">
            <v>0</v>
          </cell>
        </row>
      </sheetData>
      <sheetData sheetId="1523">
        <row r="21">
          <cell r="A21">
            <v>0</v>
          </cell>
        </row>
      </sheetData>
      <sheetData sheetId="1524">
        <row r="21">
          <cell r="A21">
            <v>0</v>
          </cell>
        </row>
      </sheetData>
      <sheetData sheetId="1525">
        <row r="21">
          <cell r="A21">
            <v>0</v>
          </cell>
        </row>
      </sheetData>
      <sheetData sheetId="1526">
        <row r="21">
          <cell r="A21">
            <v>0</v>
          </cell>
        </row>
      </sheetData>
      <sheetData sheetId="1527">
        <row r="21">
          <cell r="A21">
            <v>0</v>
          </cell>
        </row>
      </sheetData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>
        <row r="21">
          <cell r="A21">
            <v>0</v>
          </cell>
        </row>
      </sheetData>
      <sheetData sheetId="1602">
        <row r="21">
          <cell r="A21">
            <v>0</v>
          </cell>
        </row>
      </sheetData>
      <sheetData sheetId="1603">
        <row r="21">
          <cell r="A21">
            <v>0</v>
          </cell>
        </row>
      </sheetData>
      <sheetData sheetId="1604">
        <row r="21">
          <cell r="A21">
            <v>0</v>
          </cell>
        </row>
      </sheetData>
      <sheetData sheetId="1605">
        <row r="21">
          <cell r="A21">
            <v>0</v>
          </cell>
        </row>
      </sheetData>
      <sheetData sheetId="1606">
        <row r="21">
          <cell r="A21">
            <v>0</v>
          </cell>
        </row>
      </sheetData>
      <sheetData sheetId="1607">
        <row r="21">
          <cell r="A21">
            <v>0</v>
          </cell>
        </row>
      </sheetData>
      <sheetData sheetId="1608">
        <row r="21">
          <cell r="A21">
            <v>0</v>
          </cell>
        </row>
      </sheetData>
      <sheetData sheetId="1609">
        <row r="21">
          <cell r="A21">
            <v>0</v>
          </cell>
        </row>
      </sheetData>
      <sheetData sheetId="1610">
        <row r="21">
          <cell r="A21">
            <v>0</v>
          </cell>
        </row>
      </sheetData>
      <sheetData sheetId="1611">
        <row r="21">
          <cell r="A21">
            <v>0</v>
          </cell>
        </row>
      </sheetData>
      <sheetData sheetId="1612">
        <row r="21">
          <cell r="A21">
            <v>0</v>
          </cell>
        </row>
      </sheetData>
      <sheetData sheetId="1613">
        <row r="21">
          <cell r="A21">
            <v>0</v>
          </cell>
        </row>
      </sheetData>
      <sheetData sheetId="1614">
        <row r="21">
          <cell r="A21">
            <v>0</v>
          </cell>
        </row>
      </sheetData>
      <sheetData sheetId="1615">
        <row r="21">
          <cell r="A21">
            <v>0</v>
          </cell>
        </row>
      </sheetData>
      <sheetData sheetId="1616">
        <row r="21">
          <cell r="A21">
            <v>0</v>
          </cell>
        </row>
      </sheetData>
      <sheetData sheetId="1617">
        <row r="21">
          <cell r="A21">
            <v>0</v>
          </cell>
        </row>
      </sheetData>
      <sheetData sheetId="1618">
        <row r="21">
          <cell r="A21">
            <v>0</v>
          </cell>
        </row>
      </sheetData>
      <sheetData sheetId="1619">
        <row r="21">
          <cell r="A21">
            <v>0</v>
          </cell>
        </row>
      </sheetData>
      <sheetData sheetId="1620">
        <row r="21">
          <cell r="A21">
            <v>0</v>
          </cell>
        </row>
      </sheetData>
      <sheetData sheetId="1621">
        <row r="21">
          <cell r="A21">
            <v>0</v>
          </cell>
        </row>
      </sheetData>
      <sheetData sheetId="1622">
        <row r="21">
          <cell r="A21">
            <v>0</v>
          </cell>
        </row>
      </sheetData>
      <sheetData sheetId="1623">
        <row r="21">
          <cell r="A21">
            <v>0</v>
          </cell>
        </row>
      </sheetData>
      <sheetData sheetId="1624">
        <row r="21">
          <cell r="A21">
            <v>0</v>
          </cell>
        </row>
      </sheetData>
      <sheetData sheetId="1625">
        <row r="21">
          <cell r="A21">
            <v>0</v>
          </cell>
        </row>
      </sheetData>
      <sheetData sheetId="1626">
        <row r="21">
          <cell r="A21">
            <v>0</v>
          </cell>
        </row>
      </sheetData>
      <sheetData sheetId="1627">
        <row r="21">
          <cell r="A21">
            <v>0</v>
          </cell>
        </row>
      </sheetData>
      <sheetData sheetId="1628">
        <row r="21">
          <cell r="A21">
            <v>0</v>
          </cell>
        </row>
      </sheetData>
      <sheetData sheetId="1629">
        <row r="21">
          <cell r="A21">
            <v>0</v>
          </cell>
        </row>
      </sheetData>
      <sheetData sheetId="1630">
        <row r="21">
          <cell r="A21">
            <v>0</v>
          </cell>
        </row>
      </sheetData>
      <sheetData sheetId="1631">
        <row r="21">
          <cell r="A21">
            <v>0</v>
          </cell>
        </row>
      </sheetData>
      <sheetData sheetId="1632">
        <row r="21">
          <cell r="A21">
            <v>0</v>
          </cell>
        </row>
      </sheetData>
      <sheetData sheetId="1633">
        <row r="21">
          <cell r="A21">
            <v>0</v>
          </cell>
        </row>
      </sheetData>
      <sheetData sheetId="1634">
        <row r="21">
          <cell r="A21">
            <v>0</v>
          </cell>
        </row>
      </sheetData>
      <sheetData sheetId="1635">
        <row r="21">
          <cell r="A21">
            <v>0</v>
          </cell>
        </row>
      </sheetData>
      <sheetData sheetId="1636">
        <row r="21">
          <cell r="A21">
            <v>0</v>
          </cell>
        </row>
      </sheetData>
      <sheetData sheetId="1637">
        <row r="21">
          <cell r="A21">
            <v>0</v>
          </cell>
        </row>
      </sheetData>
      <sheetData sheetId="1638">
        <row r="21">
          <cell r="A21">
            <v>0</v>
          </cell>
        </row>
      </sheetData>
      <sheetData sheetId="1639">
        <row r="21">
          <cell r="A21">
            <v>0</v>
          </cell>
        </row>
      </sheetData>
      <sheetData sheetId="1640">
        <row r="21">
          <cell r="A21">
            <v>0</v>
          </cell>
        </row>
      </sheetData>
      <sheetData sheetId="1641">
        <row r="21">
          <cell r="A21">
            <v>0</v>
          </cell>
        </row>
      </sheetData>
      <sheetData sheetId="1642">
        <row r="21">
          <cell r="A21">
            <v>0</v>
          </cell>
        </row>
      </sheetData>
      <sheetData sheetId="1643">
        <row r="21">
          <cell r="A21">
            <v>0</v>
          </cell>
        </row>
      </sheetData>
      <sheetData sheetId="1644">
        <row r="21">
          <cell r="A21">
            <v>0</v>
          </cell>
        </row>
      </sheetData>
      <sheetData sheetId="1645">
        <row r="21">
          <cell r="A21">
            <v>0</v>
          </cell>
        </row>
      </sheetData>
      <sheetData sheetId="1646">
        <row r="21">
          <cell r="A21">
            <v>0</v>
          </cell>
        </row>
      </sheetData>
      <sheetData sheetId="1647">
        <row r="21">
          <cell r="A21">
            <v>0</v>
          </cell>
        </row>
      </sheetData>
      <sheetData sheetId="1648">
        <row r="21">
          <cell r="A21">
            <v>0</v>
          </cell>
        </row>
      </sheetData>
      <sheetData sheetId="1649">
        <row r="21">
          <cell r="A21">
            <v>0</v>
          </cell>
        </row>
      </sheetData>
      <sheetData sheetId="1650">
        <row r="21">
          <cell r="A21">
            <v>0</v>
          </cell>
        </row>
      </sheetData>
      <sheetData sheetId="1651">
        <row r="21">
          <cell r="A21">
            <v>0</v>
          </cell>
        </row>
      </sheetData>
      <sheetData sheetId="1652">
        <row r="21">
          <cell r="A21">
            <v>0</v>
          </cell>
        </row>
      </sheetData>
      <sheetData sheetId="1653">
        <row r="21">
          <cell r="A21">
            <v>0</v>
          </cell>
        </row>
      </sheetData>
      <sheetData sheetId="1654">
        <row r="21">
          <cell r="A21">
            <v>0</v>
          </cell>
        </row>
      </sheetData>
      <sheetData sheetId="1655">
        <row r="21">
          <cell r="A21">
            <v>0</v>
          </cell>
        </row>
      </sheetData>
      <sheetData sheetId="1656">
        <row r="21">
          <cell r="A21">
            <v>0</v>
          </cell>
        </row>
      </sheetData>
      <sheetData sheetId="1657">
        <row r="21">
          <cell r="A21">
            <v>0</v>
          </cell>
        </row>
      </sheetData>
      <sheetData sheetId="1658">
        <row r="21">
          <cell r="A21">
            <v>0</v>
          </cell>
        </row>
      </sheetData>
      <sheetData sheetId="1659">
        <row r="21">
          <cell r="A21">
            <v>0</v>
          </cell>
        </row>
      </sheetData>
      <sheetData sheetId="1660">
        <row r="21">
          <cell r="A21">
            <v>0</v>
          </cell>
        </row>
      </sheetData>
      <sheetData sheetId="1661">
        <row r="21">
          <cell r="A21">
            <v>0</v>
          </cell>
        </row>
      </sheetData>
      <sheetData sheetId="1662">
        <row r="21">
          <cell r="A21">
            <v>0</v>
          </cell>
        </row>
      </sheetData>
      <sheetData sheetId="1663">
        <row r="21">
          <cell r="A21">
            <v>0</v>
          </cell>
        </row>
      </sheetData>
      <sheetData sheetId="1664">
        <row r="21">
          <cell r="A21">
            <v>0</v>
          </cell>
        </row>
      </sheetData>
      <sheetData sheetId="1665">
        <row r="21">
          <cell r="A21">
            <v>0</v>
          </cell>
        </row>
      </sheetData>
      <sheetData sheetId="1666">
        <row r="21">
          <cell r="A21">
            <v>0</v>
          </cell>
        </row>
      </sheetData>
      <sheetData sheetId="1667">
        <row r="21">
          <cell r="A21">
            <v>0</v>
          </cell>
        </row>
      </sheetData>
      <sheetData sheetId="1668">
        <row r="21">
          <cell r="A21">
            <v>0</v>
          </cell>
        </row>
      </sheetData>
      <sheetData sheetId="1669">
        <row r="21">
          <cell r="A21">
            <v>0</v>
          </cell>
        </row>
      </sheetData>
      <sheetData sheetId="1670">
        <row r="21">
          <cell r="A21">
            <v>0</v>
          </cell>
        </row>
      </sheetData>
      <sheetData sheetId="1671">
        <row r="21">
          <cell r="A21">
            <v>0</v>
          </cell>
        </row>
      </sheetData>
      <sheetData sheetId="1672">
        <row r="21">
          <cell r="A21">
            <v>0</v>
          </cell>
        </row>
      </sheetData>
      <sheetData sheetId="1673">
        <row r="21">
          <cell r="A21">
            <v>0</v>
          </cell>
        </row>
      </sheetData>
      <sheetData sheetId="1674">
        <row r="21">
          <cell r="A21">
            <v>0</v>
          </cell>
        </row>
      </sheetData>
      <sheetData sheetId="1675">
        <row r="21">
          <cell r="A21">
            <v>0</v>
          </cell>
        </row>
      </sheetData>
      <sheetData sheetId="1676">
        <row r="21">
          <cell r="A21">
            <v>0</v>
          </cell>
        </row>
      </sheetData>
      <sheetData sheetId="1677">
        <row r="21">
          <cell r="A21">
            <v>0</v>
          </cell>
        </row>
      </sheetData>
      <sheetData sheetId="1678">
        <row r="21">
          <cell r="A21">
            <v>0</v>
          </cell>
        </row>
      </sheetData>
      <sheetData sheetId="1679">
        <row r="21">
          <cell r="A21">
            <v>0</v>
          </cell>
        </row>
      </sheetData>
      <sheetData sheetId="1680">
        <row r="21">
          <cell r="A21">
            <v>0</v>
          </cell>
        </row>
      </sheetData>
      <sheetData sheetId="1681">
        <row r="21">
          <cell r="A21">
            <v>0</v>
          </cell>
        </row>
      </sheetData>
      <sheetData sheetId="1682">
        <row r="21">
          <cell r="A21">
            <v>0</v>
          </cell>
        </row>
      </sheetData>
      <sheetData sheetId="1683">
        <row r="21">
          <cell r="A21">
            <v>0</v>
          </cell>
        </row>
      </sheetData>
      <sheetData sheetId="1684">
        <row r="21">
          <cell r="A21">
            <v>0</v>
          </cell>
        </row>
      </sheetData>
      <sheetData sheetId="1685">
        <row r="21">
          <cell r="A21">
            <v>0</v>
          </cell>
        </row>
      </sheetData>
      <sheetData sheetId="1686">
        <row r="21">
          <cell r="A21">
            <v>0</v>
          </cell>
        </row>
      </sheetData>
      <sheetData sheetId="1687">
        <row r="21">
          <cell r="A21">
            <v>0</v>
          </cell>
        </row>
      </sheetData>
      <sheetData sheetId="1688">
        <row r="21">
          <cell r="A21">
            <v>0</v>
          </cell>
        </row>
      </sheetData>
      <sheetData sheetId="1689">
        <row r="21">
          <cell r="A21">
            <v>0</v>
          </cell>
        </row>
      </sheetData>
      <sheetData sheetId="1690">
        <row r="21">
          <cell r="A21">
            <v>0</v>
          </cell>
        </row>
      </sheetData>
      <sheetData sheetId="1691">
        <row r="21">
          <cell r="A21">
            <v>0</v>
          </cell>
        </row>
      </sheetData>
      <sheetData sheetId="1692">
        <row r="21">
          <cell r="A21">
            <v>0</v>
          </cell>
        </row>
      </sheetData>
      <sheetData sheetId="1693">
        <row r="21">
          <cell r="A21">
            <v>0</v>
          </cell>
        </row>
      </sheetData>
      <sheetData sheetId="1694">
        <row r="21">
          <cell r="A21">
            <v>0</v>
          </cell>
        </row>
      </sheetData>
      <sheetData sheetId="1695">
        <row r="21">
          <cell r="A21">
            <v>0</v>
          </cell>
        </row>
      </sheetData>
      <sheetData sheetId="1696">
        <row r="21">
          <cell r="A21">
            <v>0</v>
          </cell>
        </row>
      </sheetData>
      <sheetData sheetId="1697">
        <row r="21">
          <cell r="A21">
            <v>0</v>
          </cell>
        </row>
      </sheetData>
      <sheetData sheetId="1698">
        <row r="21">
          <cell r="A21">
            <v>0</v>
          </cell>
        </row>
      </sheetData>
      <sheetData sheetId="1699">
        <row r="21">
          <cell r="A21">
            <v>0</v>
          </cell>
        </row>
      </sheetData>
      <sheetData sheetId="1700">
        <row r="21">
          <cell r="A21">
            <v>0</v>
          </cell>
        </row>
      </sheetData>
      <sheetData sheetId="1701">
        <row r="21">
          <cell r="A21">
            <v>0</v>
          </cell>
        </row>
      </sheetData>
      <sheetData sheetId="1702">
        <row r="21">
          <cell r="A21">
            <v>0</v>
          </cell>
        </row>
      </sheetData>
      <sheetData sheetId="1703">
        <row r="21">
          <cell r="A21">
            <v>0</v>
          </cell>
        </row>
      </sheetData>
      <sheetData sheetId="1704">
        <row r="21">
          <cell r="A21">
            <v>0</v>
          </cell>
        </row>
      </sheetData>
      <sheetData sheetId="1705">
        <row r="21">
          <cell r="A21">
            <v>0</v>
          </cell>
        </row>
      </sheetData>
      <sheetData sheetId="1706">
        <row r="21">
          <cell r="A21">
            <v>0</v>
          </cell>
        </row>
      </sheetData>
      <sheetData sheetId="1707">
        <row r="21">
          <cell r="A21">
            <v>0</v>
          </cell>
        </row>
      </sheetData>
      <sheetData sheetId="1708">
        <row r="21">
          <cell r="A21">
            <v>0</v>
          </cell>
        </row>
      </sheetData>
      <sheetData sheetId="1709">
        <row r="21">
          <cell r="A21">
            <v>0</v>
          </cell>
        </row>
      </sheetData>
      <sheetData sheetId="1710">
        <row r="21">
          <cell r="A21">
            <v>0</v>
          </cell>
        </row>
      </sheetData>
      <sheetData sheetId="1711">
        <row r="21">
          <cell r="A21">
            <v>0</v>
          </cell>
        </row>
      </sheetData>
      <sheetData sheetId="1712">
        <row r="21">
          <cell r="A21">
            <v>0</v>
          </cell>
        </row>
      </sheetData>
      <sheetData sheetId="1713">
        <row r="21">
          <cell r="A21">
            <v>0</v>
          </cell>
        </row>
      </sheetData>
      <sheetData sheetId="1714">
        <row r="21">
          <cell r="A21">
            <v>0</v>
          </cell>
        </row>
      </sheetData>
      <sheetData sheetId="1715">
        <row r="21">
          <cell r="A21">
            <v>0</v>
          </cell>
        </row>
      </sheetData>
      <sheetData sheetId="1716">
        <row r="21">
          <cell r="A21">
            <v>0</v>
          </cell>
        </row>
      </sheetData>
      <sheetData sheetId="1717">
        <row r="21">
          <cell r="A21">
            <v>0</v>
          </cell>
        </row>
      </sheetData>
      <sheetData sheetId="1718">
        <row r="21">
          <cell r="A21">
            <v>0</v>
          </cell>
        </row>
      </sheetData>
      <sheetData sheetId="1719">
        <row r="21">
          <cell r="A21">
            <v>0</v>
          </cell>
        </row>
      </sheetData>
      <sheetData sheetId="1720">
        <row r="21">
          <cell r="A21">
            <v>0</v>
          </cell>
        </row>
      </sheetData>
      <sheetData sheetId="1721">
        <row r="21">
          <cell r="A21">
            <v>0</v>
          </cell>
        </row>
      </sheetData>
      <sheetData sheetId="1722">
        <row r="21">
          <cell r="A21">
            <v>0</v>
          </cell>
        </row>
      </sheetData>
      <sheetData sheetId="1723">
        <row r="21">
          <cell r="A21">
            <v>0</v>
          </cell>
        </row>
      </sheetData>
      <sheetData sheetId="1724">
        <row r="21">
          <cell r="A21">
            <v>0</v>
          </cell>
        </row>
      </sheetData>
      <sheetData sheetId="1725">
        <row r="21">
          <cell r="A21">
            <v>0</v>
          </cell>
        </row>
      </sheetData>
      <sheetData sheetId="1726">
        <row r="21">
          <cell r="A21">
            <v>0</v>
          </cell>
        </row>
      </sheetData>
      <sheetData sheetId="1727">
        <row r="21">
          <cell r="A21">
            <v>0</v>
          </cell>
        </row>
      </sheetData>
      <sheetData sheetId="1728">
        <row r="21">
          <cell r="A21">
            <v>0</v>
          </cell>
        </row>
      </sheetData>
      <sheetData sheetId="1729">
        <row r="21">
          <cell r="A21">
            <v>0</v>
          </cell>
        </row>
      </sheetData>
      <sheetData sheetId="1730">
        <row r="21">
          <cell r="A21">
            <v>0</v>
          </cell>
        </row>
      </sheetData>
      <sheetData sheetId="1731">
        <row r="21">
          <cell r="A21">
            <v>0</v>
          </cell>
        </row>
      </sheetData>
      <sheetData sheetId="1732">
        <row r="21">
          <cell r="A21">
            <v>0</v>
          </cell>
        </row>
      </sheetData>
      <sheetData sheetId="1733">
        <row r="21">
          <cell r="A21">
            <v>0</v>
          </cell>
        </row>
      </sheetData>
      <sheetData sheetId="1734">
        <row r="21">
          <cell r="A21">
            <v>0</v>
          </cell>
        </row>
      </sheetData>
      <sheetData sheetId="1735">
        <row r="21">
          <cell r="A21">
            <v>0</v>
          </cell>
        </row>
      </sheetData>
      <sheetData sheetId="1736">
        <row r="21">
          <cell r="A21">
            <v>0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>
        <row r="21">
          <cell r="A21">
            <v>0</v>
          </cell>
        </row>
      </sheetData>
      <sheetData sheetId="2117" refreshError="1"/>
      <sheetData sheetId="2118" refreshError="1"/>
      <sheetData sheetId="2119" refreshError="1"/>
      <sheetData sheetId="2120" refreshError="1"/>
      <sheetData sheetId="2121">
        <row r="21">
          <cell r="A21">
            <v>0</v>
          </cell>
        </row>
      </sheetData>
      <sheetData sheetId="2122">
        <row r="21">
          <cell r="A21">
            <v>0</v>
          </cell>
        </row>
      </sheetData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21">
          <cell r="A21">
            <v>0</v>
          </cell>
        </row>
      </sheetData>
      <sheetData sheetId="2246">
        <row r="21">
          <cell r="A21">
            <v>0</v>
          </cell>
        </row>
      </sheetData>
      <sheetData sheetId="2247">
        <row r="21">
          <cell r="A21">
            <v>0</v>
          </cell>
        </row>
      </sheetData>
      <sheetData sheetId="2248">
        <row r="21">
          <cell r="A21">
            <v>0</v>
          </cell>
        </row>
      </sheetData>
      <sheetData sheetId="2249">
        <row r="21">
          <cell r="A21">
            <v>0</v>
          </cell>
        </row>
      </sheetData>
      <sheetData sheetId="2250">
        <row r="21">
          <cell r="A21">
            <v>0</v>
          </cell>
        </row>
      </sheetData>
      <sheetData sheetId="2251">
        <row r="21">
          <cell r="A21">
            <v>0</v>
          </cell>
        </row>
      </sheetData>
      <sheetData sheetId="2252">
        <row r="21">
          <cell r="A21">
            <v>0</v>
          </cell>
        </row>
      </sheetData>
      <sheetData sheetId="2253">
        <row r="21">
          <cell r="A21">
            <v>0</v>
          </cell>
        </row>
      </sheetData>
      <sheetData sheetId="2254">
        <row r="21">
          <cell r="A21">
            <v>0</v>
          </cell>
        </row>
      </sheetData>
      <sheetData sheetId="2255">
        <row r="21">
          <cell r="A21">
            <v>0</v>
          </cell>
        </row>
      </sheetData>
      <sheetData sheetId="2256">
        <row r="21">
          <cell r="A21">
            <v>0</v>
          </cell>
        </row>
      </sheetData>
      <sheetData sheetId="2257">
        <row r="21">
          <cell r="A21">
            <v>0</v>
          </cell>
        </row>
      </sheetData>
      <sheetData sheetId="2258">
        <row r="21">
          <cell r="A21">
            <v>0</v>
          </cell>
        </row>
      </sheetData>
      <sheetData sheetId="2259">
        <row r="21">
          <cell r="A21">
            <v>0</v>
          </cell>
        </row>
      </sheetData>
      <sheetData sheetId="2260">
        <row r="21">
          <cell r="A21">
            <v>0</v>
          </cell>
        </row>
      </sheetData>
      <sheetData sheetId="2261">
        <row r="21">
          <cell r="A21">
            <v>0</v>
          </cell>
        </row>
      </sheetData>
      <sheetData sheetId="2262">
        <row r="21">
          <cell r="A21">
            <v>0</v>
          </cell>
        </row>
      </sheetData>
      <sheetData sheetId="2263">
        <row r="21">
          <cell r="A21">
            <v>0</v>
          </cell>
        </row>
      </sheetData>
      <sheetData sheetId="2264">
        <row r="21">
          <cell r="A21">
            <v>0</v>
          </cell>
        </row>
      </sheetData>
      <sheetData sheetId="2265">
        <row r="21">
          <cell r="A21">
            <v>0</v>
          </cell>
        </row>
      </sheetData>
      <sheetData sheetId="2266">
        <row r="21">
          <cell r="A21">
            <v>0</v>
          </cell>
        </row>
      </sheetData>
      <sheetData sheetId="2267">
        <row r="21">
          <cell r="A21">
            <v>0</v>
          </cell>
        </row>
      </sheetData>
      <sheetData sheetId="2268">
        <row r="21">
          <cell r="A21">
            <v>0</v>
          </cell>
        </row>
      </sheetData>
      <sheetData sheetId="2269">
        <row r="21">
          <cell r="A21">
            <v>0</v>
          </cell>
        </row>
      </sheetData>
      <sheetData sheetId="2270">
        <row r="21">
          <cell r="A21">
            <v>0</v>
          </cell>
        </row>
      </sheetData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/>
      <sheetData sheetId="2308"/>
      <sheetData sheetId="2309" refreshError="1"/>
      <sheetData sheetId="2310" refreshError="1"/>
      <sheetData sheetId="2311" refreshError="1"/>
      <sheetData sheetId="2312" refreshError="1"/>
      <sheetData sheetId="2313">
        <row r="21">
          <cell r="A21">
            <v>0</v>
          </cell>
        </row>
      </sheetData>
      <sheetData sheetId="2314"/>
      <sheetData sheetId="2315"/>
      <sheetData sheetId="2316"/>
      <sheetData sheetId="2317"/>
      <sheetData sheetId="2318">
        <row r="21">
          <cell r="A21">
            <v>0</v>
          </cell>
        </row>
      </sheetData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>
        <row r="21">
          <cell r="A21">
            <v>0</v>
          </cell>
        </row>
      </sheetData>
      <sheetData sheetId="2356">
        <row r="21">
          <cell r="A21">
            <v>0</v>
          </cell>
        </row>
      </sheetData>
      <sheetData sheetId="2357">
        <row r="21">
          <cell r="A21">
            <v>0</v>
          </cell>
        </row>
      </sheetData>
      <sheetData sheetId="2358">
        <row r="21">
          <cell r="A21">
            <v>0</v>
          </cell>
        </row>
      </sheetData>
      <sheetData sheetId="2359">
        <row r="21">
          <cell r="A21">
            <v>0</v>
          </cell>
        </row>
      </sheetData>
      <sheetData sheetId="2360">
        <row r="21">
          <cell r="A21">
            <v>0</v>
          </cell>
        </row>
      </sheetData>
      <sheetData sheetId="2361">
        <row r="21">
          <cell r="A21">
            <v>0</v>
          </cell>
        </row>
      </sheetData>
      <sheetData sheetId="2362">
        <row r="21">
          <cell r="A21">
            <v>0</v>
          </cell>
        </row>
      </sheetData>
      <sheetData sheetId="2363">
        <row r="21">
          <cell r="A21">
            <v>0</v>
          </cell>
        </row>
      </sheetData>
      <sheetData sheetId="2364">
        <row r="21">
          <cell r="A21">
            <v>0</v>
          </cell>
        </row>
      </sheetData>
      <sheetData sheetId="2365">
        <row r="21">
          <cell r="A21">
            <v>0</v>
          </cell>
        </row>
      </sheetData>
      <sheetData sheetId="2366">
        <row r="21">
          <cell r="A21">
            <v>0</v>
          </cell>
        </row>
      </sheetData>
      <sheetData sheetId="2367">
        <row r="21">
          <cell r="A21">
            <v>0</v>
          </cell>
        </row>
      </sheetData>
      <sheetData sheetId="2368">
        <row r="21">
          <cell r="A21">
            <v>0</v>
          </cell>
        </row>
      </sheetData>
      <sheetData sheetId="2369">
        <row r="21">
          <cell r="A21">
            <v>0</v>
          </cell>
        </row>
      </sheetData>
      <sheetData sheetId="2370">
        <row r="21">
          <cell r="A21">
            <v>0</v>
          </cell>
        </row>
      </sheetData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>
        <row r="21">
          <cell r="A21">
            <v>0</v>
          </cell>
        </row>
      </sheetData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>
        <row r="21">
          <cell r="A21">
            <v>0</v>
          </cell>
        </row>
      </sheetData>
      <sheetData sheetId="2466">
        <row r="21">
          <cell r="A21">
            <v>0</v>
          </cell>
        </row>
      </sheetData>
      <sheetData sheetId="2467">
        <row r="21">
          <cell r="A21">
            <v>0</v>
          </cell>
        </row>
      </sheetData>
      <sheetData sheetId="2468">
        <row r="21">
          <cell r="A21">
            <v>0</v>
          </cell>
        </row>
      </sheetData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>
        <row r="21">
          <cell r="A21">
            <v>0</v>
          </cell>
        </row>
      </sheetData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>
        <row r="21">
          <cell r="A21">
            <v>0</v>
          </cell>
        </row>
      </sheetData>
      <sheetData sheetId="2623" refreshError="1"/>
      <sheetData sheetId="2624" refreshError="1"/>
      <sheetData sheetId="2625">
        <row r="21">
          <cell r="A21">
            <v>0</v>
          </cell>
        </row>
      </sheetData>
      <sheetData sheetId="2626">
        <row r="21">
          <cell r="A21">
            <v>0</v>
          </cell>
        </row>
      </sheetData>
      <sheetData sheetId="2627">
        <row r="21">
          <cell r="A21">
            <v>0</v>
          </cell>
        </row>
      </sheetData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>
        <row r="21">
          <cell r="A21">
            <v>0</v>
          </cell>
        </row>
      </sheetData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>
        <row r="21">
          <cell r="A21">
            <v>0</v>
          </cell>
        </row>
      </sheetData>
      <sheetData sheetId="2646">
        <row r="21">
          <cell r="A21">
            <v>0</v>
          </cell>
        </row>
      </sheetData>
      <sheetData sheetId="2647">
        <row r="21">
          <cell r="A21">
            <v>0</v>
          </cell>
        </row>
      </sheetData>
      <sheetData sheetId="2648">
        <row r="21">
          <cell r="A21">
            <v>0</v>
          </cell>
        </row>
      </sheetData>
      <sheetData sheetId="2649">
        <row r="21">
          <cell r="A21">
            <v>0</v>
          </cell>
        </row>
      </sheetData>
      <sheetData sheetId="2650">
        <row r="21">
          <cell r="A21">
            <v>0</v>
          </cell>
        </row>
      </sheetData>
      <sheetData sheetId="2651">
        <row r="21">
          <cell r="A21">
            <v>0</v>
          </cell>
        </row>
      </sheetData>
      <sheetData sheetId="2652">
        <row r="21">
          <cell r="A21">
            <v>0</v>
          </cell>
        </row>
      </sheetData>
      <sheetData sheetId="2653">
        <row r="21">
          <cell r="A21">
            <v>0</v>
          </cell>
        </row>
      </sheetData>
      <sheetData sheetId="2654">
        <row r="21">
          <cell r="A21">
            <v>0</v>
          </cell>
        </row>
      </sheetData>
      <sheetData sheetId="2655">
        <row r="21">
          <cell r="A21">
            <v>0</v>
          </cell>
        </row>
      </sheetData>
      <sheetData sheetId="2656">
        <row r="21">
          <cell r="A21">
            <v>0</v>
          </cell>
        </row>
      </sheetData>
      <sheetData sheetId="2657">
        <row r="21">
          <cell r="A21">
            <v>0</v>
          </cell>
        </row>
      </sheetData>
      <sheetData sheetId="2658">
        <row r="21">
          <cell r="A21">
            <v>0</v>
          </cell>
        </row>
      </sheetData>
      <sheetData sheetId="2659">
        <row r="21">
          <cell r="A21">
            <v>0</v>
          </cell>
        </row>
      </sheetData>
      <sheetData sheetId="2660">
        <row r="21">
          <cell r="A21">
            <v>0</v>
          </cell>
        </row>
      </sheetData>
      <sheetData sheetId="2661">
        <row r="21">
          <cell r="A21">
            <v>0</v>
          </cell>
        </row>
      </sheetData>
      <sheetData sheetId="2662">
        <row r="21">
          <cell r="A21">
            <v>0</v>
          </cell>
        </row>
      </sheetData>
      <sheetData sheetId="2663">
        <row r="21">
          <cell r="A21">
            <v>0</v>
          </cell>
        </row>
      </sheetData>
      <sheetData sheetId="2664">
        <row r="21">
          <cell r="A21">
            <v>0</v>
          </cell>
        </row>
      </sheetData>
      <sheetData sheetId="2665">
        <row r="21">
          <cell r="A21">
            <v>0</v>
          </cell>
        </row>
      </sheetData>
      <sheetData sheetId="2666">
        <row r="21">
          <cell r="A21">
            <v>0</v>
          </cell>
        </row>
      </sheetData>
      <sheetData sheetId="2667">
        <row r="21">
          <cell r="A21">
            <v>0</v>
          </cell>
        </row>
      </sheetData>
      <sheetData sheetId="2668">
        <row r="21">
          <cell r="A21">
            <v>0</v>
          </cell>
        </row>
      </sheetData>
      <sheetData sheetId="2669">
        <row r="21">
          <cell r="A21">
            <v>0</v>
          </cell>
        </row>
      </sheetData>
      <sheetData sheetId="2670">
        <row r="21">
          <cell r="A21">
            <v>0</v>
          </cell>
        </row>
      </sheetData>
      <sheetData sheetId="2671">
        <row r="21">
          <cell r="A21">
            <v>0</v>
          </cell>
        </row>
      </sheetData>
      <sheetData sheetId="2672">
        <row r="21">
          <cell r="A21">
            <v>0</v>
          </cell>
        </row>
      </sheetData>
      <sheetData sheetId="2673">
        <row r="21">
          <cell r="A21">
            <v>0</v>
          </cell>
        </row>
      </sheetData>
      <sheetData sheetId="2674">
        <row r="21">
          <cell r="A21">
            <v>0</v>
          </cell>
        </row>
      </sheetData>
      <sheetData sheetId="2675">
        <row r="21">
          <cell r="A21">
            <v>0</v>
          </cell>
        </row>
      </sheetData>
      <sheetData sheetId="2676">
        <row r="21">
          <cell r="A21">
            <v>0</v>
          </cell>
        </row>
      </sheetData>
      <sheetData sheetId="2677">
        <row r="21">
          <cell r="A21">
            <v>0</v>
          </cell>
        </row>
      </sheetData>
      <sheetData sheetId="2678">
        <row r="21">
          <cell r="A21">
            <v>0</v>
          </cell>
        </row>
      </sheetData>
      <sheetData sheetId="2679">
        <row r="21">
          <cell r="A21">
            <v>0</v>
          </cell>
        </row>
      </sheetData>
      <sheetData sheetId="2680">
        <row r="21">
          <cell r="A21">
            <v>0</v>
          </cell>
        </row>
      </sheetData>
      <sheetData sheetId="2681">
        <row r="21">
          <cell r="A21">
            <v>0</v>
          </cell>
        </row>
      </sheetData>
      <sheetData sheetId="2682">
        <row r="21">
          <cell r="A21">
            <v>0</v>
          </cell>
        </row>
      </sheetData>
      <sheetData sheetId="2683">
        <row r="21">
          <cell r="A21">
            <v>0</v>
          </cell>
        </row>
      </sheetData>
      <sheetData sheetId="2684">
        <row r="21">
          <cell r="A21">
            <v>0</v>
          </cell>
        </row>
      </sheetData>
      <sheetData sheetId="2685">
        <row r="21">
          <cell r="A21">
            <v>0</v>
          </cell>
        </row>
      </sheetData>
      <sheetData sheetId="2686">
        <row r="21">
          <cell r="A21">
            <v>0</v>
          </cell>
        </row>
      </sheetData>
      <sheetData sheetId="2687">
        <row r="21">
          <cell r="A21">
            <v>0</v>
          </cell>
        </row>
      </sheetData>
      <sheetData sheetId="2688">
        <row r="21">
          <cell r="A21">
            <v>0</v>
          </cell>
        </row>
      </sheetData>
      <sheetData sheetId="2689">
        <row r="21">
          <cell r="A21">
            <v>0</v>
          </cell>
        </row>
      </sheetData>
      <sheetData sheetId="2690">
        <row r="21">
          <cell r="A21">
            <v>0</v>
          </cell>
        </row>
      </sheetData>
      <sheetData sheetId="2691">
        <row r="21">
          <cell r="A21">
            <v>0</v>
          </cell>
        </row>
      </sheetData>
      <sheetData sheetId="2692">
        <row r="21">
          <cell r="A21">
            <v>0</v>
          </cell>
        </row>
      </sheetData>
      <sheetData sheetId="2693">
        <row r="21">
          <cell r="A21">
            <v>0</v>
          </cell>
        </row>
      </sheetData>
      <sheetData sheetId="2694">
        <row r="21">
          <cell r="A21">
            <v>0</v>
          </cell>
        </row>
      </sheetData>
      <sheetData sheetId="2695">
        <row r="21">
          <cell r="A21">
            <v>0</v>
          </cell>
        </row>
      </sheetData>
      <sheetData sheetId="2696">
        <row r="21">
          <cell r="A21">
            <v>0</v>
          </cell>
        </row>
      </sheetData>
      <sheetData sheetId="2697">
        <row r="21">
          <cell r="A21">
            <v>0</v>
          </cell>
        </row>
      </sheetData>
      <sheetData sheetId="2698">
        <row r="21">
          <cell r="A21">
            <v>0</v>
          </cell>
        </row>
      </sheetData>
      <sheetData sheetId="2699">
        <row r="21">
          <cell r="A21">
            <v>0</v>
          </cell>
        </row>
      </sheetData>
      <sheetData sheetId="2700">
        <row r="21">
          <cell r="A21">
            <v>0</v>
          </cell>
        </row>
      </sheetData>
      <sheetData sheetId="2701">
        <row r="21">
          <cell r="A21">
            <v>0</v>
          </cell>
        </row>
      </sheetData>
      <sheetData sheetId="2702">
        <row r="21">
          <cell r="A21">
            <v>0</v>
          </cell>
        </row>
      </sheetData>
      <sheetData sheetId="2703">
        <row r="21">
          <cell r="A21">
            <v>0</v>
          </cell>
        </row>
      </sheetData>
      <sheetData sheetId="2704">
        <row r="21">
          <cell r="A21">
            <v>0</v>
          </cell>
        </row>
      </sheetData>
      <sheetData sheetId="2705">
        <row r="21">
          <cell r="A21">
            <v>0</v>
          </cell>
        </row>
      </sheetData>
      <sheetData sheetId="2706">
        <row r="21">
          <cell r="A21">
            <v>0</v>
          </cell>
        </row>
      </sheetData>
      <sheetData sheetId="2707">
        <row r="21">
          <cell r="A21">
            <v>0</v>
          </cell>
        </row>
      </sheetData>
      <sheetData sheetId="2708">
        <row r="21">
          <cell r="A21">
            <v>0</v>
          </cell>
        </row>
      </sheetData>
      <sheetData sheetId="2709">
        <row r="21">
          <cell r="A21">
            <v>0</v>
          </cell>
        </row>
      </sheetData>
      <sheetData sheetId="2710">
        <row r="21">
          <cell r="A21">
            <v>0</v>
          </cell>
        </row>
      </sheetData>
      <sheetData sheetId="2711">
        <row r="21">
          <cell r="A21">
            <v>0</v>
          </cell>
        </row>
      </sheetData>
      <sheetData sheetId="2712">
        <row r="21">
          <cell r="A21">
            <v>0</v>
          </cell>
        </row>
      </sheetData>
      <sheetData sheetId="2713">
        <row r="21">
          <cell r="A21">
            <v>0</v>
          </cell>
        </row>
      </sheetData>
      <sheetData sheetId="2714">
        <row r="21">
          <cell r="A21">
            <v>0</v>
          </cell>
        </row>
      </sheetData>
      <sheetData sheetId="2715">
        <row r="21">
          <cell r="A21">
            <v>0</v>
          </cell>
        </row>
      </sheetData>
      <sheetData sheetId="2716">
        <row r="21">
          <cell r="A21">
            <v>0</v>
          </cell>
        </row>
      </sheetData>
      <sheetData sheetId="2717">
        <row r="21">
          <cell r="A21">
            <v>0</v>
          </cell>
        </row>
      </sheetData>
      <sheetData sheetId="2718">
        <row r="21">
          <cell r="A21">
            <v>0</v>
          </cell>
        </row>
      </sheetData>
      <sheetData sheetId="2719">
        <row r="21">
          <cell r="A21">
            <v>0</v>
          </cell>
        </row>
      </sheetData>
      <sheetData sheetId="2720">
        <row r="21">
          <cell r="A21">
            <v>0</v>
          </cell>
        </row>
      </sheetData>
      <sheetData sheetId="2721">
        <row r="21">
          <cell r="A21">
            <v>0</v>
          </cell>
        </row>
      </sheetData>
      <sheetData sheetId="2722">
        <row r="21">
          <cell r="A21">
            <v>0</v>
          </cell>
        </row>
      </sheetData>
      <sheetData sheetId="2723">
        <row r="21">
          <cell r="A21">
            <v>0</v>
          </cell>
        </row>
      </sheetData>
      <sheetData sheetId="2724">
        <row r="21">
          <cell r="A21">
            <v>0</v>
          </cell>
        </row>
      </sheetData>
      <sheetData sheetId="2725">
        <row r="21">
          <cell r="A21">
            <v>0</v>
          </cell>
        </row>
      </sheetData>
      <sheetData sheetId="2726">
        <row r="21">
          <cell r="A21">
            <v>0</v>
          </cell>
        </row>
      </sheetData>
      <sheetData sheetId="2727">
        <row r="21">
          <cell r="A21">
            <v>0</v>
          </cell>
        </row>
      </sheetData>
      <sheetData sheetId="2728">
        <row r="21">
          <cell r="A21">
            <v>0</v>
          </cell>
        </row>
      </sheetData>
      <sheetData sheetId="2729">
        <row r="21">
          <cell r="A21">
            <v>0</v>
          </cell>
        </row>
      </sheetData>
      <sheetData sheetId="2730">
        <row r="21">
          <cell r="A21">
            <v>0</v>
          </cell>
        </row>
      </sheetData>
      <sheetData sheetId="2731">
        <row r="21">
          <cell r="A21">
            <v>0</v>
          </cell>
        </row>
      </sheetData>
      <sheetData sheetId="2732">
        <row r="21">
          <cell r="A21">
            <v>0</v>
          </cell>
        </row>
      </sheetData>
      <sheetData sheetId="2733">
        <row r="21">
          <cell r="A21">
            <v>0</v>
          </cell>
        </row>
      </sheetData>
      <sheetData sheetId="2734">
        <row r="21">
          <cell r="A21">
            <v>0</v>
          </cell>
        </row>
      </sheetData>
      <sheetData sheetId="2735">
        <row r="21">
          <cell r="A21">
            <v>0</v>
          </cell>
        </row>
      </sheetData>
      <sheetData sheetId="2736">
        <row r="21">
          <cell r="A21">
            <v>0</v>
          </cell>
        </row>
      </sheetData>
      <sheetData sheetId="2737">
        <row r="21">
          <cell r="A21">
            <v>0</v>
          </cell>
        </row>
      </sheetData>
      <sheetData sheetId="2738">
        <row r="21">
          <cell r="A21">
            <v>0</v>
          </cell>
        </row>
      </sheetData>
      <sheetData sheetId="2739">
        <row r="21">
          <cell r="A21">
            <v>0</v>
          </cell>
        </row>
      </sheetData>
      <sheetData sheetId="2740">
        <row r="21">
          <cell r="A21">
            <v>0</v>
          </cell>
        </row>
      </sheetData>
      <sheetData sheetId="2741">
        <row r="21">
          <cell r="A21">
            <v>0</v>
          </cell>
        </row>
      </sheetData>
      <sheetData sheetId="2742">
        <row r="21">
          <cell r="A21">
            <v>0</v>
          </cell>
        </row>
      </sheetData>
      <sheetData sheetId="2743">
        <row r="21">
          <cell r="A21">
            <v>0</v>
          </cell>
        </row>
      </sheetData>
      <sheetData sheetId="2744">
        <row r="21">
          <cell r="A21">
            <v>0</v>
          </cell>
        </row>
      </sheetData>
      <sheetData sheetId="2745">
        <row r="21">
          <cell r="A21">
            <v>0</v>
          </cell>
        </row>
      </sheetData>
      <sheetData sheetId="2746">
        <row r="21">
          <cell r="A21">
            <v>0</v>
          </cell>
        </row>
      </sheetData>
      <sheetData sheetId="2747">
        <row r="21">
          <cell r="A21">
            <v>0</v>
          </cell>
        </row>
      </sheetData>
      <sheetData sheetId="2748">
        <row r="21">
          <cell r="A21">
            <v>0</v>
          </cell>
        </row>
      </sheetData>
      <sheetData sheetId="2749">
        <row r="21">
          <cell r="A21">
            <v>0</v>
          </cell>
        </row>
      </sheetData>
      <sheetData sheetId="2750">
        <row r="21">
          <cell r="A21">
            <v>0</v>
          </cell>
        </row>
      </sheetData>
      <sheetData sheetId="2751">
        <row r="21">
          <cell r="A21">
            <v>0</v>
          </cell>
        </row>
      </sheetData>
      <sheetData sheetId="2752">
        <row r="21">
          <cell r="A21">
            <v>0</v>
          </cell>
        </row>
      </sheetData>
      <sheetData sheetId="2753">
        <row r="21">
          <cell r="A21">
            <v>0</v>
          </cell>
        </row>
      </sheetData>
      <sheetData sheetId="2754">
        <row r="21">
          <cell r="A21">
            <v>0</v>
          </cell>
        </row>
      </sheetData>
      <sheetData sheetId="2755">
        <row r="21">
          <cell r="A21">
            <v>0</v>
          </cell>
        </row>
      </sheetData>
      <sheetData sheetId="2756">
        <row r="21">
          <cell r="A21">
            <v>0</v>
          </cell>
        </row>
      </sheetData>
      <sheetData sheetId="2757">
        <row r="21">
          <cell r="A21">
            <v>0</v>
          </cell>
        </row>
      </sheetData>
      <sheetData sheetId="2758">
        <row r="21">
          <cell r="A21">
            <v>0</v>
          </cell>
        </row>
      </sheetData>
      <sheetData sheetId="2759">
        <row r="21">
          <cell r="A21">
            <v>0</v>
          </cell>
        </row>
      </sheetData>
      <sheetData sheetId="2760">
        <row r="21">
          <cell r="A21">
            <v>0</v>
          </cell>
        </row>
      </sheetData>
      <sheetData sheetId="2761">
        <row r="21">
          <cell r="A21">
            <v>0</v>
          </cell>
        </row>
      </sheetData>
      <sheetData sheetId="2762">
        <row r="21">
          <cell r="A21">
            <v>0</v>
          </cell>
        </row>
      </sheetData>
      <sheetData sheetId="2763">
        <row r="21">
          <cell r="A21">
            <v>0</v>
          </cell>
        </row>
      </sheetData>
      <sheetData sheetId="2764">
        <row r="21">
          <cell r="A21">
            <v>0</v>
          </cell>
        </row>
      </sheetData>
      <sheetData sheetId="2765">
        <row r="21">
          <cell r="A21">
            <v>0</v>
          </cell>
        </row>
      </sheetData>
      <sheetData sheetId="2766">
        <row r="21">
          <cell r="A21">
            <v>0</v>
          </cell>
        </row>
      </sheetData>
      <sheetData sheetId="2767">
        <row r="21">
          <cell r="A21">
            <v>0</v>
          </cell>
        </row>
      </sheetData>
      <sheetData sheetId="2768">
        <row r="21">
          <cell r="A21">
            <v>0</v>
          </cell>
        </row>
      </sheetData>
      <sheetData sheetId="2769">
        <row r="21">
          <cell r="A21">
            <v>0</v>
          </cell>
        </row>
      </sheetData>
      <sheetData sheetId="2770">
        <row r="21">
          <cell r="A21">
            <v>0</v>
          </cell>
        </row>
      </sheetData>
      <sheetData sheetId="2771">
        <row r="21">
          <cell r="A21">
            <v>0</v>
          </cell>
        </row>
      </sheetData>
      <sheetData sheetId="2772">
        <row r="21">
          <cell r="A21">
            <v>0</v>
          </cell>
        </row>
      </sheetData>
      <sheetData sheetId="2773">
        <row r="21">
          <cell r="A21">
            <v>0</v>
          </cell>
        </row>
      </sheetData>
      <sheetData sheetId="2774">
        <row r="21">
          <cell r="A21">
            <v>0</v>
          </cell>
        </row>
      </sheetData>
      <sheetData sheetId="2775">
        <row r="21">
          <cell r="A21">
            <v>0</v>
          </cell>
        </row>
      </sheetData>
      <sheetData sheetId="2776">
        <row r="21">
          <cell r="A21">
            <v>0</v>
          </cell>
        </row>
      </sheetData>
      <sheetData sheetId="2777">
        <row r="21">
          <cell r="A21">
            <v>0</v>
          </cell>
        </row>
      </sheetData>
      <sheetData sheetId="2778">
        <row r="21">
          <cell r="A21">
            <v>0</v>
          </cell>
        </row>
      </sheetData>
      <sheetData sheetId="2779">
        <row r="21">
          <cell r="A21">
            <v>0</v>
          </cell>
        </row>
      </sheetData>
      <sheetData sheetId="2780">
        <row r="21">
          <cell r="A21">
            <v>0</v>
          </cell>
        </row>
      </sheetData>
      <sheetData sheetId="2781">
        <row r="21">
          <cell r="A21">
            <v>0</v>
          </cell>
        </row>
      </sheetData>
      <sheetData sheetId="2782">
        <row r="21">
          <cell r="A21">
            <v>0</v>
          </cell>
        </row>
      </sheetData>
      <sheetData sheetId="2783">
        <row r="21">
          <cell r="A21">
            <v>0</v>
          </cell>
        </row>
      </sheetData>
      <sheetData sheetId="2784">
        <row r="21">
          <cell r="A21">
            <v>0</v>
          </cell>
        </row>
      </sheetData>
      <sheetData sheetId="2785">
        <row r="21">
          <cell r="A21">
            <v>0</v>
          </cell>
        </row>
      </sheetData>
      <sheetData sheetId="2786">
        <row r="21">
          <cell r="A21">
            <v>0</v>
          </cell>
        </row>
      </sheetData>
      <sheetData sheetId="2787">
        <row r="21">
          <cell r="A21">
            <v>0</v>
          </cell>
        </row>
      </sheetData>
      <sheetData sheetId="2788">
        <row r="21">
          <cell r="A21">
            <v>0</v>
          </cell>
        </row>
      </sheetData>
      <sheetData sheetId="2789">
        <row r="21">
          <cell r="A21">
            <v>0</v>
          </cell>
        </row>
      </sheetData>
      <sheetData sheetId="2790">
        <row r="21">
          <cell r="A21">
            <v>0</v>
          </cell>
        </row>
      </sheetData>
      <sheetData sheetId="2791">
        <row r="21">
          <cell r="A21">
            <v>0</v>
          </cell>
        </row>
      </sheetData>
      <sheetData sheetId="2792">
        <row r="21">
          <cell r="A21">
            <v>0</v>
          </cell>
        </row>
      </sheetData>
      <sheetData sheetId="2793">
        <row r="21">
          <cell r="A21">
            <v>0</v>
          </cell>
        </row>
      </sheetData>
      <sheetData sheetId="2794">
        <row r="21">
          <cell r="A21">
            <v>0</v>
          </cell>
        </row>
      </sheetData>
      <sheetData sheetId="2795">
        <row r="21">
          <cell r="A21">
            <v>0</v>
          </cell>
        </row>
      </sheetData>
      <sheetData sheetId="2796">
        <row r="21">
          <cell r="A21">
            <v>0</v>
          </cell>
        </row>
      </sheetData>
      <sheetData sheetId="2797">
        <row r="21">
          <cell r="A21">
            <v>0</v>
          </cell>
        </row>
      </sheetData>
      <sheetData sheetId="2798">
        <row r="21">
          <cell r="A21">
            <v>0</v>
          </cell>
        </row>
      </sheetData>
      <sheetData sheetId="2799">
        <row r="21">
          <cell r="A21">
            <v>0</v>
          </cell>
        </row>
      </sheetData>
      <sheetData sheetId="2800">
        <row r="21">
          <cell r="A21">
            <v>0</v>
          </cell>
        </row>
      </sheetData>
      <sheetData sheetId="2801">
        <row r="21">
          <cell r="A21">
            <v>0</v>
          </cell>
        </row>
      </sheetData>
      <sheetData sheetId="2802">
        <row r="21">
          <cell r="A21">
            <v>0</v>
          </cell>
        </row>
      </sheetData>
      <sheetData sheetId="2803">
        <row r="21">
          <cell r="A21">
            <v>0</v>
          </cell>
        </row>
      </sheetData>
      <sheetData sheetId="2804">
        <row r="21">
          <cell r="A21">
            <v>0</v>
          </cell>
        </row>
      </sheetData>
      <sheetData sheetId="2805">
        <row r="21">
          <cell r="A21">
            <v>0</v>
          </cell>
        </row>
      </sheetData>
      <sheetData sheetId="2806">
        <row r="21">
          <cell r="A21">
            <v>0</v>
          </cell>
        </row>
      </sheetData>
      <sheetData sheetId="2807">
        <row r="21">
          <cell r="A21">
            <v>0</v>
          </cell>
        </row>
      </sheetData>
      <sheetData sheetId="2808">
        <row r="21">
          <cell r="A21">
            <v>0</v>
          </cell>
        </row>
      </sheetData>
      <sheetData sheetId="2809">
        <row r="21">
          <cell r="A21">
            <v>0</v>
          </cell>
        </row>
      </sheetData>
      <sheetData sheetId="2810">
        <row r="21">
          <cell r="A21">
            <v>0</v>
          </cell>
        </row>
      </sheetData>
      <sheetData sheetId="2811">
        <row r="21">
          <cell r="A21">
            <v>0</v>
          </cell>
        </row>
      </sheetData>
      <sheetData sheetId="2812">
        <row r="21">
          <cell r="A21">
            <v>0</v>
          </cell>
        </row>
      </sheetData>
      <sheetData sheetId="2813">
        <row r="21">
          <cell r="A21">
            <v>0</v>
          </cell>
        </row>
      </sheetData>
      <sheetData sheetId="2814">
        <row r="21">
          <cell r="A21">
            <v>0</v>
          </cell>
        </row>
      </sheetData>
      <sheetData sheetId="2815">
        <row r="21">
          <cell r="A21">
            <v>0</v>
          </cell>
        </row>
      </sheetData>
      <sheetData sheetId="2816">
        <row r="21">
          <cell r="A21">
            <v>0</v>
          </cell>
        </row>
      </sheetData>
      <sheetData sheetId="2817">
        <row r="21">
          <cell r="A21">
            <v>0</v>
          </cell>
        </row>
      </sheetData>
      <sheetData sheetId="2818">
        <row r="21">
          <cell r="A21">
            <v>0</v>
          </cell>
        </row>
      </sheetData>
      <sheetData sheetId="2819">
        <row r="21">
          <cell r="A21">
            <v>0</v>
          </cell>
        </row>
      </sheetData>
      <sheetData sheetId="2820">
        <row r="21">
          <cell r="A21">
            <v>0</v>
          </cell>
        </row>
      </sheetData>
      <sheetData sheetId="2821">
        <row r="21">
          <cell r="A21">
            <v>0</v>
          </cell>
        </row>
      </sheetData>
      <sheetData sheetId="2822">
        <row r="21">
          <cell r="A21">
            <v>0</v>
          </cell>
        </row>
      </sheetData>
      <sheetData sheetId="2823">
        <row r="21">
          <cell r="A21">
            <v>0</v>
          </cell>
        </row>
      </sheetData>
      <sheetData sheetId="2824">
        <row r="21">
          <cell r="A21">
            <v>0</v>
          </cell>
        </row>
      </sheetData>
      <sheetData sheetId="2825">
        <row r="21">
          <cell r="A21">
            <v>0</v>
          </cell>
        </row>
      </sheetData>
      <sheetData sheetId="2826">
        <row r="21">
          <cell r="A21">
            <v>0</v>
          </cell>
        </row>
      </sheetData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>
        <row r="21">
          <cell r="A21">
            <v>0</v>
          </cell>
        </row>
      </sheetData>
      <sheetData sheetId="2843">
        <row r="21">
          <cell r="A21">
            <v>0</v>
          </cell>
        </row>
      </sheetData>
      <sheetData sheetId="2844">
        <row r="21">
          <cell r="A21">
            <v>0</v>
          </cell>
        </row>
      </sheetData>
      <sheetData sheetId="2845">
        <row r="21">
          <cell r="A21">
            <v>0</v>
          </cell>
        </row>
      </sheetData>
      <sheetData sheetId="2846">
        <row r="21">
          <cell r="A21">
            <v>0</v>
          </cell>
        </row>
      </sheetData>
      <sheetData sheetId="2847">
        <row r="21">
          <cell r="A21">
            <v>0</v>
          </cell>
        </row>
      </sheetData>
      <sheetData sheetId="2848">
        <row r="21">
          <cell r="A21">
            <v>0</v>
          </cell>
        </row>
      </sheetData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>
        <row r="21">
          <cell r="A21">
            <v>0</v>
          </cell>
        </row>
      </sheetData>
      <sheetData sheetId="2867">
        <row r="21">
          <cell r="A21">
            <v>0</v>
          </cell>
        </row>
      </sheetData>
      <sheetData sheetId="2868">
        <row r="21">
          <cell r="A21">
            <v>0</v>
          </cell>
        </row>
      </sheetData>
      <sheetData sheetId="2869">
        <row r="21">
          <cell r="A21">
            <v>0</v>
          </cell>
        </row>
      </sheetData>
      <sheetData sheetId="2870">
        <row r="21">
          <cell r="A21">
            <v>0</v>
          </cell>
        </row>
      </sheetData>
      <sheetData sheetId="2871">
        <row r="21">
          <cell r="A21">
            <v>0</v>
          </cell>
        </row>
      </sheetData>
      <sheetData sheetId="2872">
        <row r="21">
          <cell r="A21">
            <v>0</v>
          </cell>
        </row>
      </sheetData>
      <sheetData sheetId="2873">
        <row r="21">
          <cell r="A21">
            <v>0</v>
          </cell>
        </row>
      </sheetData>
      <sheetData sheetId="2874">
        <row r="21">
          <cell r="A21">
            <v>0</v>
          </cell>
        </row>
      </sheetData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/>
      <sheetData sheetId="2895"/>
      <sheetData sheetId="2896" refreshError="1"/>
      <sheetData sheetId="2897" refreshError="1"/>
      <sheetData sheetId="2898" refreshError="1"/>
      <sheetData sheetId="2899" refreshError="1"/>
      <sheetData sheetId="2900"/>
      <sheetData sheetId="2901" refreshError="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>
        <row r="21">
          <cell r="A21">
            <v>0</v>
          </cell>
        </row>
      </sheetData>
      <sheetData sheetId="2909" refreshError="1"/>
      <sheetData sheetId="2910" refreshError="1"/>
      <sheetData sheetId="2911">
        <row r="21">
          <cell r="A21">
            <v>0</v>
          </cell>
        </row>
      </sheetData>
      <sheetData sheetId="2912">
        <row r="21">
          <cell r="A21">
            <v>0</v>
          </cell>
        </row>
      </sheetData>
      <sheetData sheetId="2913">
        <row r="21">
          <cell r="A21">
            <v>0</v>
          </cell>
        </row>
      </sheetData>
      <sheetData sheetId="2914">
        <row r="21">
          <cell r="A21">
            <v>0</v>
          </cell>
        </row>
      </sheetData>
      <sheetData sheetId="2915">
        <row r="21">
          <cell r="A21">
            <v>0</v>
          </cell>
        </row>
      </sheetData>
      <sheetData sheetId="2916">
        <row r="21">
          <cell r="A21">
            <v>0</v>
          </cell>
        </row>
      </sheetData>
      <sheetData sheetId="2917">
        <row r="21">
          <cell r="A21">
            <v>0</v>
          </cell>
        </row>
      </sheetData>
      <sheetData sheetId="2918">
        <row r="21">
          <cell r="A21">
            <v>0</v>
          </cell>
        </row>
      </sheetData>
      <sheetData sheetId="2919">
        <row r="21">
          <cell r="A21">
            <v>0</v>
          </cell>
        </row>
      </sheetData>
      <sheetData sheetId="2920">
        <row r="21">
          <cell r="A21">
            <v>0</v>
          </cell>
        </row>
      </sheetData>
      <sheetData sheetId="2921">
        <row r="21">
          <cell r="A21">
            <v>0</v>
          </cell>
        </row>
      </sheetData>
      <sheetData sheetId="2922">
        <row r="21">
          <cell r="A21">
            <v>0</v>
          </cell>
        </row>
      </sheetData>
      <sheetData sheetId="2923">
        <row r="21">
          <cell r="A21">
            <v>0</v>
          </cell>
        </row>
      </sheetData>
      <sheetData sheetId="2924">
        <row r="21">
          <cell r="A21">
            <v>0</v>
          </cell>
        </row>
      </sheetData>
      <sheetData sheetId="2925">
        <row r="21">
          <cell r="A21">
            <v>0</v>
          </cell>
        </row>
      </sheetData>
      <sheetData sheetId="2926">
        <row r="21">
          <cell r="A21">
            <v>0</v>
          </cell>
        </row>
      </sheetData>
      <sheetData sheetId="2927">
        <row r="21">
          <cell r="A21">
            <v>0</v>
          </cell>
        </row>
      </sheetData>
      <sheetData sheetId="2928">
        <row r="21">
          <cell r="A21">
            <v>0</v>
          </cell>
        </row>
      </sheetData>
      <sheetData sheetId="2929">
        <row r="21">
          <cell r="A21">
            <v>0</v>
          </cell>
        </row>
      </sheetData>
      <sheetData sheetId="2930">
        <row r="21">
          <cell r="A21">
            <v>0</v>
          </cell>
        </row>
      </sheetData>
      <sheetData sheetId="2931">
        <row r="21">
          <cell r="A21">
            <v>0</v>
          </cell>
        </row>
      </sheetData>
      <sheetData sheetId="2932">
        <row r="21">
          <cell r="A21">
            <v>0</v>
          </cell>
        </row>
      </sheetData>
      <sheetData sheetId="2933">
        <row r="21">
          <cell r="A21">
            <v>0</v>
          </cell>
        </row>
      </sheetData>
      <sheetData sheetId="2934">
        <row r="21">
          <cell r="A21">
            <v>0</v>
          </cell>
        </row>
      </sheetData>
      <sheetData sheetId="2935">
        <row r="21">
          <cell r="A21">
            <v>0</v>
          </cell>
        </row>
      </sheetData>
      <sheetData sheetId="2936">
        <row r="21">
          <cell r="A21">
            <v>0</v>
          </cell>
        </row>
      </sheetData>
      <sheetData sheetId="2937">
        <row r="21">
          <cell r="A21">
            <v>0</v>
          </cell>
        </row>
      </sheetData>
      <sheetData sheetId="2938">
        <row r="21">
          <cell r="A21">
            <v>0</v>
          </cell>
        </row>
      </sheetData>
      <sheetData sheetId="2939">
        <row r="21">
          <cell r="A21">
            <v>0</v>
          </cell>
        </row>
      </sheetData>
      <sheetData sheetId="2940">
        <row r="21">
          <cell r="A21">
            <v>0</v>
          </cell>
        </row>
      </sheetData>
      <sheetData sheetId="2941">
        <row r="21">
          <cell r="A21">
            <v>0</v>
          </cell>
        </row>
      </sheetData>
      <sheetData sheetId="2942">
        <row r="21">
          <cell r="A21">
            <v>0</v>
          </cell>
        </row>
      </sheetData>
      <sheetData sheetId="2943">
        <row r="21">
          <cell r="A21">
            <v>0</v>
          </cell>
        </row>
      </sheetData>
      <sheetData sheetId="2944" refreshError="1"/>
      <sheetData sheetId="2945" refreshError="1"/>
      <sheetData sheetId="2946" refreshError="1"/>
      <sheetData sheetId="2947" refreshError="1"/>
      <sheetData sheetId="2948">
        <row r="21">
          <cell r="A21">
            <v>0</v>
          </cell>
        </row>
      </sheetData>
      <sheetData sheetId="2949">
        <row r="21">
          <cell r="A21">
            <v>0</v>
          </cell>
        </row>
      </sheetData>
      <sheetData sheetId="2950" refreshError="1"/>
      <sheetData sheetId="2951">
        <row r="21">
          <cell r="A21">
            <v>0</v>
          </cell>
        </row>
      </sheetData>
      <sheetData sheetId="2952">
        <row r="21">
          <cell r="A21">
            <v>0</v>
          </cell>
        </row>
      </sheetData>
      <sheetData sheetId="2953">
        <row r="21">
          <cell r="A21">
            <v>0</v>
          </cell>
        </row>
      </sheetData>
      <sheetData sheetId="2954">
        <row r="21">
          <cell r="A21">
            <v>0</v>
          </cell>
        </row>
      </sheetData>
      <sheetData sheetId="2955">
        <row r="21">
          <cell r="A21">
            <v>0</v>
          </cell>
        </row>
      </sheetData>
      <sheetData sheetId="2956">
        <row r="21">
          <cell r="A21">
            <v>0</v>
          </cell>
        </row>
      </sheetData>
      <sheetData sheetId="2957">
        <row r="21">
          <cell r="A21">
            <v>0</v>
          </cell>
        </row>
      </sheetData>
      <sheetData sheetId="2958">
        <row r="21">
          <cell r="A21">
            <v>0</v>
          </cell>
        </row>
      </sheetData>
      <sheetData sheetId="2959">
        <row r="21">
          <cell r="A21">
            <v>0</v>
          </cell>
        </row>
      </sheetData>
      <sheetData sheetId="2960">
        <row r="21">
          <cell r="A21">
            <v>0</v>
          </cell>
        </row>
      </sheetData>
      <sheetData sheetId="2961">
        <row r="21">
          <cell r="A21">
            <v>0</v>
          </cell>
        </row>
      </sheetData>
      <sheetData sheetId="2962">
        <row r="21">
          <cell r="A21">
            <v>0</v>
          </cell>
        </row>
      </sheetData>
      <sheetData sheetId="2963">
        <row r="21">
          <cell r="A21">
            <v>0</v>
          </cell>
        </row>
      </sheetData>
      <sheetData sheetId="2964">
        <row r="21">
          <cell r="A21">
            <v>0</v>
          </cell>
        </row>
      </sheetData>
      <sheetData sheetId="2965">
        <row r="21">
          <cell r="A21">
            <v>0</v>
          </cell>
        </row>
      </sheetData>
      <sheetData sheetId="2966">
        <row r="21">
          <cell r="A21">
            <v>0</v>
          </cell>
        </row>
      </sheetData>
      <sheetData sheetId="2967">
        <row r="21">
          <cell r="A21">
            <v>0</v>
          </cell>
        </row>
      </sheetData>
      <sheetData sheetId="2968">
        <row r="21">
          <cell r="A21">
            <v>0</v>
          </cell>
        </row>
      </sheetData>
      <sheetData sheetId="2969">
        <row r="21">
          <cell r="A21">
            <v>0</v>
          </cell>
        </row>
      </sheetData>
      <sheetData sheetId="2970">
        <row r="21">
          <cell r="A21">
            <v>0</v>
          </cell>
        </row>
      </sheetData>
      <sheetData sheetId="2971">
        <row r="21">
          <cell r="A21">
            <v>0</v>
          </cell>
        </row>
      </sheetData>
      <sheetData sheetId="2972">
        <row r="21">
          <cell r="A21">
            <v>0</v>
          </cell>
        </row>
      </sheetData>
      <sheetData sheetId="2973">
        <row r="21">
          <cell r="A21">
            <v>0</v>
          </cell>
        </row>
      </sheetData>
      <sheetData sheetId="2974">
        <row r="21">
          <cell r="A21">
            <v>0</v>
          </cell>
        </row>
      </sheetData>
      <sheetData sheetId="2975">
        <row r="21">
          <cell r="A21">
            <v>0</v>
          </cell>
        </row>
      </sheetData>
      <sheetData sheetId="2976">
        <row r="21">
          <cell r="A21">
            <v>0</v>
          </cell>
        </row>
      </sheetData>
      <sheetData sheetId="2977">
        <row r="21">
          <cell r="A21">
            <v>0</v>
          </cell>
        </row>
      </sheetData>
      <sheetData sheetId="2978">
        <row r="21">
          <cell r="A21">
            <v>0</v>
          </cell>
        </row>
      </sheetData>
      <sheetData sheetId="2979">
        <row r="21">
          <cell r="A21">
            <v>0</v>
          </cell>
        </row>
      </sheetData>
      <sheetData sheetId="2980">
        <row r="21">
          <cell r="A21">
            <v>0</v>
          </cell>
        </row>
      </sheetData>
      <sheetData sheetId="2981">
        <row r="21">
          <cell r="A21">
            <v>0</v>
          </cell>
        </row>
      </sheetData>
      <sheetData sheetId="2982">
        <row r="21">
          <cell r="A21">
            <v>0</v>
          </cell>
        </row>
      </sheetData>
      <sheetData sheetId="2983">
        <row r="21">
          <cell r="A21">
            <v>0</v>
          </cell>
        </row>
      </sheetData>
      <sheetData sheetId="2984" refreshError="1"/>
      <sheetData sheetId="2985">
        <row r="21">
          <cell r="A21">
            <v>0</v>
          </cell>
        </row>
      </sheetData>
      <sheetData sheetId="2986">
        <row r="21">
          <cell r="A21">
            <v>0</v>
          </cell>
        </row>
      </sheetData>
      <sheetData sheetId="2987">
        <row r="21">
          <cell r="A21">
            <v>0</v>
          </cell>
        </row>
      </sheetData>
      <sheetData sheetId="2988">
        <row r="21">
          <cell r="A21">
            <v>0</v>
          </cell>
        </row>
      </sheetData>
      <sheetData sheetId="2989">
        <row r="21">
          <cell r="A21">
            <v>0</v>
          </cell>
        </row>
      </sheetData>
      <sheetData sheetId="2990">
        <row r="21">
          <cell r="A21">
            <v>0</v>
          </cell>
        </row>
      </sheetData>
      <sheetData sheetId="2991">
        <row r="21">
          <cell r="A21">
            <v>0</v>
          </cell>
        </row>
      </sheetData>
      <sheetData sheetId="2992">
        <row r="21">
          <cell r="A21">
            <v>0</v>
          </cell>
        </row>
      </sheetData>
      <sheetData sheetId="2993">
        <row r="21">
          <cell r="A21">
            <v>0</v>
          </cell>
        </row>
      </sheetData>
      <sheetData sheetId="2994">
        <row r="21">
          <cell r="A21">
            <v>0</v>
          </cell>
        </row>
      </sheetData>
      <sheetData sheetId="2995">
        <row r="21">
          <cell r="A21">
            <v>0</v>
          </cell>
        </row>
      </sheetData>
      <sheetData sheetId="2996">
        <row r="21">
          <cell r="A21">
            <v>0</v>
          </cell>
        </row>
      </sheetData>
      <sheetData sheetId="2997">
        <row r="21">
          <cell r="A21">
            <v>0</v>
          </cell>
        </row>
      </sheetData>
      <sheetData sheetId="2998">
        <row r="21">
          <cell r="A21">
            <v>0</v>
          </cell>
        </row>
      </sheetData>
      <sheetData sheetId="2999">
        <row r="21">
          <cell r="A21">
            <v>0</v>
          </cell>
        </row>
      </sheetData>
      <sheetData sheetId="3000">
        <row r="21">
          <cell r="A21">
            <v>0</v>
          </cell>
        </row>
      </sheetData>
      <sheetData sheetId="3001" refreshError="1"/>
      <sheetData sheetId="3002" refreshError="1"/>
      <sheetData sheetId="3003" refreshError="1"/>
      <sheetData sheetId="3004">
        <row r="21">
          <cell r="A21">
            <v>0</v>
          </cell>
        </row>
      </sheetData>
      <sheetData sheetId="3005">
        <row r="21">
          <cell r="A21">
            <v>0</v>
          </cell>
        </row>
      </sheetData>
      <sheetData sheetId="3006">
        <row r="21">
          <cell r="A21">
            <v>0</v>
          </cell>
        </row>
      </sheetData>
      <sheetData sheetId="3007">
        <row r="21">
          <cell r="A21">
            <v>0</v>
          </cell>
        </row>
      </sheetData>
      <sheetData sheetId="3008">
        <row r="21">
          <cell r="A21">
            <v>0</v>
          </cell>
        </row>
      </sheetData>
      <sheetData sheetId="3009">
        <row r="21">
          <cell r="A21">
            <v>0</v>
          </cell>
        </row>
      </sheetData>
      <sheetData sheetId="3010">
        <row r="21">
          <cell r="A21">
            <v>0</v>
          </cell>
        </row>
      </sheetData>
      <sheetData sheetId="3011">
        <row r="21">
          <cell r="A21">
            <v>0</v>
          </cell>
        </row>
      </sheetData>
      <sheetData sheetId="3012">
        <row r="21">
          <cell r="A21">
            <v>0</v>
          </cell>
        </row>
      </sheetData>
      <sheetData sheetId="3013">
        <row r="21">
          <cell r="A21">
            <v>0</v>
          </cell>
        </row>
      </sheetData>
      <sheetData sheetId="3014">
        <row r="21">
          <cell r="A21">
            <v>0</v>
          </cell>
        </row>
      </sheetData>
      <sheetData sheetId="3015">
        <row r="21">
          <cell r="A21">
            <v>0</v>
          </cell>
        </row>
      </sheetData>
      <sheetData sheetId="3016">
        <row r="21">
          <cell r="A21">
            <v>0</v>
          </cell>
        </row>
      </sheetData>
      <sheetData sheetId="3017">
        <row r="21">
          <cell r="A21">
            <v>0</v>
          </cell>
        </row>
      </sheetData>
      <sheetData sheetId="3018">
        <row r="21">
          <cell r="A21">
            <v>0</v>
          </cell>
        </row>
      </sheetData>
      <sheetData sheetId="3019">
        <row r="21">
          <cell r="A21">
            <v>0</v>
          </cell>
        </row>
      </sheetData>
      <sheetData sheetId="3020">
        <row r="21">
          <cell r="A21">
            <v>0</v>
          </cell>
        </row>
      </sheetData>
      <sheetData sheetId="3021">
        <row r="21">
          <cell r="A21">
            <v>0</v>
          </cell>
        </row>
      </sheetData>
      <sheetData sheetId="3022">
        <row r="21">
          <cell r="A21">
            <v>0</v>
          </cell>
        </row>
      </sheetData>
      <sheetData sheetId="3023" refreshError="1"/>
      <sheetData sheetId="3024" refreshError="1"/>
      <sheetData sheetId="3025" refreshError="1"/>
      <sheetData sheetId="3026" refreshError="1"/>
      <sheetData sheetId="3027">
        <row r="21">
          <cell r="A21">
            <v>0</v>
          </cell>
        </row>
      </sheetData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1">
          <cell r="A21">
            <v>0</v>
          </cell>
        </row>
      </sheetData>
      <sheetData sheetId="3043" refreshError="1"/>
      <sheetData sheetId="3044">
        <row r="21">
          <cell r="A21">
            <v>0</v>
          </cell>
        </row>
      </sheetData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/>
      <sheetData sheetId="3064" refreshError="1"/>
      <sheetData sheetId="3065" refreshError="1"/>
      <sheetData sheetId="3066" refreshError="1"/>
      <sheetData sheetId="3067">
        <row r="21">
          <cell r="A21">
            <v>0</v>
          </cell>
        </row>
      </sheetData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>
        <row r="21">
          <cell r="A21">
            <v>0</v>
          </cell>
        </row>
      </sheetData>
      <sheetData sheetId="3075" refreshError="1"/>
      <sheetData sheetId="3076" refreshError="1"/>
      <sheetData sheetId="3077" refreshError="1"/>
      <sheetData sheetId="3078">
        <row r="21">
          <cell r="A21">
            <v>0</v>
          </cell>
        </row>
      </sheetData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>
        <row r="21">
          <cell r="A21">
            <v>0</v>
          </cell>
        </row>
      </sheetData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>
        <row r="21">
          <cell r="A21">
            <v>0</v>
          </cell>
        </row>
      </sheetData>
      <sheetData sheetId="3125">
        <row r="21">
          <cell r="A21">
            <v>0</v>
          </cell>
        </row>
      </sheetData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>
        <row r="21">
          <cell r="A21">
            <v>0</v>
          </cell>
        </row>
      </sheetData>
      <sheetData sheetId="3161">
        <row r="21">
          <cell r="A21">
            <v>0</v>
          </cell>
        </row>
      </sheetData>
      <sheetData sheetId="3162">
        <row r="21">
          <cell r="A21">
            <v>0</v>
          </cell>
        </row>
      </sheetData>
      <sheetData sheetId="3163">
        <row r="21">
          <cell r="A21">
            <v>0</v>
          </cell>
        </row>
      </sheetData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>
        <row r="21">
          <cell r="A21">
            <v>0</v>
          </cell>
        </row>
      </sheetData>
      <sheetData sheetId="3230">
        <row r="21">
          <cell r="A21">
            <v>0</v>
          </cell>
        </row>
      </sheetData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>
        <row r="21">
          <cell r="A21">
            <v>0</v>
          </cell>
        </row>
      </sheetData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>
        <row r="21">
          <cell r="A21">
            <v>0</v>
          </cell>
        </row>
      </sheetData>
      <sheetData sheetId="3253">
        <row r="21">
          <cell r="A21">
            <v>0</v>
          </cell>
        </row>
      </sheetData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>
        <row r="21">
          <cell r="A21">
            <v>0</v>
          </cell>
        </row>
      </sheetData>
      <sheetData sheetId="3274">
        <row r="21">
          <cell r="A21">
            <v>0</v>
          </cell>
        </row>
      </sheetData>
      <sheetData sheetId="3275">
        <row r="21">
          <cell r="A21">
            <v>0</v>
          </cell>
        </row>
      </sheetData>
      <sheetData sheetId="3276">
        <row r="21">
          <cell r="A21">
            <v>0</v>
          </cell>
        </row>
      </sheetData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>
        <row r="21">
          <cell r="A21">
            <v>0</v>
          </cell>
        </row>
      </sheetData>
      <sheetData sheetId="3317">
        <row r="21">
          <cell r="A21">
            <v>0</v>
          </cell>
        </row>
      </sheetData>
      <sheetData sheetId="3318">
        <row r="21">
          <cell r="A21">
            <v>0</v>
          </cell>
        </row>
      </sheetData>
      <sheetData sheetId="3319">
        <row r="21">
          <cell r="A21">
            <v>0</v>
          </cell>
        </row>
      </sheetData>
      <sheetData sheetId="3320">
        <row r="21">
          <cell r="A21">
            <v>0</v>
          </cell>
        </row>
      </sheetData>
      <sheetData sheetId="3321">
        <row r="21">
          <cell r="A21">
            <v>0</v>
          </cell>
        </row>
      </sheetData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>
        <row r="21">
          <cell r="A21">
            <v>0</v>
          </cell>
        </row>
      </sheetData>
      <sheetData sheetId="3399">
        <row r="21">
          <cell r="A21">
            <v>0</v>
          </cell>
        </row>
      </sheetData>
      <sheetData sheetId="3400"/>
      <sheetData sheetId="3401"/>
      <sheetData sheetId="3402"/>
      <sheetData sheetId="3403"/>
      <sheetData sheetId="3404"/>
      <sheetData sheetId="3405">
        <row r="21">
          <cell r="A21">
            <v>0</v>
          </cell>
        </row>
      </sheetData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/>
      <sheetData sheetId="3594"/>
      <sheetData sheetId="3595"/>
      <sheetData sheetId="3596"/>
      <sheetData sheetId="3597">
        <row r="21">
          <cell r="A21">
            <v>0</v>
          </cell>
        </row>
      </sheetData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>
        <row r="21">
          <cell r="A21">
            <v>0</v>
          </cell>
        </row>
      </sheetData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>
        <row r="21">
          <cell r="A21">
            <v>0</v>
          </cell>
        </row>
      </sheetData>
      <sheetData sheetId="3676"/>
      <sheetData sheetId="3677">
        <row r="21">
          <cell r="A21">
            <v>0</v>
          </cell>
        </row>
      </sheetData>
      <sheetData sheetId="3678"/>
      <sheetData sheetId="3679">
        <row r="21">
          <cell r="A21">
            <v>0</v>
          </cell>
        </row>
      </sheetData>
      <sheetData sheetId="3680"/>
      <sheetData sheetId="3681"/>
      <sheetData sheetId="3682"/>
      <sheetData sheetId="3683"/>
      <sheetData sheetId="3684"/>
      <sheetData sheetId="3685"/>
      <sheetData sheetId="3686">
        <row r="21">
          <cell r="A21">
            <v>0</v>
          </cell>
        </row>
      </sheetData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>
        <row r="21">
          <cell r="A21">
            <v>0</v>
          </cell>
        </row>
      </sheetData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>
        <row r="21">
          <cell r="A21">
            <v>0</v>
          </cell>
        </row>
      </sheetData>
      <sheetData sheetId="3748"/>
      <sheetData sheetId="3749"/>
      <sheetData sheetId="3750"/>
      <sheetData sheetId="3751"/>
      <sheetData sheetId="3752"/>
      <sheetData sheetId="3753"/>
      <sheetData sheetId="3754">
        <row r="21">
          <cell r="A21">
            <v>0</v>
          </cell>
        </row>
      </sheetData>
      <sheetData sheetId="3755">
        <row r="21">
          <cell r="A21">
            <v>0</v>
          </cell>
        </row>
      </sheetData>
      <sheetData sheetId="3756"/>
      <sheetData sheetId="3757"/>
      <sheetData sheetId="3758"/>
      <sheetData sheetId="3759"/>
      <sheetData sheetId="3760">
        <row r="21">
          <cell r="A21">
            <v>0</v>
          </cell>
        </row>
      </sheetData>
      <sheetData sheetId="3761">
        <row r="21">
          <cell r="A21">
            <v>0</v>
          </cell>
        </row>
      </sheetData>
      <sheetData sheetId="3762"/>
      <sheetData sheetId="3763">
        <row r="21">
          <cell r="A21">
            <v>0</v>
          </cell>
        </row>
      </sheetData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>
        <row r="21">
          <cell r="A21">
            <v>0</v>
          </cell>
        </row>
      </sheetData>
      <sheetData sheetId="3779"/>
      <sheetData sheetId="3780"/>
      <sheetData sheetId="3781"/>
      <sheetData sheetId="3782"/>
      <sheetData sheetId="3783">
        <row r="21">
          <cell r="A21">
            <v>0</v>
          </cell>
        </row>
      </sheetData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/>
      <sheetData sheetId="3927" refreshError="1"/>
      <sheetData sheetId="3928" refreshError="1"/>
      <sheetData sheetId="3929"/>
      <sheetData sheetId="3930" refreshError="1"/>
      <sheetData sheetId="3931" refreshError="1"/>
      <sheetData sheetId="3932"/>
      <sheetData sheetId="3933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  <sheetName val="중기사용료"/>
      <sheetName val="프랜트면허"/>
      <sheetName val="골조시행"/>
      <sheetName val="손익차9월2"/>
      <sheetName val="본공사"/>
      <sheetName val="판매시설"/>
      <sheetName val="예가표"/>
      <sheetName val="일위_파일"/>
      <sheetName val="1ST"/>
      <sheetName val="확약서"/>
      <sheetName val="자재"/>
      <sheetName val="공통가설"/>
      <sheetName val="Eq. Mobilization"/>
      <sheetName val="계수시트"/>
      <sheetName val="소방일위 "/>
      <sheetName val="C1.공사개요"/>
      <sheetName val="실행(1)"/>
      <sheetName val="6호기"/>
      <sheetName val="A1.스케쥴"/>
      <sheetName val="공사기본내용입력"/>
      <sheetName val="DB"/>
      <sheetName val="PAINT"/>
      <sheetName val="대림경상68억"/>
      <sheetName val="면적입력"/>
      <sheetName val="물량표"/>
      <sheetName val="견적"/>
      <sheetName val="첨"/>
      <sheetName val="ITC현황"/>
      <sheetName val="내역_FILE"/>
      <sheetName val="편성절차"/>
      <sheetName val="4차원가계산서"/>
      <sheetName val="0215"/>
      <sheetName val="총괄내역서"/>
      <sheetName val="도급"/>
      <sheetName val="산출내역서집계표"/>
      <sheetName val="효성CB 1P기초"/>
      <sheetName val="48일위"/>
      <sheetName val="와동25-3(변경)"/>
      <sheetName val="부산제일극장"/>
      <sheetName val="투입"/>
      <sheetName val="수입"/>
      <sheetName val="Sheet2 (2)"/>
      <sheetName val="2000년1차"/>
      <sheetName val="D급현장 (2)?????????_x0009_?飰ঊ?_x0004_??????ϸঈ"/>
      <sheetName val="금액중량"/>
      <sheetName val="단가"/>
      <sheetName val="월,누계 (2)"/>
      <sheetName val="48신설수량"/>
      <sheetName val="48철거수량"/>
      <sheetName val="22신설수량"/>
      <sheetName val="아침햇쌀"/>
      <sheetName val="참고"/>
      <sheetName val="인구(2002년통계자료)"/>
      <sheetName val="시설DB"/>
      <sheetName val="96월별PL"/>
      <sheetName val="SV점수"/>
      <sheetName val="지점장점수"/>
      <sheetName val="***********************00"/>
      <sheetName val="주간계획"/>
      <sheetName val="D급현장 (2)????????? ?飰ঊ?_x0004_??????ϸঈ"/>
      <sheetName val="콘크리트타설집계표"/>
      <sheetName val="원가"/>
      <sheetName val="시운전연료"/>
      <sheetName val="부대집계"/>
      <sheetName val="단가산출"/>
      <sheetName val="(2)자금(신용)"/>
      <sheetName val="단가결정"/>
      <sheetName val="현관비DATA"/>
      <sheetName val="내역(중앙)"/>
      <sheetName val="내역(창신)"/>
      <sheetName val="개산공사비"/>
      <sheetName val="갑지"/>
      <sheetName val="8.식재일위"/>
      <sheetName val="B시설가격"/>
      <sheetName val="공사"/>
      <sheetName val="0.목록1"/>
      <sheetName val="c_balju"/>
      <sheetName val="삭제금지단가"/>
      <sheetName val="중기일위대가"/>
      <sheetName val="내역서01"/>
      <sheetName val="설계명세서"/>
      <sheetName val="자료입력"/>
      <sheetName val="급여관련자료"/>
      <sheetName val="연습"/>
      <sheetName val="연결임시"/>
      <sheetName val="세금자료"/>
      <sheetName val="예산명세서"/>
      <sheetName val="공량산출서"/>
      <sheetName val="하수급견적대비"/>
      <sheetName val="소방"/>
      <sheetName val="집계"/>
      <sheetName val="산근"/>
      <sheetName val="신갈"/>
      <sheetName val="코드표"/>
      <sheetName val="총원가계산서(요율)"/>
      <sheetName val="현장경상비"/>
      <sheetName val="사업분석"/>
      <sheetName val="매출 (3)"/>
      <sheetName val="선수금"/>
      <sheetName val="카메라"/>
      <sheetName val="현장경비"/>
      <sheetName val="최초 bpm"/>
      <sheetName val="1.설계조건"/>
      <sheetName val="단면치수"/>
      <sheetName val="도기류"/>
      <sheetName val="총투입계"/>
      <sheetName val="단위세대 개요"/>
      <sheetName val="0"/>
      <sheetName val="Assumption_Gen"/>
      <sheetName val="주관사업"/>
      <sheetName val="P.M 별"/>
      <sheetName val="TYPE-A"/>
      <sheetName val="친환경주택"/>
      <sheetName val="설비(제출)"/>
      <sheetName val="을지"/>
      <sheetName val="자판실행"/>
      <sheetName val="대비표(토공1안)"/>
      <sheetName val="산출서"/>
      <sheetName val="기초일위"/>
      <sheetName val="일반수량총괄집계"/>
      <sheetName val="45,46"/>
      <sheetName val="수목데이타 "/>
      <sheetName val="빗물받이(910-510-410)"/>
      <sheetName val="마산월령동골조물량변경"/>
      <sheetName val="청천내"/>
      <sheetName val="DATA입력"/>
      <sheetName val="시화점실행"/>
      <sheetName val="일위대가-01"/>
      <sheetName val="집계표(공종별)"/>
      <sheetName val="외주업체list_(3)"/>
      <sheetName val="FAX양식_(2)"/>
      <sheetName val="물가_(2)"/>
      <sheetName val="새공통(96년12월)_"/>
      <sheetName val="A급현장_(2)"/>
      <sheetName val="B급현장_(2)"/>
      <sheetName val="C급현장_(2)"/>
      <sheetName val="D급현장_(2)"/>
      <sheetName val="8_식재일위"/>
      <sheetName val="변경명신물량_(2)"/>
      <sheetName val="새공통97_4"/>
      <sheetName val="품의서(97_4)"/>
      <sheetName val="현_종_목"/>
      <sheetName val="옥외_(적용)"/>
      <sheetName val="Eq__Mobilization"/>
      <sheetName val="설-원가"/>
      <sheetName val="0915_(2)"/>
      <sheetName val="플랜트_설치"/>
      <sheetName val="2공정계획_(2)"/>
      <sheetName val="계획고"/>
      <sheetName val="민감도"/>
      <sheetName val="토적표"/>
      <sheetName val="자재단가비교표"/>
      <sheetName val="단가표"/>
      <sheetName val="갈현동"/>
      <sheetName val="조명시설"/>
      <sheetName val="코스모공장 (어음)"/>
      <sheetName val="PIPE(UG)내역"/>
      <sheetName val="상하차비용(기계상차)"/>
      <sheetName val="수간보호"/>
      <sheetName val="운반비"/>
      <sheetName val="금호"/>
      <sheetName val="설계내역2"/>
      <sheetName val="공사비"/>
      <sheetName val="품셈TABLE"/>
      <sheetName val="덕전리"/>
      <sheetName val="난간벽단위"/>
      <sheetName val="DOWEL(SLAB상)"/>
      <sheetName val="DOWEL(SLAB하)"/>
      <sheetName val="1"/>
      <sheetName val="COVER"/>
      <sheetName val="사다리"/>
      <sheetName val="가정 및 결과"/>
      <sheetName val="WELDING"/>
      <sheetName val="5-3.기성연체이자"/>
      <sheetName val="내부마감"/>
      <sheetName val="F 월별기성수금현황 "/>
      <sheetName val="조명율표"/>
      <sheetName val="D급현장 (2)?_x0009_飰ঊ_x0004_?ϸঈ餘ঊn?_x0011_[유림콘도.XLS]"/>
      <sheetName val="예산M6-B"/>
      <sheetName val="진주방향"/>
      <sheetName val="FB25JN"/>
      <sheetName val="FOB발"/>
      <sheetName val="중기사용료산출근거"/>
      <sheetName val="단가 및 재료비"/>
      <sheetName val="실행"/>
      <sheetName val="실행(ALT1)"/>
      <sheetName val="단가(자재)"/>
      <sheetName val="단가(노임)"/>
      <sheetName val="기초목록"/>
      <sheetName val="견적갑지"/>
      <sheetName val="총 원가계산"/>
      <sheetName val="콘크리트타설입력"/>
      <sheetName val="레미콘입고현황"/>
      <sheetName val="지수"/>
      <sheetName val="재노경"/>
      <sheetName val="노임단가"/>
      <sheetName val="5사남"/>
      <sheetName val="고정자산"/>
      <sheetName val="매출원가추정"/>
      <sheetName val="매출추정"/>
      <sheetName val="분류표"/>
      <sheetName val="D급현장 (2)? 飰ঊ_x0004_?ϸঈ餘ঊn?_x0011_[유림콘도.XLS]"/>
      <sheetName val="총괄표"/>
      <sheetName val="Xunit (단위환산)"/>
      <sheetName val="본실행경비"/>
      <sheetName val="집계표a"/>
      <sheetName val="이름표"/>
      <sheetName val="보고"/>
      <sheetName val="수량집계"/>
      <sheetName val="지급제한자"/>
      <sheetName val="명세표"/>
      <sheetName val="SG"/>
      <sheetName val="MIJIBI"/>
      <sheetName val="실행내역서"/>
      <sheetName val="4.본실행통합내역서"/>
      <sheetName val="2"/>
      <sheetName val="3"/>
      <sheetName val="4"/>
      <sheetName val="5"/>
      <sheetName val="6"/>
      <sheetName val="0226"/>
      <sheetName val="수량산출내역1115"/>
      <sheetName val="목표세부명세"/>
      <sheetName val="OE"/>
      <sheetName val="일위"/>
      <sheetName val="공리일"/>
      <sheetName val="1.총괄현황"/>
      <sheetName val="단가 (2)"/>
      <sheetName val="옹벽수량집계"/>
      <sheetName val="인적사항3"/>
      <sheetName val="테이블"/>
      <sheetName val="토공"/>
      <sheetName val="시설물일위"/>
      <sheetName val="내역아"/>
      <sheetName val="울타리"/>
      <sheetName val="공용(현대건설공구)"/>
      <sheetName val="현대건설공구(UNIT)"/>
      <sheetName val="001"/>
      <sheetName val="도급내역"/>
      <sheetName val="견적의뢰"/>
      <sheetName val="01AC"/>
      <sheetName val="지급자재"/>
      <sheetName val="기안"/>
      <sheetName val="공통가설(기준안)"/>
      <sheetName val="비교표"/>
      <sheetName val="9GNG운반"/>
      <sheetName val="시장성초안camera"/>
      <sheetName val="청산공사"/>
      <sheetName val="ETC"/>
      <sheetName val="마감LIST-1"/>
      <sheetName val="경비"/>
      <sheetName val="1.약산개요입력"/>
      <sheetName val="database"/>
      <sheetName val="wall"/>
      <sheetName val="설계예시"/>
      <sheetName val="공통가설_8"/>
      <sheetName val="아파트_9"/>
      <sheetName val="주민복지관"/>
      <sheetName val="지하주차장"/>
      <sheetName val="분양금할인"/>
      <sheetName val="CTEMCOST"/>
      <sheetName val="FAB별"/>
      <sheetName val="F4-F7"/>
      <sheetName val="B"/>
      <sheetName val="A"/>
      <sheetName val="공용정보"/>
      <sheetName val="비교"/>
      <sheetName val="범례표"/>
      <sheetName val="48전력선로일위"/>
      <sheetName val="48평형"/>
      <sheetName val="62평형"/>
      <sheetName val="견적서"/>
      <sheetName val="적현로"/>
      <sheetName val="b_balju"/>
      <sheetName val="대가목록"/>
      <sheetName val="원가계산서"/>
      <sheetName val="토사(PE)"/>
      <sheetName val="XL4Poppy"/>
      <sheetName val="아파트-가설"/>
      <sheetName val="일위대가(가설)"/>
      <sheetName val="건축개요"/>
      <sheetName val="단위세대_개요"/>
      <sheetName val="Sheet2_(2)"/>
      <sheetName val="내역총괄표_"/>
      <sheetName val="D급현장_(2) 飰ঊϸঈ"/>
      <sheetName val="D급현장_(2) 飰ঊϸঈ餘ঊn[유림콘도_XLS]"/>
      <sheetName val="1_약산개요입력"/>
      <sheetName val="매출_(3)"/>
      <sheetName val="가정_및_결과"/>
      <sheetName val="D급현장_(2)_飰ঊϸঈ"/>
      <sheetName val="D급현장_(2)_飰ঊϸঈ餘ঊn[유림콘도_XLS]"/>
      <sheetName val="설계예산서"/>
      <sheetName val="2-1. 경관조명 내역총괄표"/>
      <sheetName val="사유서제출현황-2"/>
      <sheetName val="Sens&amp;Anal"/>
      <sheetName val="IS&lt;양식27&gt;"/>
      <sheetName val="총투자비산정"/>
      <sheetName val="임대견적서"/>
      <sheetName val="공문"/>
      <sheetName val="부재료입고집계"/>
      <sheetName val="상세손익"/>
      <sheetName val="건설fs"/>
      <sheetName val="월별수입"/>
      <sheetName val="정부노임단가"/>
      <sheetName val="납부내역"/>
      <sheetName val="STAND20"/>
      <sheetName val="조합기초"/>
      <sheetName val="내역서(기존내역-수정금지)"/>
      <sheetName val="KOGAS"/>
      <sheetName val="계정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>
        <row r="36">
          <cell r="X36" t="str">
            <v>연  면  적</v>
          </cell>
        </row>
      </sheetData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>
        <row r="36">
          <cell r="X36" t="str">
            <v>연  면  적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36">
          <cell r="X36" t="str">
            <v>연  면  적</v>
          </cell>
        </row>
      </sheetData>
      <sheetData sheetId="31">
        <row r="36">
          <cell r="X36" t="str">
            <v>연  면  적</v>
          </cell>
        </row>
      </sheetData>
      <sheetData sheetId="32"/>
      <sheetData sheetId="33">
        <row r="36">
          <cell r="X36" t="str">
            <v>연  면  적</v>
          </cell>
        </row>
      </sheetData>
      <sheetData sheetId="34">
        <row r="36">
          <cell r="X36" t="str">
            <v>연  면  적</v>
          </cell>
        </row>
      </sheetData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>
        <row r="36">
          <cell r="X36" t="str">
            <v>연  면  적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  <sheetName val="견적을지"/>
      <sheetName val="진주방향"/>
      <sheetName val="설계명세서-2"/>
      <sheetName val="9-1차이내역"/>
      <sheetName val="분기별손익(백만원)"/>
      <sheetName val="내역서관로"/>
      <sheetName val="내역서설비"/>
      <sheetName val="내역서케이블"/>
      <sheetName val="터파기및재료"/>
      <sheetName val="추진전략"/>
      <sheetName val="하도업체(mal)_x0009_送곇엇듅⣌洀愀氀⤀ȀĀ노임_ꔁ䓇ҾĀ자재단"/>
      <sheetName val="개요"/>
      <sheetName val="콘센트신설"/>
      <sheetName val="원가계산서(남측)"/>
      <sheetName val="DI1"/>
      <sheetName val="1.설계설명서"/>
      <sheetName val="3월팀계 "/>
      <sheetName val="공사설계서"/>
      <sheetName val="설계예산서"/>
      <sheetName val="예산내역서"/>
      <sheetName val="총계"/>
      <sheetName val="실행내역"/>
      <sheetName val="공사비총괄표"/>
      <sheetName val="직노"/>
      <sheetName val="기초일위"/>
      <sheetName val="시설일위"/>
      <sheetName val="조명일위"/>
      <sheetName val="소비자가"/>
      <sheetName val="020114"/>
      <sheetName val="하도업체(mal) 送곇엇듅⣌洀愀氀⤀ȀĀ노임_ꔁ䓇ҾĀ자재단"/>
      <sheetName val="1-11조직표"/>
      <sheetName val="99노임기준"/>
      <sheetName val="2000년 공정표"/>
      <sheetName val="프랜트면허"/>
      <sheetName val="개산공사비"/>
      <sheetName val="Customer Databas"/>
      <sheetName val="평가데이터"/>
      <sheetName val="일위대가표"/>
      <sheetName val="주입량의 산정검토"/>
      <sheetName val="납부서"/>
      <sheetName val="DATA"/>
      <sheetName val="공사내역"/>
      <sheetName val="일용직내역"/>
      <sheetName val="wall"/>
      <sheetName val="갑지"/>
      <sheetName val="6PILE  (돌출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내역서01"/>
      <sheetName val="공동수급체별"/>
      <sheetName val="배수내역"/>
      <sheetName val="차수"/>
      <sheetName val="0111월"/>
      <sheetName val="협력업체"/>
      <sheetName val="건축직영"/>
      <sheetName val="대운산출"/>
      <sheetName val="본댐설계"/>
      <sheetName val="데이타"/>
      <sheetName val="중기가격"/>
      <sheetName val="공종"/>
      <sheetName val="기본단가표"/>
      <sheetName val="토사(PE)"/>
      <sheetName val="카메라"/>
      <sheetName val="경상직원"/>
      <sheetName val="문10"/>
      <sheetName val="급여관련자료"/>
      <sheetName val="경산"/>
      <sheetName val="골조시행"/>
      <sheetName val="설계명세서"/>
      <sheetName val="자료입력"/>
      <sheetName val="교각별철근수량집계표"/>
      <sheetName val="토목내역"/>
      <sheetName val="공종별"/>
      <sheetName val="서울대규장각(가시설흙막이)"/>
      <sheetName val="환경기계공정표 (3)"/>
      <sheetName val="단위수량"/>
      <sheetName val="맨홀수량산출"/>
      <sheetName val="공통가설(현장검토안)"/>
      <sheetName val="정부노임단가"/>
      <sheetName val="STEEL BOX 단면설계(SEC.8)"/>
      <sheetName val="집계표"/>
      <sheetName val="교사기준면적(초등)"/>
      <sheetName val="기계경비(시간당)"/>
      <sheetName val="램머"/>
      <sheetName val="총투입계"/>
      <sheetName val="동원인원"/>
      <sheetName val="세금자료"/>
      <sheetName val="공사대장"/>
      <sheetName val="내역서1999.8최종"/>
      <sheetName val=" 내역서"/>
      <sheetName val="노무비"/>
      <sheetName val="단가"/>
      <sheetName val="실행내역서"/>
      <sheetName val="Tool"/>
      <sheetName val="그림"/>
      <sheetName val="총괄-1"/>
      <sheetName val="노임,재료비"/>
      <sheetName val="하도업체(mal)_x005f_x0009_送곇엇듅⣌洀愀氀⤀ȀĀ노임_x"/>
      <sheetName val="하도업체(mal)_x005f_x0009_送곇엇듅⣌洀愀氀⤀ȀĀ노임_ꔁ"/>
      <sheetName val="하도업체(mal) 送곇엇듅⣌洀愀氀⤀ȀĀ노임_x005f_x0002_ꔁ"/>
      <sheetName val="2원료가나다."/>
      <sheetName val="표지_(3)"/>
      <sheetName val="표지_(2)"/>
      <sheetName val="자재업체(egy)_"/>
      <sheetName val="노임이_(2)"/>
      <sheetName val="G.R300경비"/>
      <sheetName val="물량산출"/>
      <sheetName val="코드표"/>
      <sheetName val="자재코드"/>
      <sheetName val="_____mal______________________2"/>
      <sheetName val="아스팔트 포장총괄집계표"/>
      <sheetName val="Sheet4"/>
      <sheetName val="재료"/>
      <sheetName val="BID"/>
      <sheetName val="견적조건"/>
      <sheetName val="단가표"/>
      <sheetName val="A1"/>
      <sheetName val="inter"/>
      <sheetName val="1호인버트수량"/>
      <sheetName val="내역서 "/>
      <sheetName val="일위대가(당초)"/>
      <sheetName val="설계내역2"/>
      <sheetName val="2007년지오_이레용역급여호봉표"/>
      <sheetName val="중기손료"/>
      <sheetName val="날개벽수량표"/>
      <sheetName val="원가"/>
      <sheetName val="직접경비"/>
      <sheetName val="직접인건비"/>
      <sheetName val="용역비내역-진짜"/>
      <sheetName val="인사자료총집계"/>
      <sheetName val="공통비총괄표"/>
      <sheetName val="97노임단가"/>
      <sheetName val="입력란"/>
      <sheetName val="원가계산서"/>
      <sheetName val="산출"/>
      <sheetName val="설치공사비"/>
      <sheetName val="49"/>
      <sheetName val="전기내역서"/>
      <sheetName val="FACTOR"/>
      <sheetName val="FWBS7000,8000"/>
      <sheetName val="ANALYSER"/>
      <sheetName val="4.공조닥트"/>
      <sheetName val="1.장비설치공사"/>
      <sheetName val="빌딩 안내"/>
      <sheetName val="공종단가"/>
      <sheetName val="증감대비"/>
      <sheetName val="단위단가"/>
      <sheetName val="원가계산"/>
      <sheetName val="하도업체(mal)_x0009_送곇엇듅⣌洀愀氀⤀ȀĀ노임_x005f_x0002_ꔁ"/>
      <sheetName val="경율산정.XLS"/>
      <sheetName val="부대내역"/>
      <sheetName val="건축집계표"/>
      <sheetName val="도기류"/>
      <sheetName val="광주"/>
      <sheetName val="구미"/>
      <sheetName val="대구"/>
      <sheetName val="언양"/>
      <sheetName val="용연"/>
      <sheetName val="울산"/>
      <sheetName val="중연"/>
      <sheetName val="진천"/>
      <sheetName val="공사개요"/>
      <sheetName val="결재판"/>
      <sheetName val="10년01월부터"/>
      <sheetName val="하도업체(mal)_送곇엇듅⣌洀愀氀⤀ȀĀ노임ꔁ䓇ҾĀ자재단"/>
      <sheetName val="인건비_"/>
      <sheetName val="1_취수장"/>
      <sheetName val="중기조종사_단위단가"/>
      <sheetName val="실행내역서_"/>
      <sheetName val="별표_"/>
      <sheetName val="하도업체(mal)_送곇엇듅⣌洀愀氀⤀ȀĀ노임?ꔁ䓇ҾĀ자재단"/>
      <sheetName val="FRP_PIPING_일위대가"/>
      <sheetName val="I_일위대가목차"/>
      <sheetName val="하도업체(mal) 送곇엇듅⣌洀愀氀⤀ȀĀ노임ꔁ䓇ҾĀ자재단"/>
      <sheetName val="④산출서(정산지원관련)"/>
      <sheetName val="2000년1차"/>
      <sheetName val="교육종류"/>
      <sheetName val="토공(우물통,기타) "/>
      <sheetName val="기초입력 DATA"/>
      <sheetName val="입력"/>
      <sheetName val="6호기"/>
      <sheetName val="파일의이용"/>
      <sheetName val="시산표"/>
      <sheetName val="접합 및 부설 "/>
      <sheetName val="99.1"/>
      <sheetName val="6.관급자재조서"/>
      <sheetName val="시중노임단가"/>
      <sheetName val="현장경비"/>
      <sheetName val="나.설계조건"/>
      <sheetName val="공사비_NDE"/>
      <sheetName val="투입내역"/>
      <sheetName val="수량산출"/>
      <sheetName val="SIL98"/>
      <sheetName val="측량요율"/>
      <sheetName val="자재대"/>
      <sheetName val="예산명세서"/>
      <sheetName val="별총"/>
      <sheetName val="측구공"/>
      <sheetName val="설계명세서6"/>
      <sheetName val="공사설명서2"/>
      <sheetName val="표지(예시)"/>
      <sheetName val="손익계산서"/>
      <sheetName val="일위대가-기계"/>
      <sheetName val="General Data"/>
      <sheetName val="자재목록"/>
      <sheetName val="기준액"/>
      <sheetName val="주공_갑지"/>
      <sheetName val="증감내역서"/>
      <sheetName val="마포토정"/>
      <sheetName val="구간공종"/>
      <sheetName val="내역적용"/>
      <sheetName val="기본단가"/>
      <sheetName val="3"/>
      <sheetName val="경상"/>
      <sheetName val="광장"/>
      <sheetName val="기성갑지"/>
      <sheetName val="XL4Poppy"/>
      <sheetName val="Sheet2 (2)"/>
      <sheetName val="상반기손익차2총괄"/>
      <sheetName val="Input"/>
      <sheetName val="Spec1"/>
      <sheetName val="costing_CV"/>
      <sheetName val="Setup"/>
      <sheetName val="기초단가"/>
      <sheetName val="설계(안)"/>
      <sheetName val="중기사용료"/>
      <sheetName val="적용노임"/>
      <sheetName val="일반자재"/>
      <sheetName val="분석투자 내역(광명)"/>
      <sheetName val="4.본실행통합내역서"/>
      <sheetName val="2호맨홀공제수량"/>
      <sheetName val="자재"/>
      <sheetName val="품셈"/>
      <sheetName val="ㄱ"/>
      <sheetName val="표지_(3)1"/>
      <sheetName val="표지_(2)1"/>
      <sheetName val="자재업체(egy)_1"/>
      <sheetName val="노임이_(2)1"/>
      <sheetName val="I_일위대가목차1"/>
      <sheetName val="인건비_1"/>
      <sheetName val="1_취수장1"/>
      <sheetName val="중기조종사_단위단가1"/>
      <sheetName val="실행내역서_1"/>
      <sheetName val="별표_1"/>
      <sheetName val="FRP_PIPING_일위대가1"/>
      <sheetName val="하도업체(mal)_送곇엇듅⣌洀愀氀⤀ȀĀ노임?ꔁ䓇ҾĀ자재1"/>
      <sheetName val="4_공조닥트"/>
      <sheetName val="1_장비설치공사"/>
      <sheetName val="주입량의_산정검토"/>
      <sheetName val="환경기계공정표_(3)"/>
      <sheetName val="내역서_"/>
      <sheetName val="기초입력_DATA"/>
      <sheetName val="접합_및_부설_"/>
      <sheetName val="하도업체(mal)_送곇엇듅⣌洀愀氀⤀ȀĀ노임ꔁ䓇ҾĀ자재단1"/>
      <sheetName val="터널전기"/>
      <sheetName val="총괄내역서"/>
      <sheetName val="금융비용"/>
      <sheetName val="조건표"/>
      <sheetName val="인제내역"/>
      <sheetName val="TOTAL_BOQ"/>
      <sheetName val="용소리교"/>
      <sheetName val="청천내"/>
      <sheetName val="공구"/>
      <sheetName val="총괄"/>
      <sheetName val="연습"/>
      <sheetName val="FAB별"/>
      <sheetName val="을"/>
      <sheetName val="하도업체(mal)_送곇엇듅⣌洀愀氀⤀ȀĀ노임_ꔁ䓇ҾĀ자재단"/>
      <sheetName val="비교1"/>
      <sheetName val="세부내역서"/>
      <sheetName val="기계가격"/>
      <sheetName val="지구단위계획내역서"/>
      <sheetName val="교사기준면적(초)"/>
      <sheetName val="9902"/>
      <sheetName val="b_balju"/>
      <sheetName val="견적"/>
      <sheetName val="부대집계"/>
      <sheetName val="건축-물가변동"/>
      <sheetName val="대비"/>
      <sheetName val="플랜트 설치"/>
      <sheetName val="기계경비"/>
      <sheetName val="내역서-설비"/>
      <sheetName val="CON'C"/>
      <sheetName val="구리토평1전기"/>
      <sheetName val="단가조사"/>
      <sheetName val="급여테이블"/>
      <sheetName val="부표총괄"/>
      <sheetName val="3절_CheckList_구분"/>
      <sheetName val="Total"/>
      <sheetName val="주공_갑지1"/>
      <sheetName val="표지_(3)2"/>
      <sheetName val="표지_(2)2"/>
      <sheetName val="자재업체(egy)_2"/>
      <sheetName val="노임이_(2)2"/>
      <sheetName val="인건비_2"/>
      <sheetName val="1_취수장2"/>
      <sheetName val="중기조종사_단위단가2"/>
      <sheetName val="실행내역서_2"/>
      <sheetName val="FRP_PIPING_일위대가2"/>
      <sheetName val="별표_2"/>
      <sheetName val="I_일위대가목차2"/>
      <sheetName val="주공_갑지2"/>
      <sheetName val="시멘트"/>
      <sheetName val="11)원가계산서참조용"/>
      <sheetName val="구조물"/>
      <sheetName val="설계내역일위"/>
      <sheetName val="POL6차-PIPING"/>
      <sheetName val="관급_File"/>
      <sheetName val="보험료산출"/>
      <sheetName val="J"/>
      <sheetName val="산출내역(4월)"/>
      <sheetName val="산출내역(5월) (2)"/>
      <sheetName val="Sheet5"/>
      <sheetName val="Sensitivity"/>
      <sheetName val="실행철강하도"/>
      <sheetName val="입찰안"/>
      <sheetName val="차액보증"/>
      <sheetName val="000000"/>
      <sheetName val="C1"/>
      <sheetName val="총괄표"/>
      <sheetName val="단가 (2)"/>
      <sheetName val=" 갑  지 "/>
      <sheetName val="총 원가계산"/>
      <sheetName val="장비종합부표"/>
      <sheetName val="집계표_식재"/>
      <sheetName val="부표"/>
      <sheetName val="일위대가 "/>
      <sheetName val="내역서(교량)전체"/>
      <sheetName val="기계일위목록"/>
      <sheetName val="기계경비단가"/>
      <sheetName val="하수급견적대비"/>
      <sheetName val="수량집계"/>
      <sheetName val="인건비"/>
      <sheetName val=""/>
      <sheetName val="2. 공원조도"/>
      <sheetName val="실행예산"/>
      <sheetName val="환율"/>
      <sheetName val="금액내역서"/>
      <sheetName val="단면가정"/>
      <sheetName val="설계조건"/>
      <sheetName val="하중 및 작용위치"/>
      <sheetName val="견적서"/>
      <sheetName val="3.기계내역"/>
      <sheetName val="4.소방설비"/>
      <sheetName val="7.소방전기내역"/>
      <sheetName val="5.전기내역"/>
      <sheetName val="하도업체(mal)_送곇엇듅⣌洀愀氀⤀ȀĀ노임?ꔁ䓇ҾĀ자재2"/>
      <sheetName val="주입량의_산정검토1"/>
      <sheetName val="1_설계설명서"/>
      <sheetName val="3월팀계_"/>
      <sheetName val="2000년_공정표"/>
      <sheetName val="Customer_Databas"/>
      <sheetName val="6PILE__(돌출)"/>
      <sheetName val="환경기계공정표_(3)1"/>
      <sheetName val="내역서_1"/>
      <sheetName val="하도업체(mal)_送곇엇듅⣌洀愀氀⤀ȀĀ노임ꔁ䓇ҾĀ자재단2"/>
      <sheetName val="하도업체(mal)_送곇엇듅⣌洀愀氀⤀ȀĀ노임_x005f_x0002_ꔁ"/>
      <sheetName val="STEEL_BOX_단면설계(SEC_8)"/>
      <sheetName val="아스팔트_포장총괄집계표"/>
      <sheetName val="내역서1999_8최종"/>
      <sheetName val="_내역서"/>
      <sheetName val="2원료가나다_"/>
      <sheetName val="G_R300경비"/>
      <sheetName val="기초입력_DATA1"/>
      <sheetName val="접합_및_부설_1"/>
      <sheetName val="4_공조닥트1"/>
      <sheetName val="1_장비설치공사1"/>
      <sheetName val="경율산정_XLS"/>
      <sheetName val="나_설계조건"/>
      <sheetName val="4_본실행통합내역서"/>
      <sheetName val="General_Data"/>
      <sheetName val="빌딩_안내"/>
      <sheetName val="토공(우물통,기타)_"/>
      <sheetName val="99_1"/>
      <sheetName val="6_관급자재조서"/>
      <sheetName val="Sheet2_(2)"/>
      <sheetName val="분석투자_내역(광명)"/>
      <sheetName val="_____mal______________________3"/>
      <sheetName val="3-1.현장관리비"/>
      <sheetName val="옥외외등집계표"/>
      <sheetName val="표지_(3)3"/>
      <sheetName val="표지_(2)3"/>
      <sheetName val="자재업체(egy)_3"/>
      <sheetName val="노임이_(2)3"/>
      <sheetName val="실행내역서_3"/>
      <sheetName val="인건비_3"/>
      <sheetName val="1_취수장3"/>
      <sheetName val="중기조종사_단위단가3"/>
      <sheetName val="FRP_PIPING_일위대가3"/>
      <sheetName val="별표_3"/>
      <sheetName val="I_일위대가목차3"/>
      <sheetName val="주공_갑지3"/>
      <sheetName val="하도업체(mal)_送곇엇듅⣌洀愀氀⤀ȀĀ노임_ꔁ䓇ҾĀ자재1"/>
      <sheetName val="_갑__지_"/>
      <sheetName val="일위대가_"/>
      <sheetName val="주요공정집계표(출력금지)"/>
      <sheetName val="투입집계표"/>
      <sheetName val="사통"/>
      <sheetName val="Sheet1 (2)"/>
      <sheetName val="건내역(중)"/>
      <sheetName val="PRO_DCI"/>
      <sheetName val="INST_DCI"/>
      <sheetName val="HVAC_DCI"/>
      <sheetName val="PIPE_DCI"/>
      <sheetName val="INSTR"/>
      <sheetName val="하도업체(mal)_x0009_送곇엇듅⣌洀愀氀⤀ȀĀ노임_x"/>
      <sheetName val="하도업체(mal)_x0009_送곇엇듅⣌洀愀氀⤀ȀĀ노임_ꔁ"/>
      <sheetName val=" ｹ-ﾌﾞﾙ"/>
      <sheetName val="갑지(추정)"/>
      <sheetName val="Testing"/>
      <sheetName val="8.PILE  (돌출)"/>
      <sheetName val="98비정기소모"/>
      <sheetName val="국산화"/>
      <sheetName val="초기화면"/>
      <sheetName val="이름정의"/>
      <sheetName val="Du toan"/>
      <sheetName val="Quantity"/>
      <sheetName val="Keothep"/>
      <sheetName val="Re-bar"/>
      <sheetName val="General"/>
      <sheetName val="효성CB 1P기초"/>
      <sheetName val="하도업체(mal)_x005f_x0009_送곇엇듅⣌洀愀氀⤀ȀĀ노임?ꔁ"/>
      <sheetName val="구간별관경"/>
      <sheetName val="월별투입비"/>
      <sheetName val="부속동부하"/>
      <sheetName val="주차장PK-A"/>
      <sheetName val="전기"/>
      <sheetName val="하도업체(mal) 送곇엇듅⣌洀愀氀⤀ȀĀ노임_x"/>
      <sheetName val="하도업체(mal) 送곇엇듅⣌洀愀氀⤀ȀĀ노임_ꔁ"/>
      <sheetName val="세율표"/>
      <sheetName val="투찰금액"/>
      <sheetName val="시행예산"/>
      <sheetName val="직급별단가(by사업팀)"/>
      <sheetName val="작성"/>
      <sheetName val="A1-DATA"/>
      <sheetName val="단면"/>
      <sheetName val="퇴직자급여"/>
      <sheetName val="코드목록"/>
      <sheetName val="급여지급자"/>
      <sheetName val="급여총대장"/>
      <sheetName val="급여변동"/>
      <sheetName val="직원명부"/>
      <sheetName val="급여수정"/>
      <sheetName val="인사이동"/>
      <sheetName val="입력시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  <sheetName val="표지"/>
      <sheetName val="목차"/>
      <sheetName val="설계조건"/>
      <sheetName val="열관류율"/>
      <sheetName val="First"/>
      <sheetName val="Front"/>
      <sheetName val="wall"/>
      <sheetName val="집계표"/>
      <sheetName val="부하계산서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DATA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공조기"/>
      <sheetName val="공조기휀"/>
      <sheetName val="AHU집계"/>
      <sheetName val="1.견적서목록"/>
      <sheetName val="SF적재계산"/>
      <sheetName val="FAX1"/>
      <sheetName val="주소록"/>
      <sheetName val="Module1"/>
      <sheetName val="Module2"/>
      <sheetName val="MM"/>
      <sheetName val="견적표지"/>
      <sheetName val="견적서"/>
      <sheetName val="부하계산서 (영문)"/>
      <sheetName val="PEND-ITEM"/>
      <sheetName val="PEND-ITEM (2)"/>
      <sheetName val="PEND-99"/>
      <sheetName val="0000"/>
      <sheetName val="설계자료"/>
      <sheetName val="Sheet1"/>
      <sheetName val="Sheet3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6"/>
      <sheetName val="Sheet16"/>
      <sheetName val="VXXXXXX"/>
      <sheetName val="목록"/>
      <sheetName val="파일정리"/>
      <sheetName val="견적표지(종)"/>
      <sheetName val="견적표지 (횡)"/>
      <sheetName val="1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xxxxxx"/>
      <sheetName val="（２）"/>
      <sheetName val="（３） "/>
      <sheetName val="97년-98년"/>
      <sheetName val="Sheet5"/>
      <sheetName val="주간업무보고"/>
      <sheetName val="주간업무보고4월첫째"/>
      <sheetName val="부재중업무보고"/>
      <sheetName val="주간업무보고4월네째"/>
      <sheetName val="3"/>
      <sheetName val="Sheet2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Sheet3-1"/>
      <sheetName val="Sheet4"/>
      <sheetName val="물가자료비교"/>
      <sheetName val="3사단가비교"/>
      <sheetName val="대동"/>
      <sheetName val="성림"/>
      <sheetName val="금강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#REF"/>
      <sheetName val="건축(주상복합)"/>
      <sheetName val="옥외및기타"/>
      <sheetName val="파일공사(APT)"/>
      <sheetName val="파일공사(부대동)"/>
      <sheetName val="총괄"/>
      <sheetName val="의뢰서"/>
      <sheetName val="공통비"/>
      <sheetName val="PAC"/>
      <sheetName val="남양시작동자105노65기1.3화1.2"/>
      <sheetName val="일위대가(가설)"/>
      <sheetName val="물가자료"/>
      <sheetName val="Y-WORK"/>
      <sheetName val="97 사업추정(WEKI)"/>
      <sheetName val="단중표"/>
      <sheetName val="터파기및재료"/>
      <sheetName val="1차설계변경내역"/>
      <sheetName val="직노"/>
      <sheetName val="기계설비"/>
      <sheetName val="bid"/>
      <sheetName val="내역"/>
      <sheetName val="내역서"/>
      <sheetName val="관람석제출"/>
      <sheetName val="base"/>
      <sheetName val="빙설"/>
      <sheetName val="첨부1-1"/>
      <sheetName val="TRE TABLE"/>
      <sheetName val="PE거푸집(1.2)"/>
      <sheetName val="일위대가"/>
      <sheetName val="자재단가"/>
      <sheetName val="자단"/>
      <sheetName val="인공산출"/>
      <sheetName val="단락전류-A"/>
      <sheetName val="고분전시관"/>
      <sheetName val="금융비용"/>
      <sheetName val="단가비교표"/>
      <sheetName val="입력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소방"/>
      <sheetName val="동영견적(갑지)"/>
      <sheetName val="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부대시설"/>
      <sheetName val="Apt내역"/>
      <sheetName val="단가표"/>
      <sheetName val="EJ"/>
      <sheetName val="설계개요"/>
      <sheetName val="기초입력"/>
      <sheetName val="추정공사비계산"/>
      <sheetName val="추정공사비 산출결과"/>
      <sheetName val="데이터"/>
      <sheetName val="급수공과금양식"/>
      <sheetName val="을지"/>
      <sheetName val="충주내역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위생-sa"/>
      <sheetName val="돈암사업"/>
      <sheetName val="일반사항(1,2면)"/>
      <sheetName val="의무사항(3면)"/>
      <sheetName val="에너지성능지표검토서(건축)"/>
      <sheetName val="에너지성능지표검토서(기계, 전기, 신재생)"/>
      <sheetName val="APT"/>
      <sheetName val="부속동"/>
      <sheetName val="현관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전계가"/>
      <sheetName val="공통가설"/>
      <sheetName val="단가조사"/>
      <sheetName val="토목공사"/>
      <sheetName val="N賃率-職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5-1.인원(온정각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cover"/>
      <sheetName val="1장 "/>
      <sheetName val="1.개요 "/>
      <sheetName val="2.조건 "/>
      <sheetName val="3.공식붙임"/>
      <sheetName val="2장"/>
      <sheetName val="냉난방"/>
      <sheetName val="3장"/>
      <sheetName val="열원장비"/>
      <sheetName val="4장 "/>
      <sheetName val="1.AHU "/>
      <sheetName val="2.AHU-1"/>
      <sheetName val="2.FAN"/>
      <sheetName val="환기량"/>
      <sheetName val="5장"/>
      <sheetName val="1.급탕"/>
      <sheetName val="6장 별첨"/>
      <sheetName val="외기조건"/>
      <sheetName val="면적&amp;재실인원"/>
      <sheetName val="냉방부하"/>
      <sheetName val="AHU-1"/>
      <sheetName val="AHU-2"/>
      <sheetName val="AHU-3"/>
      <sheetName val="AHU-4"/>
      <sheetName val="AHU-5"/>
      <sheetName val="AHU-6"/>
      <sheetName val="효율비교"/>
      <sheetName val="ITEM"/>
      <sheetName val="참조"/>
      <sheetName val="2공구산출내역"/>
      <sheetName val="구조물견적서"/>
      <sheetName val="삭제금지단가"/>
      <sheetName val="청산공사"/>
      <sheetName val="기성내역"/>
      <sheetName val="건축공사실행"/>
      <sheetName val="BOX날개벽"/>
      <sheetName val="갑지"/>
      <sheetName val="수량산출"/>
      <sheetName val="IMP(MAIN)"/>
      <sheetName val="IMP (REACTOR)"/>
      <sheetName val="변압기L"/>
      <sheetName val="변압기E"/>
      <sheetName val="GEN "/>
      <sheetName val="세대"/>
      <sheetName val="L"/>
      <sheetName val="P"/>
      <sheetName val="LE"/>
      <sheetName val="주차장"/>
      <sheetName val="동력"/>
      <sheetName val="전압강하"/>
      <sheetName val="접지"/>
      <sheetName val="밧데리및정류기"/>
      <sheetName val="조도"/>
      <sheetName val="TRAY"/>
      <sheetName val="단락용량"/>
      <sheetName val="1동"/>
      <sheetName val="2동"/>
      <sheetName val="3동"/>
      <sheetName val="4동"/>
      <sheetName val="5동"/>
      <sheetName val="전화"/>
      <sheetName val="방송"/>
      <sheetName val="소요자재"/>
      <sheetName val="SUMMARY"/>
      <sheetName val="PAINT"/>
      <sheetName val="(첨부3)급탕,온수시방"/>
      <sheetName val="(첨부3)냉수,냉온수보온시방"/>
      <sheetName val="(첨부3)냉매보온"/>
      <sheetName val="잡비"/>
      <sheetName val="45,46"/>
      <sheetName val="6호기"/>
      <sheetName val="당사수지비교표"/>
      <sheetName val="7.수지"/>
      <sheetName val="표지 (2)"/>
      <sheetName val="도급FORM"/>
      <sheetName val="수량산출서"/>
      <sheetName val="교통대책내역"/>
      <sheetName val="설계예산서"/>
      <sheetName val="EACT10"/>
      <sheetName val="업체별기성내역"/>
      <sheetName val="맨홀"/>
      <sheetName val="unit 4"/>
      <sheetName val="ABUT수량-A1"/>
      <sheetName val="골조시행"/>
      <sheetName val="손익차9월2"/>
      <sheetName val="카렌스센터계량기설치공사"/>
      <sheetName val="산출-설비"/>
      <sheetName val="안양1공구_건축"/>
      <sheetName val="본선집계표"/>
      <sheetName val="차액보증"/>
      <sheetName val="품셈TABLE"/>
      <sheetName val="원내역서3"/>
      <sheetName val="매각(6)"/>
      <sheetName val="TOWER 12TON"/>
      <sheetName val="JIB CRANE,HOIST"/>
      <sheetName val="TOWER 10TON"/>
      <sheetName val="주소"/>
      <sheetName val="간접비"/>
      <sheetName val="와동25-3(변경)"/>
      <sheetName val="P.M 별"/>
      <sheetName val="Total"/>
      <sheetName val="기초단가"/>
      <sheetName val="3.건축(현장안)"/>
      <sheetName val="J直材4"/>
      <sheetName val="sst,stl창호"/>
      <sheetName val="BEND LOSS"/>
      <sheetName val="수입"/>
      <sheetName val="Baby일위대가"/>
      <sheetName val="작업지시서-1호"/>
      <sheetName val="노임단가"/>
      <sheetName val="DAN"/>
      <sheetName val="백호우계수"/>
      <sheetName val="방수몰탈"/>
      <sheetName val="토건"/>
      <sheetName val="1차 내역서"/>
      <sheetName val="분양가"/>
      <sheetName val="노무산출서"/>
      <sheetName val="간접"/>
      <sheetName val="SEV wiress4 Total"/>
      <sheetName val="SEV wireles 4  fire fighting "/>
      <sheetName val="1-2-1"/>
      <sheetName val="1-2-2"/>
      <sheetName val="1-2-3"/>
      <sheetName val="1-3-1"/>
      <sheetName val="1-3-2"/>
      <sheetName val="1-3-3"/>
      <sheetName val="1-3-4"/>
      <sheetName val="2-1"/>
      <sheetName val="2-2-1"/>
      <sheetName val="2-2-2"/>
      <sheetName val="3-1"/>
      <sheetName val="3-2"/>
      <sheetName val="4-1"/>
      <sheetName val="4-2"/>
      <sheetName val="SEV wireles 4  fire Alarm"/>
      <sheetName val="B.1-1"/>
      <sheetName val="B.1-2"/>
      <sheetName val="B.1-3"/>
      <sheetName val="B.1-4"/>
      <sheetName val="B.1-5"/>
      <sheetName val="B.1-6"/>
      <sheetName val="B.1-7"/>
      <sheetName val="B.2"/>
      <sheetName val="B.3"/>
      <sheetName val="B.4"/>
      <sheetName val="B.6-1"/>
      <sheetName val="B.6-2"/>
      <sheetName val="개산공사비"/>
      <sheetName val="누락일위대가내역"/>
      <sheetName val="설직재-1"/>
      <sheetName val="산출내역서"/>
      <sheetName val="시운전연료"/>
      <sheetName val="유동표"/>
      <sheetName val="인건비"/>
      <sheetName val="입찰안"/>
      <sheetName val="내역표지"/>
      <sheetName val="각형덕트"/>
      <sheetName val="터미널측정기록"/>
      <sheetName val="7.경제성결과"/>
      <sheetName val="갑지(추정)"/>
      <sheetName val="세원견적서"/>
      <sheetName val="남대문빌딩"/>
      <sheetName val="냉천부속동"/>
      <sheetName val="수목표준대가"/>
      <sheetName val="hvac(제어동)"/>
      <sheetName val="고효율 유도전동기 적용비율 계산서"/>
      <sheetName val="경산"/>
      <sheetName val="WEIGHT LIST"/>
      <sheetName val="산#2-1 (2)"/>
      <sheetName val="일반공사"/>
      <sheetName val="데이타"/>
      <sheetName val="CONCRETE"/>
      <sheetName val="소요자재명세서"/>
      <sheetName val="노무비명세서"/>
      <sheetName val="SIL98"/>
      <sheetName val="설비2차"/>
      <sheetName val="설계예시"/>
      <sheetName val="일위대가표"/>
      <sheetName val="을"/>
      <sheetName val="부대공"/>
      <sheetName val="포장공"/>
      <sheetName val="토공"/>
      <sheetName val="5사남"/>
      <sheetName val="마감사양"/>
      <sheetName val="금융"/>
      <sheetName val="공통부대비"/>
      <sheetName val="영업소실적"/>
      <sheetName val="99년하반기"/>
      <sheetName val="ELECTRIC"/>
      <sheetName val="총괄집계표"/>
      <sheetName val="1.구리중 (제조사A)"/>
      <sheetName val="1.구리중 (제조사B)"/>
      <sheetName val="1.구리중 (제조사C)"/>
      <sheetName val="2.토평초(제조사A)"/>
      <sheetName val="2.토평초(제조사B)"/>
      <sheetName val="2.토평초(제조사C)"/>
      <sheetName val="3.평내초(제조사A)"/>
      <sheetName val="3.평내초(제조사B)"/>
      <sheetName val="3.평내초(제조사C)"/>
      <sheetName val="전체(삼성모델)"/>
      <sheetName val="전체(케리어모델)"/>
      <sheetName val="MDF"/>
      <sheetName val="실외기 배관트레이"/>
      <sheetName val="중앙콘트롤러설치용전선 "/>
      <sheetName val="자재단가표"/>
      <sheetName val="실내기전원"/>
      <sheetName val="1.수인터널"/>
      <sheetName val="공내역"/>
      <sheetName val="일위대가(계측기설치)"/>
      <sheetName val="노임조서"/>
      <sheetName val="설 계"/>
      <sheetName val="구의33고"/>
      <sheetName val="새공통"/>
      <sheetName val="입출재고현황 (2)"/>
      <sheetName val="_x000f__x0000_"/>
      <sheetName val="수리결과"/>
      <sheetName val="출장거리"/>
      <sheetName val="총괄장"/>
      <sheetName val="의류패션팀"/>
      <sheetName val="잡화가용팀"/>
      <sheetName val="판매기획팀"/>
      <sheetName val="식품팀"/>
      <sheetName val="과투입사유서"/>
      <sheetName val="공사현황"/>
      <sheetName val="갑지 (2)"/>
      <sheetName val="비목별 투자 집계"/>
      <sheetName val="목차2"/>
      <sheetName val="미불금"/>
      <sheetName val="상용인건비"/>
      <sheetName val="노무비집계"/>
      <sheetName val="보인"/>
      <sheetName val="목공(직영)"/>
      <sheetName val="측구목공(외주)"/>
      <sheetName val="목공교량외주"/>
      <sheetName val="철근교량외주"/>
      <sheetName val="조원공(외주)"/>
      <sheetName val="기성검사원"/>
      <sheetName val="외주집계"/>
      <sheetName val="모작기성"/>
      <sheetName val="수량집계표"/>
      <sheetName val="장비사용집계표"/>
      <sheetName val="장비사용내역"/>
      <sheetName val="자재집계표"/>
      <sheetName val="자재비내역 "/>
      <sheetName val="잡자재집계표"/>
      <sheetName val="잡자재비내역"/>
      <sheetName val="유류비집계표"/>
      <sheetName val="유대공제분산출내역"/>
      <sheetName val="유류사용내역서(관문)"/>
      <sheetName val="유류사용내역서(진성)"/>
      <sheetName val="기타유류내역"/>
      <sheetName val="운반비"/>
      <sheetName val="운반비 내역"/>
      <sheetName val="수선수리비집계표"/>
      <sheetName val="수선수리비내역"/>
      <sheetName val="소모공구비"/>
      <sheetName val="소모공구내역"/>
      <sheetName val="사무 용품비"/>
      <sheetName val="사무용품내역서"/>
      <sheetName val="안전관리비집계표"/>
      <sheetName val="안전관리비내역"/>
      <sheetName val="현장경비"/>
      <sheetName val="현장경비내역"/>
      <sheetName val="전기통신비"/>
      <sheetName val="지대 및 집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">
          <cell r="C2" t="str">
            <v>방위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/>
      <sheetData sheetId="311"/>
      <sheetData sheetId="312"/>
      <sheetData sheetId="313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  <sheetName val="001"/>
      <sheetName val="인사자료총집계"/>
      <sheetName val="을"/>
      <sheetName val="하수급견적대비"/>
      <sheetName val="CON'C"/>
      <sheetName val="계약내역서"/>
      <sheetName val="정보"/>
      <sheetName val="Breakdow~"/>
      <sheetName val="내역"/>
      <sheetName val="0226"/>
      <sheetName val="예산명세서"/>
      <sheetName val="설계명세서"/>
      <sheetName val="자료입력"/>
      <sheetName val="기본일위"/>
      <sheetName val="갑지(추정)"/>
      <sheetName val="소특"/>
      <sheetName val="소요자재"/>
      <sheetName val="노무산출서"/>
      <sheetName val="입력"/>
      <sheetName val="일위_파일"/>
      <sheetName val="빗물받이(910-510-410)"/>
      <sheetName val="기본사항"/>
      <sheetName val="수정시산표"/>
      <sheetName val="const."/>
      <sheetName val="마산월령동골조물량변경"/>
      <sheetName val="형틀공사"/>
      <sheetName val="퇴직금(울산천상)"/>
      <sheetName val="98지급계획"/>
      <sheetName val="공사개요"/>
      <sheetName val="공통비(전체)"/>
      <sheetName val="설계"/>
      <sheetName val="코드"/>
      <sheetName val="식재인부"/>
      <sheetName val="노임이"/>
      <sheetName val="가시설흙막이"/>
      <sheetName val="PET중합K "/>
      <sheetName val="개산공사비"/>
      <sheetName val="콘크리트타설집계표"/>
      <sheetName val="부하(성남)"/>
      <sheetName val="I一般比"/>
      <sheetName val="Sheet2"/>
      <sheetName val="설계내역서"/>
      <sheetName val="B"/>
      <sheetName val="工완성공사율"/>
      <sheetName val="4층내역"/>
      <sheetName val="현장별계약현황('98.10.31)"/>
      <sheetName val="실행철강하도"/>
      <sheetName val="입찰"/>
      <sheetName val="현경"/>
      <sheetName val="갑지"/>
      <sheetName val="프랜트면허"/>
      <sheetName val="토목주소"/>
      <sheetName val="단가사정"/>
      <sheetName val="일위대가"/>
      <sheetName val="영업2"/>
      <sheetName val="공사비집계"/>
      <sheetName val="경상직원"/>
      <sheetName val="산출내역서"/>
      <sheetName val="BID"/>
      <sheetName val="Sheet1"/>
      <sheetName val="000000"/>
      <sheetName val="갈현동"/>
      <sheetName val="환산"/>
      <sheetName val="연돌일위집계"/>
      <sheetName val="일위대가(여기까지)"/>
      <sheetName val="공문"/>
      <sheetName val="품셈"/>
      <sheetName val="공비대비"/>
      <sheetName val="품"/>
      <sheetName val="3_공통공사대비"/>
      <sheetName val="#REF"/>
      <sheetName val="원가계산_(2)"/>
      <sheetName val="_견적서"/>
      <sheetName val="견적내역"/>
      <sheetName val="대비"/>
      <sheetName val="금액내역서"/>
      <sheetName val="95MAKER"/>
      <sheetName val="SG"/>
      <sheetName val="동해title"/>
      <sheetName val="계산서"/>
      <sheetName val="음료실행"/>
      <sheetName val="자재단가"/>
      <sheetName val="중기일위대가"/>
      <sheetName val="직공비"/>
      <sheetName val="날개벽수량표"/>
      <sheetName val="내역서1"/>
      <sheetName val="입출재고현황 (2)"/>
      <sheetName val="6호기"/>
      <sheetName val="화재 탐지 설비"/>
      <sheetName val="경비예산(계정과목)"/>
      <sheetName val="전도금신청서(일반및편의점공통)"/>
      <sheetName val="전도금정산서B"/>
      <sheetName val="전도금정산서A"/>
      <sheetName val="전도금중간집계B"/>
      <sheetName val="전도금일보C"/>
      <sheetName val="직노"/>
      <sheetName val="유기공정"/>
      <sheetName val="inter"/>
      <sheetName val="납부서"/>
      <sheetName val="기초자료입력"/>
      <sheetName val="Sheet5"/>
      <sheetName val="데이타"/>
      <sheetName val="산근"/>
      <sheetName val="I-KAMAR"/>
      <sheetName val="Quantity"/>
      <sheetName val="침하계"/>
      <sheetName val="ESTI."/>
      <sheetName val="DI-ESTI"/>
      <sheetName val="BT-DSPK"/>
      <sheetName val="Base"/>
      <sheetName val="실행내역서 "/>
      <sheetName val="BOQ.X1"/>
      <sheetName val="Sheet39"/>
      <sheetName val="97년 투입원가명세서"/>
      <sheetName val="97년직간접외주비"/>
      <sheetName val="98년직간접외주비"/>
      <sheetName val="예산서"/>
      <sheetName val="Re-bar"/>
      <sheetName val="차액보증"/>
      <sheetName val="조명시설"/>
      <sheetName val="시설장비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  <sheetName val="역공종"/>
      <sheetName val="원가서"/>
      <sheetName val="건축공사실행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변경명신물량 (2)"/>
      <sheetName val="VXXXXXXX"/>
      <sheetName val="xxxxxx"/>
      <sheetName val="현장관리비"/>
      <sheetName val="예가표"/>
      <sheetName val="ARCH"/>
      <sheetName val="비가동-20"/>
      <sheetName val="5사남"/>
      <sheetName val="직접비"/>
      <sheetName val="982월원안"/>
      <sheetName val="공문"/>
      <sheetName val="환산TB"/>
      <sheetName val="저속"/>
      <sheetName val="6월 공정외주"/>
      <sheetName val="공정단가계약"/>
      <sheetName val="예적금"/>
      <sheetName val="2. 집계표"/>
      <sheetName val="마산월령동골조물량변경"/>
      <sheetName val="경비"/>
      <sheetName val="TEMP1"/>
      <sheetName val="TEMP2"/>
      <sheetName val="BS"/>
      <sheetName val="PL"/>
      <sheetName val="정리-처리내역"/>
      <sheetName val="kook"/>
      <sheetName val="한울변경"/>
      <sheetName val="손익계산서"/>
      <sheetName val="덕전리"/>
      <sheetName val="업체(1117)"/>
      <sheetName val="해외 기술훈련비 (합계)"/>
      <sheetName val="부서코드표"/>
      <sheetName val="M_6회차 담금_계획"/>
      <sheetName val="A1"/>
      <sheetName val="시험연구비상각"/>
      <sheetName val="집기비품(제조)"/>
      <sheetName val="대형원계"/>
      <sheetName val="93상각비"/>
      <sheetName val="Comments"/>
      <sheetName val="VXXXXXX"/>
      <sheetName val="비용"/>
      <sheetName val="Sum"/>
      <sheetName val="cash_flow"/>
      <sheetName val="준검 내역서"/>
      <sheetName val="BATCH"/>
      <sheetName val="학생내역"/>
      <sheetName val="양식(직판용)"/>
      <sheetName val="확정현황"/>
      <sheetName val="요약BS"/>
      <sheetName val="외화계약"/>
      <sheetName val="수불부"/>
      <sheetName val="표지"/>
      <sheetName val="신대방33(적용)"/>
      <sheetName val="에너지 절감-역률개선"/>
      <sheetName val="기초"/>
      <sheetName val="요율표"/>
      <sheetName val="월별종합"/>
      <sheetName val="예총"/>
      <sheetName val="총괄표"/>
      <sheetName val="총원가계산서(요율)"/>
      <sheetName val="00상노임"/>
      <sheetName val="P.M 별"/>
      <sheetName val="표준코드"/>
      <sheetName val="측량비"/>
      <sheetName val="1안"/>
      <sheetName val="PIS"/>
      <sheetName val="율표"/>
      <sheetName val="Sheet11"/>
      <sheetName val="$bhp"/>
      <sheetName val="현금흐름"/>
      <sheetName val="2-2.매출분석"/>
      <sheetName val="외주현황.wq1"/>
      <sheetName val="병"/>
      <sheetName val="여신보고용"/>
      <sheetName val="경영현황"/>
      <sheetName val="9710"/>
      <sheetName val="저속생산"/>
      <sheetName val="중속"/>
      <sheetName val="차수"/>
      <sheetName val="연구인원내역"/>
      <sheetName val="만년달력"/>
      <sheetName val="휴일"/>
      <sheetName val="생산량"/>
      <sheetName val="Detail"/>
      <sheetName val="수정시산표"/>
      <sheetName val="Lead"/>
      <sheetName val="금액내역서"/>
      <sheetName val="4b Consolidated PL"/>
      <sheetName val="RE9604"/>
      <sheetName val="BM_NEW2"/>
      <sheetName val="TNC(1안)"/>
      <sheetName val="bond_bdb"/>
      <sheetName val="guard(mac)"/>
      <sheetName val="노임"/>
      <sheetName val="I一般比"/>
      <sheetName val="wall"/>
      <sheetName val="내역(전체)"/>
      <sheetName val="기초코드"/>
      <sheetName val="XL4Poppy"/>
      <sheetName val="1,2공구원가계산서"/>
      <sheetName val="2공구산출내역"/>
      <sheetName val="1공구산출내역서"/>
      <sheetName val="마산방향"/>
      <sheetName val="진주방향"/>
      <sheetName val="기계경비"/>
      <sheetName val="공통가설"/>
      <sheetName val="건축개요"/>
      <sheetName val="정렬"/>
      <sheetName val="골조시행"/>
      <sheetName val="시화점실행"/>
      <sheetName val="몰탈"/>
      <sheetName val="공비대비"/>
      <sheetName val="변경비교-을"/>
      <sheetName val="기본DATA"/>
      <sheetName val="방배동내역(리라)"/>
      <sheetName val="가2"/>
      <sheetName val="항목"/>
      <sheetName val="아파트 "/>
      <sheetName val="전기샘플"/>
      <sheetName val="코드"/>
      <sheetName val="월별수입"/>
      <sheetName val="남양내역"/>
      <sheetName val="bid"/>
      <sheetName val="9GNG운반"/>
      <sheetName val="fs"/>
      <sheetName val="코드표"/>
      <sheetName val="DATE"/>
      <sheetName val="사업분석"/>
      <sheetName val="명세"/>
      <sheetName val="인원계획-미화"/>
      <sheetName val="unit 4"/>
      <sheetName val="연차1"/>
      <sheetName val="무형조정"/>
      <sheetName val="0701"/>
      <sheetName val="시산표"/>
      <sheetName val="평가&amp;선급.미지급"/>
      <sheetName val="5.1(01)"/>
      <sheetName val="CD-ROM Title"/>
      <sheetName val="계획"/>
      <sheetName val="APT"/>
      <sheetName val="총괄"/>
      <sheetName val="정리"/>
      <sheetName val="부속계정"/>
      <sheetName val="비교표"/>
      <sheetName val="손익계산서(SJ)"/>
      <sheetName val="Electrical Load List"/>
      <sheetName val="본사인상전"/>
      <sheetName val="수정계획3"/>
      <sheetName val="건설성적"/>
      <sheetName val="구의33고"/>
      <sheetName val="2.대외공문"/>
      <sheetName val="수리결과"/>
      <sheetName val="콘크리트타설집계표"/>
      <sheetName val="차체부품 INS REPORT(갑)"/>
      <sheetName val="Config"/>
      <sheetName val="배수관공"/>
      <sheetName val="팀코드 및 예산계정"/>
      <sheetName val="투자계획"/>
      <sheetName val="PL월별실적"/>
      <sheetName val="科目表"/>
      <sheetName val="설비등록목록"/>
      <sheetName val="loading"/>
      <sheetName val="①매출"/>
      <sheetName val="자바라1"/>
      <sheetName val="플랜트_설치1"/>
      <sheetName val="안양동교_1안1"/>
      <sheetName val="Anam_Fab_PL1"/>
      <sheetName val="M_6회차_담금_계획"/>
      <sheetName val="에너지_절감-역률개선"/>
      <sheetName val="해외_기술훈련비_(합계)"/>
      <sheetName val="2_주요계수총괄"/>
      <sheetName val="6월_공정외주"/>
      <sheetName val="2__집계표"/>
      <sheetName val="변경명신물량_(2)"/>
      <sheetName val="준검_내역서"/>
      <sheetName val="COLOR별 인쇄"/>
      <sheetName val="플랜트_설치2"/>
      <sheetName val="안양동교_1안2"/>
      <sheetName val="Anam_Fab_PL2"/>
      <sheetName val="M_6회차_담금_계획1"/>
      <sheetName val="에너지_절감-역률개선1"/>
      <sheetName val="해외_기술훈련비_(합계)1"/>
      <sheetName val="2_주요계수총괄1"/>
      <sheetName val="6월_공정외주1"/>
      <sheetName val="2__집계표1"/>
      <sheetName val="변경명신물량_(2)1"/>
      <sheetName val="준검_내역서1"/>
      <sheetName val="COLOR별_인쇄"/>
      <sheetName val="평택081229 세부내역"/>
      <sheetName val="호프"/>
      <sheetName val="집계표결과"/>
      <sheetName val="식음료"/>
      <sheetName val="지분법평가(반기)"/>
      <sheetName val="DISTANCE"/>
      <sheetName val="108.수선비"/>
      <sheetName val="tsuga"/>
      <sheetName val="Sheet1 (2)"/>
      <sheetName val="10월 급여"/>
      <sheetName val="9908"/>
      <sheetName val="INDEX"/>
      <sheetName val="인원자료"/>
      <sheetName val="부서별공수"/>
      <sheetName val="투입공수"/>
      <sheetName val="생산"/>
      <sheetName val="자재재고"/>
      <sheetName val="재공재고"/>
      <sheetName val="품질현황-보류"/>
      <sheetName val="사업자등록증"/>
      <sheetName val="현금"/>
      <sheetName val="주요기준"/>
      <sheetName val="23기-3분기결산PL"/>
      <sheetName val="적용환율"/>
      <sheetName val="제품코드"/>
      <sheetName val="기본자료"/>
      <sheetName val="9703"/>
      <sheetName val="아이넷"/>
      <sheetName val="재무가정"/>
      <sheetName val="Occupancy Scenario"/>
      <sheetName val="FOOD&amp;BEVERAGE"/>
      <sheetName val="퇴직영수증"/>
      <sheetName val="회사내역"/>
      <sheetName val="실행갑지"/>
      <sheetName val="총괄집계"/>
      <sheetName val="연결임시"/>
      <sheetName val="감액총괄표"/>
      <sheetName val="상품입고집계"/>
      <sheetName val="투자재원"/>
      <sheetName val="CVR전체Item"/>
      <sheetName val="건설가"/>
      <sheetName val="2001Org"/>
      <sheetName val="支払手形"/>
      <sheetName val="雑収"/>
      <sheetName val="손익차9월2"/>
      <sheetName val="Borrower"/>
      <sheetName val="2.상각보정명세"/>
      <sheetName val="유림골조"/>
      <sheetName val="97부과내역 "/>
      <sheetName val="nr030112"/>
      <sheetName val="건축원가"/>
      <sheetName val="DATA SHEET 57C-1"/>
      <sheetName val="본사"/>
      <sheetName val="E총"/>
      <sheetName val="파이프류"/>
      <sheetName val="기계"/>
      <sheetName val="비품"/>
      <sheetName val="01상반"/>
      <sheetName val="P&amp;ID650"/>
      <sheetName val="5.경상직원"/>
      <sheetName val="DAT(목표)"/>
      <sheetName val="기안"/>
      <sheetName val="소상 &quot;1&quot;"/>
      <sheetName val="장비 (2)"/>
      <sheetName val="3.공통공사대비"/>
      <sheetName val="수량산출서"/>
      <sheetName val="CTRL"/>
      <sheetName val="대비"/>
      <sheetName val="업무분장"/>
      <sheetName val="주관사업"/>
      <sheetName val="협조전"/>
      <sheetName val="단가(마감)"/>
      <sheetName val="노무비단가"/>
      <sheetName val="직재"/>
      <sheetName val="침하계"/>
      <sheetName val="s"/>
      <sheetName val="원가총괄"/>
      <sheetName val="산출근거1"/>
      <sheetName val="낙찰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  <sheetName val="산3_4"/>
      <sheetName val="본실행경비"/>
      <sheetName val="적용토목"/>
      <sheetName val="선급금신청서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1-1"/>
      <sheetName val="요약서"/>
      <sheetName val="22인공"/>
      <sheetName val="위치"/>
      <sheetName val="울진항공등화 내역서"/>
      <sheetName val="SHEET PILE단가"/>
      <sheetName val="GRD⍠も"/>
      <sheetName val="맨홀수량산출(A-LINE)"/>
      <sheetName val="원하대비"/>
      <sheetName val="대공종"/>
      <sheetName val="0.0ControlSheet"/>
      <sheetName val="0.1keyAssumption"/>
      <sheetName val="현장관리"/>
      <sheetName val="횡배수관토공수량"/>
      <sheetName val="접속도로1"/>
      <sheetName val="인건-측정"/>
      <sheetName val="BJJIN"/>
      <sheetName val="공제구간조서"/>
      <sheetName val="전체_1설계"/>
      <sheetName val="수로단위수량"/>
      <sheetName val="A-7-1LINE(수량)"/>
      <sheetName val="상-교대(A1-A2)"/>
      <sheetName val="기성신청"/>
      <sheetName val="하수급견적대비"/>
      <sheetName val="공문(신)"/>
      <sheetName val="APT"/>
      <sheetName val="STAND20"/>
      <sheetName val="부하(성남)"/>
      <sheetName val="강교(Sub)"/>
      <sheetName val="배수통관(좌)"/>
      <sheetName val="맨홀수량"/>
      <sheetName val="전차선로 물량표"/>
      <sheetName val="TYPE-A"/>
      <sheetName val="위치조서"/>
      <sheetName val="광산내역"/>
      <sheetName val="2000년하반기"/>
      <sheetName val="4.내진설계"/>
      <sheetName val="공사"/>
      <sheetName val="현장별계약현황('98.10.31)"/>
      <sheetName val="4)유동표"/>
      <sheetName val="충주"/>
      <sheetName val="구의33고"/>
      <sheetName val="전신"/>
      <sheetName val="wall"/>
      <sheetName val="설계내역서"/>
      <sheetName val="96보완계획7.12"/>
      <sheetName val="배관단가조사서"/>
      <sheetName val="교각1"/>
      <sheetName val="type-F"/>
      <sheetName val="설계예산"/>
      <sheetName val="전신환매도율"/>
      <sheetName val="손익현황"/>
      <sheetName val="현황CODE"/>
      <sheetName val="교대(A1)"/>
      <sheetName val="I一般比"/>
      <sheetName val="관일"/>
      <sheetName val="투찰(하수)"/>
      <sheetName val="현대물량"/>
      <sheetName val="nys"/>
      <sheetName val="일위대가(계측기설치)"/>
      <sheetName val="설계조건"/>
      <sheetName val="부재력정리"/>
      <sheetName val="최초침전지집계표"/>
      <sheetName val="TB-내역서"/>
      <sheetName val="EQUIP-H"/>
      <sheetName val="200"/>
      <sheetName val="신대방33(적용)"/>
      <sheetName val="구천"/>
      <sheetName val="평3"/>
      <sheetName val="수량조서"/>
      <sheetName val="현황산출서"/>
      <sheetName val="부대입찰 내역서"/>
      <sheetName val=" 총괄표"/>
      <sheetName val="적용대가"/>
      <sheetName val="공종별산출내역서"/>
      <sheetName val="수자재단위당"/>
      <sheetName val="자재목록"/>
      <sheetName val="중기목록"/>
      <sheetName val="노임목록"/>
      <sheetName val="제잡비.xls"/>
      <sheetName val="Eq. Mobilization"/>
      <sheetName val="3BL공동구 수량"/>
      <sheetName val="토공(우물통,기타) "/>
      <sheetName val="명단"/>
      <sheetName val="포장단면별단위수량"/>
      <sheetName val="2.고용보험료산출근거"/>
      <sheetName val="세금자료"/>
      <sheetName val="연습"/>
      <sheetName val="자재집계표"/>
      <sheetName val="포장공자재집계표"/>
      <sheetName val="토목내역"/>
      <sheetName val="0_0ControlSheet"/>
      <sheetName val="0_1keyAssumption"/>
      <sheetName val="Front"/>
      <sheetName val="건축집계"/>
      <sheetName val="Type(123)"/>
      <sheetName val="전라자금"/>
      <sheetName val="b_yesan"/>
      <sheetName val="횡배수관"/>
      <sheetName val="원가계산 (2)"/>
      <sheetName val="화설내"/>
      <sheetName val="도급b_balju"/>
      <sheetName val="뚝토공"/>
      <sheetName val="건축내역(진해석동)"/>
      <sheetName val="주경기-오배수"/>
      <sheetName val="팔당터널(1공구)"/>
      <sheetName val="VXXXXXXX"/>
      <sheetName val="전기단가조사서"/>
      <sheetName val="설계서"/>
      <sheetName val="총공사비"/>
      <sheetName val="집계표(수배전제조구매)"/>
      <sheetName val="F4-F7"/>
      <sheetName val="장비당단가 (1)"/>
      <sheetName val="Sheet2 (2)"/>
      <sheetName val="업무"/>
      <sheetName val="보고"/>
      <sheetName val="건축-물가변동"/>
      <sheetName val="_REF"/>
      <sheetName val="정보"/>
      <sheetName val="종단계산"/>
      <sheetName val="입적6-10"/>
      <sheetName val="실행간접비용"/>
      <sheetName val="마산방향"/>
      <sheetName val="INPUT(덕도방향-시점)"/>
      <sheetName val="CPM챠트"/>
      <sheetName val="지우지마"/>
      <sheetName val="설계기준"/>
      <sheetName val="내역1"/>
      <sheetName val="DC-O-4-S(설명서)"/>
      <sheetName val="평균터파기고(1-2,ASP)"/>
      <sheetName val="내   역"/>
      <sheetName val="단가(반정1교-원주)"/>
      <sheetName val="주요자재단가"/>
      <sheetName val="각형맨홀"/>
      <sheetName val="본공사"/>
      <sheetName val="자금청구"/>
      <sheetName val="0Title"/>
      <sheetName val="경영혁신본부"/>
      <sheetName val="내역서01"/>
      <sheetName val="프라임 강변역(4,236)"/>
      <sheetName val="집계표(OPTION)"/>
      <sheetName val="물집"/>
      <sheetName val="음료실행"/>
      <sheetName val="하중"/>
      <sheetName val="장비별표(오거보링)(Ø400)(12M)"/>
      <sheetName val="공사비산출내역"/>
      <sheetName val="IW-LIST"/>
      <sheetName val="발주설계서(당초)"/>
      <sheetName val="설-원가"/>
      <sheetName val="변경후원본2"/>
      <sheetName val="콤보박스와 리스트박스의 연결"/>
      <sheetName val="유형처분"/>
      <sheetName val="예산M6-B"/>
      <sheetName val="AB자재단가"/>
      <sheetName val="상세산출"/>
      <sheetName val="울산자금"/>
      <sheetName val="비교1"/>
      <sheetName val="신우"/>
      <sheetName val="강북라우터"/>
      <sheetName val="機器明細(MC)"/>
      <sheetName val="공사분석"/>
      <sheetName val="국내"/>
      <sheetName val="Sheet9"/>
      <sheetName val="건집"/>
      <sheetName val="기집"/>
      <sheetName val="토집"/>
      <sheetName val="조집"/>
      <sheetName val="2000년 공정표"/>
      <sheetName val="입찰보고"/>
      <sheetName val="건축적용원가계산"/>
      <sheetName val="총집계표"/>
      <sheetName val="신공항A-;(원가수정)"/>
      <sheetName val="수 량 명 세 서 - 1"/>
      <sheetName val="견적조건"/>
      <sheetName val="2.교량(신설)"/>
      <sheetName val="5.2코핑"/>
      <sheetName val="현경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TOT"/>
      <sheetName val="1호맨홀수량산출"/>
      <sheetName val="관련자료입력"/>
      <sheetName val="구조물철거타공정이월"/>
      <sheetName val="50-4(2차)"/>
      <sheetName val="철근단면적"/>
      <sheetName val="TBN실행"/>
      <sheetName val="지중자재단가"/>
      <sheetName val="역T형"/>
      <sheetName val="위생기구"/>
      <sheetName val="기계실냉난방"/>
      <sheetName val="4.경비 5.영업외수지"/>
      <sheetName val="TS"/>
      <sheetName val="지급어음"/>
      <sheetName val="최종보고1"/>
      <sheetName val="9-1차이내역"/>
      <sheetName val=" 견적서"/>
      <sheetName val="3월"/>
      <sheetName val="CJE"/>
      <sheetName val="내역서(전기)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예산총괄표"/>
      <sheetName val="대림경상68억"/>
      <sheetName val="별표 "/>
      <sheetName val="3F"/>
      <sheetName val="base"/>
      <sheetName val="포설list원본"/>
      <sheetName val="업무분장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간접경상비"/>
      <sheetName val="BREAKDOWN(철거설치)"/>
      <sheetName val="견적을지"/>
      <sheetName val="수토공단위당"/>
      <sheetName val="인원현황"/>
      <sheetName val="영업소실적"/>
      <sheetName val="대우"/>
      <sheetName val="1맨AO"/>
      <sheetName val="CALCULATION"/>
      <sheetName val="내역분기"/>
      <sheetName val="수목단가"/>
      <sheetName val="시설수량표"/>
      <sheetName val="식재수량표"/>
      <sheetName val="명세서"/>
      <sheetName val="입찰"/>
      <sheetName val="공통가설공사"/>
      <sheetName val="구분자"/>
      <sheetName val="1차설계변경내역"/>
      <sheetName val="간접"/>
      <sheetName val="작성기준"/>
      <sheetName val="본부장"/>
      <sheetName val="설계변경내역서"/>
      <sheetName val="전체내역 (2)"/>
      <sheetName val="Hyundai.Unit.cost.xls"/>
      <sheetName val="OPTION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공사기간"/>
      <sheetName val="년차"/>
      <sheetName val="실행간접비"/>
      <sheetName val="단가 및 재료비"/>
      <sheetName val="단가산출1"/>
      <sheetName val="일일현황"/>
      <sheetName val="Ⅱ1-0타"/>
      <sheetName val="용선 C.L"/>
      <sheetName val="C䈀꼬ԯ"/>
      <sheetName val="일일총괄"/>
      <sheetName val="연돌일위집계"/>
      <sheetName val="0226"/>
      <sheetName val="울산"/>
      <sheetName val="Anti"/>
      <sheetName val="Xunit (단위환산)"/>
      <sheetName val="당진1,2호기전선관설치및접지4차공사내역서-을지"/>
      <sheetName val="신천3호용수로"/>
      <sheetName val="통계연보"/>
      <sheetName val="제잡비"/>
      <sheetName val="대가표(품셈)"/>
      <sheetName val="FANDBS"/>
      <sheetName val="GRDATA"/>
      <sheetName val="SHAFTDBSE"/>
      <sheetName val="일 위 대 가 표"/>
      <sheetName val="일위목차"/>
      <sheetName val="영흥TL(UP,DOWN) "/>
      <sheetName val="공사비집계"/>
      <sheetName val="목록표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3"/>
      <sheetName val="Sheet14"/>
      <sheetName val="Sheet15"/>
      <sheetName val="노무비단가"/>
      <sheetName val="감곡소요"/>
      <sheetName val="기본사항"/>
      <sheetName val="95년12월말"/>
      <sheetName val="벽체면적당일위대가"/>
      <sheetName val="공통단가"/>
      <sheetName val="아파트건축"/>
      <sheetName val="내역서 "/>
      <sheetName val="물량집계표(1c)"/>
      <sheetName val="임차비용"/>
      <sheetName val="갑"/>
      <sheetName val="PAINT"/>
      <sheetName val="GRD郅≙"/>
      <sheetName val="고창방향"/>
      <sheetName val="가로등기초"/>
      <sheetName val="eq_dat_x0000_"/>
      <sheetName val="A1(구조물)"/>
      <sheetName val="A1(토공)"/>
      <sheetName val="철근집계표"/>
      <sheetName val="맨홀되메우기"/>
      <sheetName val="인입관수량총괄"/>
      <sheetName val="조명일위"/>
      <sheetName val="설계예시"/>
      <sheetName val="양배수장"/>
      <sheetName val="테이블"/>
      <sheetName val="고암DATA"/>
      <sheetName val="CԀ_x0000_缀"/>
      <sheetName val="D1.2 COF모듈자재 입출재고 (B급)"/>
      <sheetName val="주공기준"/>
      <sheetName val="학생내역"/>
      <sheetName val="설계명세"/>
      <sheetName val="A"/>
      <sheetName val="식재일위"/>
      <sheetName val="산출금액내역"/>
      <sheetName val="광통신 견적내역서1"/>
      <sheetName val="잡철물"/>
      <sheetName val="EJ"/>
      <sheetName val="실행(표지,갑,을)"/>
      <sheetName val="단중"/>
      <sheetName val="당초"/>
      <sheetName val="8)중점관리장비현황"/>
      <sheetName val="전체기준Data"/>
      <sheetName val="sw1"/>
      <sheetName val="database"/>
      <sheetName val="사통"/>
      <sheetName val="DATA 입력부"/>
      <sheetName val="Mc1"/>
      <sheetName val="Macro(전동기)"/>
      <sheetName val="CIP 공사"/>
      <sheetName val="일반수량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4_내진설계"/>
      <sheetName val="마감사양"/>
      <sheetName val="건축토목실행내역"/>
      <sheetName val="출장내역"/>
      <sheetName val="XL4Poppy"/>
      <sheetName val="10동"/>
      <sheetName val="5사남"/>
      <sheetName val="토량1-1"/>
      <sheetName val="C-노임단가"/>
      <sheetName val="전계가"/>
      <sheetName val="직공비"/>
      <sheetName val="NOMUBI"/>
      <sheetName val="식재"/>
      <sheetName val="시설물"/>
      <sheetName val="식재출력용"/>
      <sheetName val="유지관리"/>
      <sheetName val="아파트-가설"/>
      <sheetName val="연부97-1"/>
      <sheetName val="SUB일위대가"/>
      <sheetName val="평자재단가"/>
      <sheetName val="방송(체육관)"/>
      <sheetName val="수량산출서 갑지"/>
      <sheetName val="동원(3)"/>
      <sheetName val="측구공"/>
      <sheetName val="시운전연료"/>
      <sheetName val="1.3.1절점좌표"/>
      <sheetName val="1.1설계기준"/>
      <sheetName val="증감분석"/>
      <sheetName val="말고개터널조명전압강하"/>
      <sheetName val="2000.05"/>
      <sheetName val="남양시작동010313100%"/>
      <sheetName val="투찰내역서"/>
      <sheetName val="1_수인터널1"/>
      <sheetName val="AS포장복구_1"/>
      <sheetName val="2_대외공문1"/>
      <sheetName val="설_계1"/>
      <sheetName val="CIP_공사"/>
      <sheetName val="_총괄표"/>
      <sheetName val="인건비_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1차3회-개소별명세서-빨간색-인쇄용(21873)"/>
      <sheetName val="울산자동제어"/>
      <sheetName val="일반부표"/>
      <sheetName val="현장지지물물량"/>
      <sheetName val="입찰내역"/>
      <sheetName val="내역서당초"/>
      <sheetName val="내역서변경성원"/>
      <sheetName val="근로자자료입력"/>
      <sheetName val="참고자료"/>
      <sheetName val="변경후-SHEET"/>
      <sheetName val="1.본부별"/>
      <sheetName val="000000"/>
      <sheetName val="상수도토공집계표"/>
      <sheetName val="기본DATA"/>
      <sheetName val="공통자료"/>
      <sheetName val="안전시설내역서"/>
      <sheetName val="구조물"/>
      <sheetName val="FI원가_1"/>
      <sheetName val="cable-data"/>
      <sheetName val="노무비산출"/>
      <sheetName val="기초입력 DATA"/>
      <sheetName val="#3E1_GCR"/>
      <sheetName val="소소총괄표"/>
      <sheetName val="1공구_건정토건_토공2"/>
      <sheetName val="구단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1_수인터널2"/>
      <sheetName val="AS포장복구_2"/>
      <sheetName val="2_대외공문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별계약현황('98_10_31)"/>
      <sheetName val="원본"/>
      <sheetName val="EQUIP LIST"/>
      <sheetName val="교각"/>
      <sheetName val="내부마감"/>
      <sheetName val="간접재료비산출표-27-30"/>
      <sheetName val="1안"/>
      <sheetName val="첨부1-1"/>
      <sheetName val="빙설"/>
      <sheetName val="주식"/>
      <sheetName val="가중치"/>
      <sheetName val="유림콘도"/>
      <sheetName val="분전반일위대가"/>
      <sheetName val="단양 00 아파트-세부내역"/>
      <sheetName val="상호참고자료"/>
      <sheetName val="발주처자료입력"/>
      <sheetName val="회사기본자료"/>
      <sheetName val="하자보증자료"/>
      <sheetName val="기술자관련자료"/>
      <sheetName val="빙100장비사양"/>
      <sheetName val="본사인상전"/>
      <sheetName val="4.장비손료"/>
      <sheetName val="내역및원가02"/>
      <sheetName val="TYPE1"/>
      <sheetName val="배선(낙차)"/>
      <sheetName val="SF내역및원가02"/>
      <sheetName val="산출기준(파견전산실)"/>
      <sheetName val="정의"/>
      <sheetName val="재활용 악취_먼지DUCT산출"/>
      <sheetName val="항목지정"/>
      <sheetName val="기기리스트"/>
      <sheetName val="시설물기초"/>
      <sheetName val="산출근거(S4)"/>
      <sheetName val="경비산출"/>
      <sheetName val="다곡2교"/>
      <sheetName val="공정코드"/>
      <sheetName val="현장식당(1)"/>
      <sheetName val="쌍송교"/>
      <sheetName val="입력그림"/>
      <sheetName val="정부노임"/>
      <sheetName val="흄관기초"/>
      <sheetName val="부산제일극장"/>
      <sheetName val="수주현황2월"/>
      <sheetName val="1F"/>
      <sheetName val="NAIL단가산출"/>
      <sheetName val="제거식EA"/>
      <sheetName val="이자율"/>
      <sheetName val="DATA2000"/>
      <sheetName val="5.정산서"/>
      <sheetName val="포장직선구간"/>
      <sheetName val="입력값"/>
      <sheetName val="설계기준 및 하중계산"/>
      <sheetName val="1-1호"/>
      <sheetName val="원내역서 그대로"/>
      <sheetName val="01"/>
      <sheetName val="은행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내역총괄"/>
      <sheetName val="내역총괄2"/>
      <sheetName val="내역총괄3"/>
      <sheetName val="배명(단가)"/>
      <sheetName val="형틀공사"/>
      <sheetName val="예총"/>
      <sheetName val="1062-X방향 "/>
      <sheetName val="품셈(기초)"/>
      <sheetName val="식재일위대가"/>
      <sheetName val="기초일위대가"/>
      <sheetName val="부대공자재집계표"/>
      <sheetName val="집계표(공종별)"/>
      <sheetName val="현금흐름"/>
      <sheetName val="교통표지판수량집계표"/>
      <sheetName val="작성"/>
      <sheetName val="예정(3)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969910( R)"/>
      <sheetName val="가시설(TYPE-A)"/>
      <sheetName val="1-1평균터파기고(1)"/>
      <sheetName val="계약서"/>
      <sheetName val="옹벽단면치수"/>
      <sheetName val="관리"/>
      <sheetName val="적정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공통비"/>
      <sheetName val="VENDOR LIST"/>
      <sheetName val="손익분석"/>
      <sheetName val="대비표"/>
      <sheetName val="회사정보"/>
      <sheetName val="Sikje_inĴ¾_x0000_"/>
      <sheetName val="외주대비 ᨀ晙ԯ"/>
      <sheetName val="일위대가단가표"/>
      <sheetName val="실행내역서(DCU)"/>
      <sheetName val="실행(1)"/>
      <sheetName val="소화실적"/>
      <sheetName val="단위별용량계산"/>
      <sheetName val="물량산출근거"/>
      <sheetName val="자재co"/>
      <sheetName val="일위대가 (PM)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월별수입"/>
      <sheetName val="울산시산표"/>
      <sheetName val="견적서갑지연속"/>
      <sheetName val="수목데이타"/>
      <sheetName val="적용단가"/>
      <sheetName val="목창호"/>
      <sheetName val="FAB별"/>
      <sheetName val="__"/>
      <sheetName val="전기일목(조사가)"/>
      <sheetName val="맨홀토공"/>
      <sheetName val="공사내역"/>
      <sheetName val="콘크리트포장"/>
      <sheetName val="암거난간벽집계(2)"/>
      <sheetName val="일위대가(통신)"/>
      <sheetName val="GI-LIST"/>
      <sheetName val="중기사용료 (2)"/>
      <sheetName val="J"/>
      <sheetName val="설계카드"/>
      <sheetName val="공사설명서"/>
      <sheetName val="공사계획서"/>
      <sheetName val="수정계획3"/>
      <sheetName val="유통간부"/>
      <sheetName val="장기"/>
      <sheetName val="업체별기성"/>
      <sheetName val="표  지"/>
      <sheetName val="일대목록표"/>
      <sheetName val="안정검토"/>
      <sheetName val="제경비율"/>
      <sheetName val="예산조서"/>
      <sheetName val="99 조정금액"/>
      <sheetName val="주요재료비(원본)"/>
      <sheetName val="시약"/>
      <sheetName val="토목-물가"/>
      <sheetName val="샌딩 에폭시 도장"/>
      <sheetName val="전도금정산서(27)"/>
      <sheetName val="Sikje_in_x0005__x0000_"/>
      <sheetName val="2.원가집계"/>
      <sheetName val="동업계매출속보"/>
      <sheetName val="중기사용료산출근거"/>
      <sheetName val="인력터파기품"/>
      <sheetName val="사유서제출현황-2"/>
      <sheetName val="4_경비_5_영업외수지"/>
      <sheetName val="_견적서"/>
      <sheetName val="장비당단가_(1)"/>
      <sheetName val="Sheet2_(2)"/>
      <sheetName val="광통신_견적내역서1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2000년_공정표"/>
      <sheetName val="5_2코핑"/>
      <sheetName val="P_M_별"/>
      <sheetName val="수량산출서_갑지"/>
      <sheetName val="DATA_입력부"/>
      <sheetName val="일반관리비전체분당초변경대비표"/>
      <sheetName val="사용계획"/>
      <sheetName val="지급수수료월별금액산정"/>
      <sheetName val="일반물자(한국통신)"/>
      <sheetName val="108.수선비"/>
      <sheetName val="맨홀_공사비"/>
      <sheetName val="예산대비"/>
      <sheetName val="심사"/>
      <sheetName val="2F 회의실견적(5_14 일대)"/>
      <sheetName val="기본정보"/>
      <sheetName val="DC"/>
      <sheetName val="경비 (1)"/>
      <sheetName val="포장수량집계"/>
      <sheetName val="(C)원내역"/>
      <sheetName val="UR2-Calculation"/>
      <sheetName val="공사수행보고"/>
      <sheetName val="BOJUNGGM"/>
      <sheetName val="일위대가-01"/>
      <sheetName val="L형옹벽"/>
      <sheetName val="포장절단"/>
      <sheetName val="1호맨홀토공"/>
      <sheetName val="Sight n M.H"/>
      <sheetName val="사진"/>
      <sheetName val="Trend(Agitator)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1호맨홀가감수량"/>
      <sheetName val="ilch"/>
      <sheetName val="Table"/>
      <sheetName val="TCDB"/>
      <sheetName val="15100"/>
      <sheetName val="산출근거#2-3"/>
      <sheetName val="성서방향-교대(A2)"/>
      <sheetName val="편성절차"/>
      <sheetName val="2002자금수지계획(진행+신규)"/>
      <sheetName val="2변경1"/>
      <sheetName val="횡날개수집"/>
      <sheetName val="중기단가"/>
      <sheetName val="전도품의"/>
      <sheetName val="영동(D)"/>
      <sheetName val="도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표층포설및다짐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외주가공"/>
      <sheetName val="소일위대가코드표"/>
      <sheetName val="상가지급현황"/>
      <sheetName val="배수장토목공사비"/>
      <sheetName val="3차토목내역"/>
      <sheetName val="말뚝기초(안정검토)-외측"/>
      <sheetName val="도급내역"/>
      <sheetName val="총괄집계 "/>
      <sheetName val="연장및면적(좌측)"/>
      <sheetName val="공사비예산서"/>
      <sheetName val="구의동공내역서"/>
      <sheetName val="한성교회 신축공사(050713)_CheckList"/>
      <sheetName val="참조-(1)"/>
      <sheetName val="전국현황"/>
      <sheetName val="중기쥰종사 단위단가"/>
      <sheetName val="변경증감내역서"/>
      <sheetName val="보험료산출"/>
      <sheetName val="자금총괄"/>
      <sheetName val="운동장 (2)"/>
      <sheetName val="다중모드"/>
      <sheetName val="ASALTOTA"/>
      <sheetName val="용집"/>
      <sheetName val="상행-교대(A1-A2)"/>
      <sheetName val="총수량집계표"/>
      <sheetName val="strut type"/>
      <sheetName val="미드수량"/>
      <sheetName val="배관물량집계(기본)"/>
      <sheetName val="수문보고"/>
      <sheetName val="옥외"/>
      <sheetName val="工완성공사율"/>
      <sheetName val="1차설계Ꮗԯ_x0000_"/>
      <sheetName val="1차설계逷≙_xdc00_≙"/>
      <sheetName val="-15.0"/>
      <sheetName val="토지산출내역"/>
      <sheetName val="P_x0005_"/>
      <sheetName val="P嘐"/>
      <sheetName val="48_x0005__x0000_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사  업  비  수  지  예  산  서"/>
      <sheetName val="시가지우회도로공내역서"/>
      <sheetName val="사다리"/>
      <sheetName val="중기일위대밀"/>
      <sheetName val="현금흐름표"/>
      <sheetName val="07제품별수익성"/>
      <sheetName val="총체보활공정표"/>
      <sheetName val="철골공사"/>
      <sheetName val="수장"/>
      <sheetName val="상세도"/>
      <sheetName val="지구단위계획"/>
      <sheetName val="hvac(제어동)"/>
      <sheetName val="5.2.6~7공사요율"/>
      <sheetName val="2련간지"/>
      <sheetName val="조인트"/>
      <sheetName val="데리네И̏䨸ɟ"/>
      <sheetName val="배명(단가柖"/>
      <sheetName val="(A)내역서"/>
      <sheetName val="분뇨"/>
      <sheetName val="06 일위대가목록"/>
      <sheetName val="O＆P"/>
      <sheetName val="PTVT (MAU)"/>
      <sheetName val="비용"/>
      <sheetName val="SAMPLE!"/>
      <sheetName val="근로자명단2013"/>
      <sheetName val="SPEC"/>
      <sheetName val="10.경제성분석"/>
      <sheetName val="SCH"/>
      <sheetName val="산근(1)"/>
      <sheetName val="장척총괄"/>
      <sheetName val="참고"/>
      <sheetName val="4월예정공정표"/>
      <sheetName val="가격"/>
      <sheetName val="2.1"/>
      <sheetName val="청 구"/>
      <sheetName val="철거폐쇄현황"/>
      <sheetName val="암거(2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검토현황"/>
      <sheetName val="증감내역"/>
      <sheetName val="교각별철근수량집계표"/>
      <sheetName val="출력X"/>
      <sheetName val="6동"/>
      <sheetName val="포장공사"/>
      <sheetName val="통합"/>
      <sheetName val="기계 도급내역서"/>
      <sheetName val="철탑공사"/>
      <sheetName val="경성자금"/>
      <sheetName val="수전기기DATA"/>
      <sheetName val="ETC"/>
      <sheetName val="일위대가1"/>
      <sheetName val="7.전산해석결과"/>
      <sheetName val="4.하중"/>
      <sheetName val="T기성9605"/>
      <sheetName val="비교표"/>
      <sheetName val="kimre scrubber"/>
      <sheetName val="미장"/>
      <sheetName val="PĴ"/>
      <sheetName val="Pꮸ"/>
      <sheetName val="P估"/>
      <sheetName val="quotation"/>
      <sheetName val="기성금내역서"/>
      <sheetName val="MIJIBI"/>
      <sheetName val="내역서(총)"/>
      <sheetName val=" ｹ-ﾌﾞﾙ"/>
      <sheetName val="7월11일"/>
      <sheetName val="01AC"/>
      <sheetName val="문학간접"/>
      <sheetName val="품목"/>
      <sheetName val="전기2005"/>
      <sheetName val="1월"/>
      <sheetName val="세부항목"/>
      <sheetName val="출력자료"/>
      <sheetName val="Balance"/>
      <sheetName val="제안실적sum조회"/>
      <sheetName val="FRP PIPING 일위대가"/>
      <sheetName val="경비공통"/>
      <sheetName val="전체공사"/>
      <sheetName val="내역(가지)"/>
      <sheetName val="신평리 권리자명부"/>
      <sheetName val="수완하도"/>
      <sheetName val="김포내역"/>
      <sheetName val="2004노형교"/>
      <sheetName val="Macro3"/>
      <sheetName val="용수간선"/>
      <sheetName val="평균높이산출근거"/>
      <sheetName val="횡배수관위치조서"/>
      <sheetName val="ESC(K치)"/>
      <sheetName val="도급내역서"/>
      <sheetName val="관리비비계상"/>
      <sheetName val="콘센트신설"/>
      <sheetName val="97 사업추정(WEKI)"/>
      <sheetName val="품종코드"/>
      <sheetName val="CAPVC"/>
      <sheetName val="기초단가일람표"/>
      <sheetName val="태안9)3-2)원내역"/>
      <sheetName val="맨홀"/>
      <sheetName val="JJ"/>
      <sheetName val="인적사항"/>
      <sheetName val="납부서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차선"/>
      <sheetName val="차조서"/>
      <sheetName val="L형옹벽(key)"/>
      <sheetName val="자재비"/>
      <sheetName val="기초공"/>
      <sheetName val="흄관기鬀"/>
      <sheetName val="토  공"/>
      <sheetName val="신규단가산출"/>
      <sheetName val="날개벽(좌,우=45도,75도)"/>
      <sheetName val="죽원1교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일위(열차무선)"/>
      <sheetName val="99년원가"/>
      <sheetName val="산출(1~20)"/>
      <sheetName val="주공 갑지"/>
      <sheetName val="산출0"/>
      <sheetName val="관급현황"/>
      <sheetName val="기술조건"/>
      <sheetName val="1.내역(청.하역장전등)"/>
      <sheetName val="정화조"/>
      <sheetName val="입찰견적보고서"/>
      <sheetName val="설원"/>
      <sheetName val="보도내 _x0000__x0000_䪾"/>
      <sheetName val="리스트"/>
      <sheetName val="건축공사실행"/>
      <sheetName val="건축원가"/>
      <sheetName val="1차 내역서"/>
      <sheetName val="물량내역서"/>
      <sheetName val="기초목"/>
      <sheetName val="입력데이타(비É"/>
      <sheetName val="외주대비 -석É"/>
      <sheetName val="5월건강보험(일용직)"/>
      <sheetName val="04.12월건강보험(일용직)"/>
      <sheetName val="투자예산"/>
      <sheetName val="PAD TR보호대기초"/>
      <sheetName val="안전장치"/>
      <sheetName val="투자효율분석"/>
      <sheetName val="배수관연장조서"/>
      <sheetName val="정산내역"/>
      <sheetName val="산출"/>
      <sheetName val="예산조서(전송)"/>
      <sheetName val="판정1교토공"/>
      <sheetName val="흥양2교토_x0000_h曘ʹ"/>
      <sheetName val="흥양2교토_x0000__x0000__x0005__x0000_"/>
      <sheetName val="기존단가 (2)"/>
      <sheetName val="마스터02"/>
      <sheetName val="특별땅고르기"/>
      <sheetName val="내역(최종본浳き_x0000__x0000_"/>
      <sheetName val="내역(최종본浳⿢_x0000__x0000_"/>
      <sheetName val="내역(최종본浳ぁ_x0000__x0000_"/>
      <sheetName val="직접공사비"/>
      <sheetName val="inputdata"/>
      <sheetName val="도수로수량산출"/>
      <sheetName val="간이연락"/>
      <sheetName val="FAX"/>
      <sheetName val="점ᥰ@띘"/>
      <sheetName val="점ᤠ@띘"/>
      <sheetName val="점៰2띘"/>
      <sheetName val="예산"/>
      <sheetName val="05 유류비자금청구(완)"/>
      <sheetName val="RD제품개발투자비(매가)"/>
      <sheetName val="125x125"/>
      <sheetName val="tra-vat-lieu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구조______1"/>
      <sheetName val="노무비_1"/>
      <sheetName val="화재_탐지_설비1"/>
      <sheetName val="Customer_Databas1"/>
      <sheetName val="4_LINE1"/>
      <sheetName val="7_th1"/>
      <sheetName val="_갑지1"/>
      <sheetName val="4_경비_5_영업외수지1"/>
      <sheetName val="_견적서1"/>
      <sheetName val="4_일위대가집계1"/>
      <sheetName val="내역서_제출1"/>
      <sheetName val="A_LINE1"/>
      <sheetName val="5__현장관리비(new)_1"/>
      <sheetName val="할증_1"/>
      <sheetName val="방배동내역_(총괄)1"/>
      <sheetName val="간_지11"/>
      <sheetName val="5__현장관리비_new__1"/>
      <sheetName val="Temporary_Mooring1"/>
      <sheetName val="7_PILE__(돌출)1"/>
      <sheetName val="총_원가계산1"/>
      <sheetName val="광통신_견적내역서11"/>
      <sheetName val="unit_41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원내역서_그대로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PROJECT_BRIEF"/>
      <sheetName val="①idea_pipeline"/>
      <sheetName val="IMP_통일양식"/>
      <sheetName val="LYS_통일양식"/>
      <sheetName val="Xunit_(단위환산)"/>
      <sheetName val="유통기한_프로그램"/>
      <sheetName val="TOSHIBA-Structure"/>
      <sheetName val="NOTE"/>
      <sheetName val="Div26 - Elect"/>
      <sheetName val="SITE-E"/>
      <sheetName val="Prelims"/>
      <sheetName val="Rate"/>
      <sheetName val="제수"/>
      <sheetName val="공기"/>
      <sheetName val="함열량 db"/>
      <sheetName val="고객사 관리 코드"/>
      <sheetName val="chiettinh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97년_추정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5호광장_(만점)1"/>
      <sheetName val="인천국제_(만점)_(2)1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108_수선비"/>
      <sheetName val="전선_및_전선관"/>
      <sheetName val="VENDOR_LIST"/>
      <sheetName val="2_1외주"/>
      <sheetName val="2_3노무"/>
      <sheetName val="2_4자재"/>
      <sheetName val="2_2장비"/>
      <sheetName val="2_5경비"/>
      <sheetName val="2_6수목대"/>
      <sheetName val="3련_BOX"/>
      <sheetName val="경비_(1)"/>
      <sheetName val="2F_회의실견적(5_14_일대)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Parem"/>
      <sheetName val="THVT"/>
      <sheetName val="cong thuc tinh chi tiet"/>
      <sheetName val="00000000"/>
      <sheetName val="Quantity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단가_및_재료비"/>
      <sheetName val="업무처리전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Khoi luong"/>
      <sheetName val="LEGEND"/>
      <sheetName val="DonGia chetao"/>
      <sheetName val="DonGia VatTuLK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3"/>
      <sheetName val="Sheet2_(2)3"/>
      <sheetName val="96보완계획7_124"/>
      <sheetName val="전차선로_물량표4"/>
      <sheetName val="부대입찰_내역서4"/>
      <sheetName val="3BL공동구_수량4"/>
      <sheetName val="노원열병합__건축공사기성내역서4"/>
      <sheetName val="_총괄표4"/>
      <sheetName val="2_고용보험료산출근거4"/>
      <sheetName val="제잡비_xls4"/>
      <sheetName val="인건비_4"/>
      <sheetName val="콤보박스와_리스트박스의_연결4"/>
      <sheetName val="현장별계약현황('98_10_31)4"/>
      <sheetName val="토공(우물통,기타)_4"/>
      <sheetName val="플랜트_설치4"/>
      <sheetName val="원가계산_(2)4"/>
      <sheetName val="Eq__Mobilization4"/>
      <sheetName val="2000년_공정표2"/>
      <sheetName val="수_량_명_세_서_-_13"/>
      <sheetName val="광통신_견적내역서12"/>
      <sheetName val="할증_2"/>
      <sheetName val="unit_42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5_2코핑2"/>
      <sheetName val="배수공_시멘트_및_골재량_산출2"/>
      <sheetName val="7_PILE__(돌출)2"/>
      <sheetName val="P_M_별2"/>
      <sheetName val="CIP_공사3"/>
      <sheetName val="수량산출서_갑지2"/>
      <sheetName val="DATA_입력부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일위대가_(PM)1"/>
      <sheetName val="2_교량(신설)2"/>
      <sheetName val="EQUIP_LIST2"/>
      <sheetName val="2_2_오피스텔(12~32F)2"/>
      <sheetName val="일위대가_집계표2"/>
      <sheetName val="중기쥰종사_단위단가1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PTVT_(MAU)1"/>
      <sheetName val="STEEL_BOX_단면설계(SEC_8)1"/>
      <sheetName val="6_이토처리시간1"/>
      <sheetName val="울진항공등화_내역서1"/>
      <sheetName val="영흥TL(UP,DOWN)_1"/>
      <sheetName val="일_위_대_가_표1"/>
      <sheetName val="1차_내역서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전선_및_전선관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Div26_-_Elect"/>
      <sheetName val="Sight_n_M_H1"/>
      <sheetName val="매출요약(월별)_-년간1"/>
      <sheetName val="Piping_Design_Data1"/>
      <sheetName val="4_&amp;_10-inch,_CO2_Combo_&amp;_Sweep1"/>
      <sheetName val="설계기준_및_하중계산1"/>
      <sheetName val="1_䷨수장1"/>
      <sheetName val="4_뀴진설Ⳅ1"/>
      <sheetName val="전䰨선로_물량표1"/>
      <sheetName val="㶀대입찰_내역서1"/>
      <sheetName val="모선자재_집계표"/>
      <sheetName val="재료의_할증"/>
      <sheetName val="총괄집계_1"/>
      <sheetName val="kimre_scrubber1"/>
      <sheetName val="strut_type1"/>
      <sheetName val="한성교회_신축공사(050713)_CheckList1"/>
      <sheetName val="FRP_PIPING_일위대가1"/>
      <sheetName val="단가_및_재료비1"/>
      <sheetName val="내역서_"/>
      <sheetName val="함열량_db"/>
      <sheetName val="10_경제성분석"/>
      <sheetName val="기계_도급내역서"/>
      <sheetName val="-15_0"/>
      <sheetName val="고객사_관리_코드1"/>
      <sheetName val="사__업__비__수__지__예__산__서"/>
      <sheetName val="1차설계逷≙≙"/>
      <sheetName val="표__지"/>
      <sheetName val="D1_2_COF모듈자재_입출재고_(B급)"/>
      <sheetName val="cong_thuc_tinh_chi_tiet"/>
      <sheetName val="공내역_및_견적조건"/>
      <sheetName val="2_1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인부노임"/>
      <sheetName val="내역서-설비"/>
      <sheetName val="기성"/>
      <sheetName val="신고조서"/>
      <sheetName val="인건蠉"/>
      <sheetName val="기본자료(실행)"/>
      <sheetName val="제품현황"/>
      <sheetName val="경율산정.XLS"/>
      <sheetName val="직재"/>
      <sheetName val="GC산출"/>
      <sheetName val="1.관로"/>
      <sheetName val="일위수량"/>
      <sheetName val="여흥"/>
      <sheetName val="데리네鶈㇨ᓣ"/>
      <sheetName val="공사개요-C"/>
      <sheetName val="일위목록-기"/>
      <sheetName val="grid (1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전도금청구서"/>
      <sheetName val="2월"/>
      <sheetName val="Macro4"/>
      <sheetName val="8월차잔"/>
      <sheetName val="시설이용권명세서"/>
      <sheetName val="Cable임피던스"/>
      <sheetName val="ELECTR蔨ũ"/>
      <sheetName val="일반전기"/>
      <sheetName val="전기일위목록"/>
      <sheetName val="건축일"/>
      <sheetName val="견적대비"/>
      <sheetName val="계림(함평)"/>
      <sheetName val="계림(장성)"/>
      <sheetName val="chitiet"/>
      <sheetName val="cable산출"/>
      <sheetName val="Summary"/>
      <sheetName val="H. MECHANICAL"/>
      <sheetName val="J. FIRE FIGHTING"/>
      <sheetName val="MECHANICAL"/>
      <sheetName val="시험연구비상각"/>
      <sheetName val="SEX"/>
      <sheetName val="入力作成表"/>
      <sheetName val="Gia VLNCMTC"/>
      <sheetName val="1_MV"/>
      <sheetName val="IBASE"/>
      <sheetName val="MTC"/>
      <sheetName val="gVL"/>
      <sheetName val="外構・目次"/>
      <sheetName val="工場棟・目次"/>
      <sheetName val="事務棟・目次"/>
      <sheetName val="산출내력"/>
      <sheetName val="샌딩_에폭시_도장"/>
      <sheetName val="특기시방서"/>
      <sheetName val="입찰품_x0005__x0000_"/>
      <sheetName val="입찰품誀걜"/>
      <sheetName val="입찰품紴"/>
      <sheetName val="자동제_x0000_"/>
      <sheetName val="단위중량표"/>
      <sheetName val="3.단가산출서"/>
      <sheetName val="4.단가산출기초"/>
      <sheetName val="외주정비"/>
      <sheetName val="전문품의"/>
      <sheetName val="공사추진현황"/>
      <sheetName val="99_조정금액"/>
      <sheetName val="청_구"/>
      <sheetName val="7_전산해석결과"/>
      <sheetName val="4_하중"/>
      <sheetName val="_ｹ-ﾌﾞﾙ"/>
      <sheetName val="신평리_권리자명부"/>
      <sheetName val="97_사업추정(WEKI)"/>
      <sheetName val="견적颙⿬"/>
      <sheetName val="견적颙⿶"/>
      <sheetName val="견적"/>
      <sheetName val="견적颙』"/>
      <sheetName val="토__공"/>
      <sheetName val="중기사용료_(2)"/>
      <sheetName val="주공_갑지"/>
      <sheetName val="운동장_(2)"/>
      <sheetName val="외주대비_ᨀ晙ԯ"/>
      <sheetName val="5_2_6~7공사요율"/>
      <sheetName val="06_일위대가목록"/>
      <sheetName val="Sikje_in"/>
      <sheetName val="04_12월건강보험(일용직)"/>
      <sheetName val="외주대비_-석É"/>
      <sheetName val="보도내_䪾"/>
      <sheetName val="2_원가집계"/>
      <sheetName val="기존단가_(2)"/>
      <sheetName val="도급표지É_x0000__x0000__x0001_Ԁ"/>
      <sheetName val="Sheet17"/>
      <sheetName val="SP-¬_x0000_"/>
      <sheetName val="만봉용지매수비(총괄)"/>
      <sheetName val="단가多〒_x0005_"/>
      <sheetName val="3BL공동구_x0000__x0000_Ԁ"/>
      <sheetName val="새공통"/>
      <sheetName val="공사명입력"/>
      <sheetName val="GiaVT"/>
      <sheetName val="Q'ty"/>
      <sheetName val="chi tiet"/>
      <sheetName val="PPC Summary"/>
      <sheetName val="Worshop"/>
      <sheetName val="ac"/>
      <sheetName val="LPG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D_MUC"/>
      <sheetName val="Kiem-Toan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Sàn T1"/>
      <sheetName val="Lỗ thông gió"/>
      <sheetName val="CodeSheet"/>
      <sheetName val="[후다_x0001_ _x0010__x0000__x0003_ _x0010__x0000__x0001__x0000__x0010__x0000__x0001_ _x0010__x0000__x0003_"/>
      <sheetName val="시작"/>
      <sheetName val="받을어음"/>
      <sheetName val="유가증권"/>
      <sheetName val="대손상각"/>
      <sheetName val="chi_tiet"/>
      <sheetName val="PPC_Summary"/>
      <sheetName val="䣐"/>
      <sheetName val="Thống kê"/>
      <sheetName val="BG"/>
      <sheetName val="Tai khoan"/>
      <sheetName val="SCOPE OF WORK"/>
      <sheetName val="foxz"/>
      <sheetName val="Tong hop"/>
      <sheetName val="Phan lap dat"/>
      <sheetName val="Lắp Ráp"/>
      <sheetName val="기계사급자재"/>
      <sheetName val="견적표지_(3"/>
      <sheetName val="KET CAU- MJV2"/>
      <sheetName val="Ví dụ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HS"/>
      <sheetName val="Sikje_in_x0005_"/>
      <sheetName val="CԀ"/>
      <sheetName val="3BL공동구"/>
      <sheetName val="대3류 "/>
      <sheetName val="설비비4"/>
      <sheetName val="장비분석"/>
      <sheetName val="BEND LOSS"/>
      <sheetName val="CF_DT"/>
      <sheetName val="01. DATA"/>
      <sheetName val="Index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내역(최종본4_5)7"/>
      <sheetName val="1_수인터널7"/>
      <sheetName val="설_계7"/>
      <sheetName val="입출재고현황_(2)6"/>
      <sheetName val="6PILE__(돌출)7"/>
      <sheetName val="2_대외공문7"/>
      <sheetName val="AS포장복구_7"/>
      <sheetName val="6__안전관리비10"/>
      <sheetName val="HRSG_SMALL072206"/>
      <sheetName val="교각토공__2_6"/>
      <sheetName val="3_공통공사대비6"/>
      <sheetName val="97년_추정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1_설계기준5"/>
      <sheetName val="BSD_(2)6"/>
      <sheetName val="2차전체변경예정_(2)5"/>
      <sheetName val="단면_(2)5"/>
      <sheetName val="1_취수장6"/>
      <sheetName val="8_PILE__(돌출)5"/>
      <sheetName val="토공유동표(전체_당초)5"/>
      <sheetName val="1__설계조건_2_단면가정_3__하중계산6"/>
      <sheetName val="DATA_입력란6"/>
      <sheetName val="구조______4"/>
      <sheetName val="현장관리비_산출내역6"/>
      <sheetName val="b_balju_(2)5"/>
      <sheetName val="노무비_4"/>
      <sheetName val="화재_탐지_설비4"/>
      <sheetName val="Customer_Databas4"/>
      <sheetName val="실행내역서_6"/>
      <sheetName val="4_LINE4"/>
      <sheetName val="7_th4"/>
      <sheetName val="_갑지4"/>
      <sheetName val="0_0ControlSheet7"/>
      <sheetName val="0_1keyAssumption7"/>
      <sheetName val="4_내진설계6"/>
      <sheetName val="Sheet1_(2)6"/>
      <sheetName val="4_경비_5_영업외수지4"/>
      <sheetName val="_견적서4"/>
      <sheetName val="4_일위대가집계4"/>
      <sheetName val="1_설계조건6"/>
      <sheetName val="내역서_제출4"/>
      <sheetName val="A_LINE4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노원열병합__건축공사기성내역서6"/>
      <sheetName val="_총괄표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2000년_공정표4"/>
      <sheetName val="수_량_명_세_서_-_15"/>
      <sheetName val="광통신_견적내역서14"/>
      <sheetName val="할증_4"/>
      <sheetName val="unit_44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일위대가_(PM)3"/>
      <sheetName val="2_교량(신설)4"/>
      <sheetName val="EQUIP_LIST4"/>
      <sheetName val="2_2_오피스텔(12~32F)4"/>
      <sheetName val="일위대가_집계표4"/>
      <sheetName val="중기쥰종사_단위단가3"/>
      <sheetName val="6__안전관리비11"/>
      <sheetName val="자__재4"/>
      <sheetName val="개인별_순위표4"/>
      <sheetName val="CM_14"/>
      <sheetName val="기술부_VENDOR_LIST4"/>
      <sheetName val="단계별내역_(2)4"/>
      <sheetName val="제출내역_(2)4"/>
      <sheetName val="2_2_띠장의_설계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Div26_-_Elect2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단가_및_재료비3"/>
      <sheetName val="함열량_db2"/>
      <sheetName val="10_경제성분석2"/>
      <sheetName val="기계_도급내역서2"/>
      <sheetName val="-15_02"/>
      <sheetName val="고객사_관리_코드3"/>
      <sheetName val="내역서_2"/>
      <sheetName val="사__업__비__수__지__예__산__서2"/>
      <sheetName val="표__지2"/>
      <sheetName val="D1_2_COF모듈자재_입출재고_(B급)2"/>
      <sheetName val="공내역_및_견적조건2"/>
      <sheetName val="2_12"/>
      <sheetName val="Bảng_mã_VT2"/>
      <sheetName val="Khoi_luong2"/>
      <sheetName val="DonGia_chetao2"/>
      <sheetName val="DonGia_VatTuLK2"/>
      <sheetName val="cong_thuc_tinh_chi_tiet2"/>
      <sheetName val="Fr_Revit2"/>
      <sheetName val="NSA_Summary2"/>
      <sheetName val="청_구1"/>
      <sheetName val="7_전산해석결과1"/>
      <sheetName val="4_하중1"/>
      <sheetName val="chi_tiet1"/>
      <sheetName val="PPC_Summary1"/>
      <sheetName val="Gia_VLNCMTC"/>
      <sheetName val="샌딩_에폭시_도장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외주대비_ᨀ晙ԯ1"/>
      <sheetName val="[후다___"/>
      <sheetName val="Sàn_T1"/>
      <sheetName val="Lỗ_thông_gió"/>
      <sheetName val="SCOPE_OF_WORK"/>
      <sheetName val="Tong_hop"/>
      <sheetName val="Phan_lap_dat"/>
      <sheetName val="Lắp_Ráp"/>
      <sheetName val="KET_CAU-_MJV2"/>
      <sheetName val="Ví_dụ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Thống_kê"/>
      <sheetName val="3_단가산출서"/>
      <sheetName val="4_단가산출기초"/>
      <sheetName val="H__MECHANICAL"/>
      <sheetName val="J__FIRE_FIGHTING"/>
      <sheetName val="PIPING"/>
      <sheetName val="electrical"/>
      <sheetName val="[후다_x0001_ _x0010_"/>
      <sheetName val="보도내 "/>
      <sheetName val="4.수량산출서"/>
      <sheetName val="기초데이타"/>
      <sheetName val="단가(기자재)"/>
      <sheetName val="안양동교 1안"/>
      <sheetName val="2. 주요공지（主要公告）"/>
      <sheetName val="건축(을)"/>
      <sheetName val="인력소운반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 refreshError="1"/>
      <sheetData sheetId="2745" refreshError="1"/>
      <sheetData sheetId="2746"/>
      <sheetData sheetId="2747"/>
      <sheetData sheetId="2748" refreshError="1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>
        <row r="1">
          <cell r="A1" t="str">
            <v>PHIẾU XỬ LÝ HỒ SƠ THANH TOÁN VƯỢT THẨM QUYỀN PD</v>
          </cell>
        </row>
      </sheetData>
      <sheetData sheetId="2874">
        <row r="1">
          <cell r="A1" t="str">
            <v>PHIẾU XỬ LÝ HỒ SƠ THANH TOÁN VƯỢT THẨM QUYỀN PD</v>
          </cell>
        </row>
      </sheetData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/>
      <sheetData sheetId="2913"/>
      <sheetData sheetId="2914"/>
      <sheetData sheetId="2915"/>
      <sheetData sheetId="2916"/>
      <sheetData sheetId="2917"/>
      <sheetData sheetId="2918"/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/>
      <sheetData sheetId="2922">
        <row r="1">
          <cell r="A1" t="str">
            <v>PHIẾU XỬ LÝ HỒ SƠ THANH TOÁN VƯỢT THẨM QUYỀN PD</v>
          </cell>
        </row>
      </sheetData>
      <sheetData sheetId="2923"/>
      <sheetData sheetId="2924"/>
      <sheetData sheetId="2925"/>
      <sheetData sheetId="2926"/>
      <sheetData sheetId="2927"/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/>
      <sheetData sheetId="2950">
        <row r="1">
          <cell r="A1" t="str">
            <v>PHIẾU XỬ LÝ HỒ SƠ THANH TOÁN VƯỢT THẨM QUYỀN PD</v>
          </cell>
        </row>
      </sheetData>
      <sheetData sheetId="2951"/>
      <sheetData sheetId="2952"/>
      <sheetData sheetId="2953"/>
      <sheetData sheetId="2954"/>
      <sheetData sheetId="2955"/>
      <sheetData sheetId="2956">
        <row r="1">
          <cell r="A1" t="str">
            <v>PHIẾU XỬ LÝ HỒ SƠ THANH TOÁN VƯỢT THẨM QUYỀN PD</v>
          </cell>
        </row>
      </sheetData>
      <sheetData sheetId="2957"/>
      <sheetData sheetId="2958">
        <row r="1">
          <cell r="A1" t="str">
            <v>PHIẾU XỬ LÝ HỒ SƠ THANH TOÁN VƯỢT THẨM QUYỀN PD</v>
          </cell>
        </row>
      </sheetData>
      <sheetData sheetId="2959"/>
      <sheetData sheetId="2960"/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/>
      <sheetData sheetId="2964"/>
      <sheetData sheetId="2965">
        <row r="1">
          <cell r="A1" t="str">
            <v>PHIẾU XỬ LÝ HỒ SƠ THANH TOÁN VƯỢT THẨM QUYỀN PD</v>
          </cell>
        </row>
      </sheetData>
      <sheetData sheetId="2966"/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/>
      <sheetData sheetId="2970">
        <row r="1">
          <cell r="A1" t="str">
            <v>PHIẾU XỬ LÝ HỒ SƠ THANH TOÁN VƯỢT THẨM QUYỀN PD</v>
          </cell>
        </row>
      </sheetData>
      <sheetData sheetId="2971"/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/>
      <sheetData sheetId="2975"/>
      <sheetData sheetId="2976"/>
      <sheetData sheetId="2977">
        <row r="1">
          <cell r="A1" t="str">
            <v>PHIẾU XỬ LÝ HỒ SƠ THANH TOÁN VƯỢT THẨM QUYỀN PD</v>
          </cell>
        </row>
      </sheetData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/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/>
      <sheetData sheetId="3006"/>
      <sheetData sheetId="3007">
        <row r="1">
          <cell r="A1" t="str">
            <v>PHIẾU XỬ LÝ HỒ SƠ THANH TOÁN VƯỢT THẨM QUYỀN PD</v>
          </cell>
        </row>
      </sheetData>
      <sheetData sheetId="3008"/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/>
      <sheetData sheetId="3012"/>
      <sheetData sheetId="3013">
        <row r="1">
          <cell r="A1" t="str">
            <v>PHIẾU XỬ LÝ HỒ SƠ THANH TOÁN VƯỢT THẨM QUYỀN PD</v>
          </cell>
        </row>
      </sheetData>
      <sheetData sheetId="3014"/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/>
      <sheetData sheetId="3018"/>
      <sheetData sheetId="3019"/>
      <sheetData sheetId="3020">
        <row r="1">
          <cell r="A1" t="str">
            <v>PHIẾU XỬ LÝ HỒ SƠ THANH TOÁN VƯỢT THẨM QUYỀN PD</v>
          </cell>
        </row>
      </sheetData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/>
      <sheetData sheetId="3033"/>
      <sheetData sheetId="3034"/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/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/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/>
      <sheetData sheetId="3054">
        <row r="1">
          <cell r="A1" t="str">
            <v>PHIẾU XỬ LÝ HỒ SƠ THANH TOÁN VƯỢT THẨM QUYỀN PD</v>
          </cell>
        </row>
      </sheetData>
      <sheetData sheetId="3055"/>
      <sheetData sheetId="3056"/>
      <sheetData sheetId="3057">
        <row r="1">
          <cell r="A1" t="str">
            <v>PHIẾU XỬ LÝ HỒ SƠ THANH TOÁN VƯỢT THẨM QUYỀN PD</v>
          </cell>
        </row>
      </sheetData>
      <sheetData sheetId="3058"/>
      <sheetData sheetId="3059"/>
      <sheetData sheetId="3060"/>
      <sheetData sheetId="3061"/>
      <sheetData sheetId="3062">
        <row r="1">
          <cell r="A1" t="str">
            <v>PHIẾU XỬ LÝ HỒ SƠ THANH TOÁN VƯỢT THẨM QUYỀN PD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>
        <row r="1">
          <cell r="A1" t="str">
            <v>PHIẾU XỬ LÝ HỒ SƠ THANH TOÁN VƯỢT THẨM QUYỀN PD</v>
          </cell>
        </row>
      </sheetData>
      <sheetData sheetId="3072"/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/>
      <sheetData sheetId="3076"/>
      <sheetData sheetId="3077"/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/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/>
      <sheetData sheetId="3093">
        <row r="1">
          <cell r="A1" t="str">
            <v>PHIẾU XỬ LÝ HỒ SƠ THANH TOÁN VƯỢT THẨM QUYỀN PD</v>
          </cell>
        </row>
      </sheetData>
      <sheetData sheetId="3094"/>
      <sheetData sheetId="3095"/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/>
      <sheetData sheetId="3100">
        <row r="1">
          <cell r="A1" t="str">
            <v>PHIẾU XỬ LÝ HỒ SƠ THANH TOÁN VƯỢT THẨM QUYỀN PD</v>
          </cell>
        </row>
      </sheetData>
      <sheetData sheetId="3101"/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/>
      <sheetData sheetId="3118"/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/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/>
      <sheetData sheetId="3134">
        <row r="1">
          <cell r="A1" t="str">
            <v>PHIẾU XỬ LÝ HỒ SƠ THANH TOÁN VƯỢT THẨM QUYỀN PD</v>
          </cell>
        </row>
      </sheetData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>
        <row r="1">
          <cell r="A1" t="str">
            <v>PHIẾU XỬ LÝ HỒ SƠ THANH TOÁN VƯỢT THẨM QUYỀN PD</v>
          </cell>
        </row>
      </sheetData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/>
      <sheetData sheetId="3181"/>
      <sheetData sheetId="3182"/>
      <sheetData sheetId="3183"/>
      <sheetData sheetId="3184"/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/>
      <sheetData sheetId="3196"/>
      <sheetData sheetId="3197"/>
      <sheetData sheetId="3198"/>
      <sheetData sheetId="3199"/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/>
      <sheetData sheetId="3211"/>
      <sheetData sheetId="3212"/>
      <sheetData sheetId="3213"/>
      <sheetData sheetId="3214"/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>
        <row r="1">
          <cell r="A1" t="str">
            <v>PHIẾU XỬ LÝ HỒ SƠ THANH TOÁN VƯỢT THẨM QUYỀN PD</v>
          </cell>
        </row>
      </sheetData>
      <sheetData sheetId="3409"/>
      <sheetData sheetId="3410"/>
      <sheetData sheetId="3411">
        <row r="1">
          <cell r="A1" t="str">
            <v>PHIẾU XỬ LÝ HỒ SƠ THANH TOÁN VƯỢT THẨM QUYỀN PD</v>
          </cell>
        </row>
      </sheetData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>
        <row r="1">
          <cell r="A1" t="str">
            <v>PHIẾU XỬ LÝ HỒ SƠ THANH TOÁN VƯỢT THẨM QUYỀN PD</v>
          </cell>
        </row>
      </sheetData>
      <sheetData sheetId="3424"/>
      <sheetData sheetId="3425"/>
      <sheetData sheetId="3426">
        <row r="1">
          <cell r="A1" t="str">
            <v>PHIẾU XỬ LÝ HỒ SƠ THANH TOÁN VƯỢT THẨM QUYỀN PD</v>
          </cell>
        </row>
      </sheetData>
      <sheetData sheetId="3427"/>
      <sheetData sheetId="3428">
        <row r="1">
          <cell r="A1" t="str">
            <v>PHIẾU XỬ LÝ HỒ SƠ THANH TOÁN VƯỢT THẨM QUYỀN PD</v>
          </cell>
        </row>
      </sheetData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>
        <row r="1">
          <cell r="A1" t="str">
            <v>PHIẾU XỬ LÝ HỒ SƠ THANH TOÁN VƯỢT THẨM QUYỀN PD</v>
          </cell>
        </row>
      </sheetData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 refreshError="1"/>
      <sheetData sheetId="3453" refreshError="1"/>
      <sheetData sheetId="3454" refreshError="1"/>
      <sheetData sheetId="3455" refreshError="1"/>
      <sheetData sheetId="3456"/>
      <sheetData sheetId="3457"/>
      <sheetData sheetId="3458"/>
      <sheetData sheetId="3459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/>
      <sheetData sheetId="3502"/>
      <sheetData sheetId="3503"/>
      <sheetData sheetId="3504"/>
      <sheetData sheetId="3505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>
        <row r="1">
          <cell r="A1" t="str">
            <v>PHIẾU XỬ LÝ HỒ SƠ THANH TOÁN VƯỢT THẨM QUYỀN PD</v>
          </cell>
        </row>
      </sheetData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/>
      <sheetData sheetId="3526"/>
      <sheetData sheetId="3527" refreshError="1"/>
      <sheetData sheetId="3528" refreshError="1"/>
      <sheetData sheetId="3529"/>
      <sheetData sheetId="3530"/>
      <sheetData sheetId="3531">
        <row r="1">
          <cell r="A1" t="str">
            <v>PHIẾU XỬ LÝ HỒ SƠ THANH TOÁN VƯỢT THẨM QUYỀN PD</v>
          </cell>
        </row>
      </sheetData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>
        <row r="1">
          <cell r="A1" t="str">
            <v>PHIẾU XỬ LÝ HỒ SƠ THANH TOÁN VƯỢT THẨM QUYỀN PD</v>
          </cell>
        </row>
      </sheetData>
      <sheetData sheetId="3549"/>
      <sheetData sheetId="3550"/>
      <sheetData sheetId="3551"/>
      <sheetData sheetId="3552"/>
      <sheetData sheetId="3553">
        <row r="1">
          <cell r="A1" t="str">
            <v>PHIẾU XỬ LÝ HỒ SƠ THANH TOÁN VƯỢT THẨM QUYỀN PD</v>
          </cell>
        </row>
      </sheetData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>
        <row r="1">
          <cell r="A1" t="str">
            <v>PHIẾU XỬ LÝ HỒ SƠ THANH TOÁN VƯỢT THẨM QUYỀN PD</v>
          </cell>
        </row>
      </sheetData>
      <sheetData sheetId="3579"/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/>
      <sheetData sheetId="3583"/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 refreshError="1"/>
      <sheetData sheetId="3590"/>
      <sheetData sheetId="359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/>
      <sheetData sheetId="3602" refreshError="1"/>
      <sheetData sheetId="3603" refreshError="1"/>
      <sheetData sheetId="3604">
        <row r="1">
          <cell r="A1" t="str">
            <v>PHIẾU XỬ LÝ HỒ SƠ THANH TOÁN VƯỢT THẨM QUYỀN PD</v>
          </cell>
        </row>
      </sheetData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/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/>
      <sheetData sheetId="3615"/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 refreshError="1"/>
      <sheetData sheetId="3619" refreshError="1"/>
      <sheetData sheetId="3620" refreshError="1"/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/>
      <sheetData sheetId="3628"/>
      <sheetData sheetId="3629">
        <row r="1">
          <cell r="A1" t="str">
            <v>PHIẾU XỬ LÝ HỒ SƠ THANH TOÁN VƯỢT THẨM QUYỀN PD</v>
          </cell>
        </row>
      </sheetData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>
        <row r="1">
          <cell r="A1" t="str">
            <v>PHIẾU XỬ LÝ HỒ SƠ THANH TOÁN VƯỢT THẨM QUYỀN PD</v>
          </cell>
        </row>
      </sheetData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/>
      <sheetData sheetId="4012"/>
      <sheetData sheetId="40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  <sheetName val="내역서1999.8최종"/>
      <sheetName val="APT내역"/>
      <sheetName val="부대시설"/>
      <sheetName val="Sheet17"/>
      <sheetName val="LF자재단가"/>
      <sheetName val="제품정보"/>
      <sheetName val="상품수불(합산)"/>
      <sheetName val="에어샵공사"/>
      <sheetName val="Sheet16"/>
      <sheetName val="전사 (2)"/>
      <sheetName val="BA (2)"/>
      <sheetName val="CP (2)"/>
      <sheetName val="시산표"/>
      <sheetName val="인건-측정"/>
      <sheetName val="울산자동제어"/>
      <sheetName val="실행내역서(DCU)"/>
      <sheetName val="노무비"/>
      <sheetName val="일위CODE"/>
      <sheetName val="동물이동통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sw1"/>
      <sheetName val="암거 제원표"/>
      <sheetName val="도급FORM"/>
      <sheetName val="Macro3"/>
      <sheetName val="관경별내역서"/>
      <sheetName val="기존단가 (2)"/>
      <sheetName val="기성(1차) "/>
      <sheetName val="NOMUBI"/>
      <sheetName val="Sheet1 (2)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설계명세서"/>
      <sheetName val="구조물"/>
      <sheetName val="대전(세창동)"/>
      <sheetName val="간접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대_x0000__x0000_"/>
      <sheetName val="단위수량"/>
      <sheetName val="MIJIBI"/>
      <sheetName val="0Title"/>
      <sheetName val="할빙수"/>
      <sheetName val="조직"/>
      <sheetName val="1회"/>
      <sheetName val="구성비"/>
      <sheetName val="95MAKER"/>
      <sheetName val="산식3"/>
      <sheetName val="맨홀토공"/>
      <sheetName val="맨홀수량산출"/>
      <sheetName val="본사공가현황"/>
      <sheetName val="도수로현황"/>
      <sheetName val="부총"/>
      <sheetName val="장비집계"/>
      <sheetName val="수량산출서 (2)"/>
      <sheetName val="목록"/>
      <sheetName val="투찰"/>
      <sheetName val="수문일1"/>
      <sheetName val="토공 total"/>
      <sheetName val="공기압舓⿫_x0005_"/>
      <sheetName val="공기압妐&quot;姜"/>
      <sheetName val="토공(1)"/>
      <sheetName val="준공조서갑지"/>
      <sheetName val="일위대가(계측기설치)"/>
      <sheetName val="기계실"/>
      <sheetName val="I_설계조_x0000_"/>
      <sheetName val="수량명세서"/>
      <sheetName val="집계표(육상)"/>
      <sheetName val="목록표"/>
      <sheetName val="참조 (2)"/>
      <sheetName val="유치원내역"/>
      <sheetName val="견내"/>
      <sheetName val="환경평가"/>
      <sheetName val="계정"/>
      <sheetName val="재정비내역"/>
      <sheetName val="지적고시내역"/>
      <sheetName val="조도계산서_(도서_x0000_"/>
      <sheetName val="수배전(갑)"/>
      <sheetName val="esc"/>
      <sheetName val="포장(수량)-관로부"/>
      <sheetName val="기성갑지"/>
      <sheetName val="전기단가조사서"/>
      <sheetName val="재적표"/>
      <sheetName val="형상"/>
      <sheetName val="실적공사비"/>
      <sheetName val="일위대가집계"/>
      <sheetName val="토목내역서"/>
      <sheetName val="보고서_기기리스트1"/>
      <sheetName val="자재"/>
      <sheetName val="산근1"/>
      <sheetName val="조립1부실적"/>
      <sheetName val="토공 토적표"/>
      <sheetName val="현황산출서"/>
      <sheetName val="전철"/>
      <sheetName val="NNV"/>
      <sheetName val="5사남"/>
      <sheetName val="일위대가 "/>
      <sheetName val="1ST"/>
      <sheetName val="4 LINE"/>
      <sheetName val="7 th"/>
      <sheetName val="CTEMCOST"/>
      <sheetName val="ELECTRIC"/>
      <sheetName val="SCHEDULE"/>
      <sheetName val="변경명신물량 (2)"/>
      <sheetName val="콘_재료분리(1)"/>
      <sheetName val="1.CB"/>
      <sheetName val="변수"/>
      <sheetName val="감가상각비대체내역"/>
      <sheetName val="수우미양가(Vlookup)"/>
      <sheetName val="apt수량"/>
      <sheetName val="현금"/>
      <sheetName val="첨부1"/>
      <sheetName val="식음료"/>
      <sheetName val="정산서"/>
      <sheetName val="MSS"/>
      <sheetName val="정화조"/>
      <sheetName val="예산조서(전송)"/>
      <sheetName val="일위대가목록표"/>
      <sheetName val="수량산출서집계"/>
      <sheetName val="맨홀수량"/>
      <sheetName val="CON'C"/>
      <sheetName val="간접비"/>
      <sheetName val="상반기손익차2총괄"/>
      <sheetName val="골재산출"/>
      <sheetName val="자재단가리스트"/>
      <sheetName val="전압강하자료"/>
      <sheetName val="설계서"/>
      <sheetName val="20관리비율"/>
      <sheetName val="04변경-상하"/>
      <sheetName val="단위중량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마스터원본"/>
      <sheetName val="접속도수량집계표"/>
      <sheetName val="견적시담(송포2공구)"/>
      <sheetName val="간지"/>
      <sheetName val="아파트 "/>
      <sheetName val="난간벽단위"/>
      <sheetName val="지급자재"/>
      <sheetName val="간접경상비"/>
      <sheetName val="견적의뢰서"/>
      <sheetName val="안정검토"/>
      <sheetName val="포장수량집계"/>
      <sheetName val="현장조사"/>
      <sheetName val="유효폭의 계산"/>
      <sheetName val="다곡2교"/>
      <sheetName val="F4-F7"/>
      <sheetName val="송전기본"/>
      <sheetName val="물류최종8월7"/>
      <sheetName val="15100"/>
      <sheetName val="부대대비"/>
      <sheetName val="냉연집계"/>
      <sheetName val="내역서(100%)"/>
      <sheetName val="자갈,시멘트,모래산출"/>
      <sheetName val="FAB별"/>
      <sheetName val="LIST"/>
      <sheetName val="J"/>
      <sheetName val="날개수집"/>
      <sheetName val="REDUCER"/>
      <sheetName val="WE'T"/>
      <sheetName val="新철폐복2"/>
      <sheetName val="新철폐복3"/>
      <sheetName val="新철폐복"/>
      <sheetName val="자재집계"/>
      <sheetName val="변경내역"/>
      <sheetName val="2"/>
      <sheetName val="갑지.을지"/>
      <sheetName val="기타"/>
      <sheetName val="각종양식"/>
      <sheetName val="&lt;--"/>
      <sheetName val="K1자재(3차등)"/>
      <sheetName val="제수변수량"/>
      <sheetName val="집계"/>
      <sheetName val="95년12월말"/>
      <sheetName val="Scenario"/>
      <sheetName val="GDP"/>
      <sheetName val="하수급견적대비"/>
      <sheetName val="화설내"/>
      <sheetName val="수정계획3"/>
      <sheetName val="교대(A1)"/>
      <sheetName val="건축원가계산서"/>
      <sheetName val="을부담운반비"/>
      <sheetName val="가시설(TYPE-A)"/>
      <sheetName val="1-1평균터파기고(1)"/>
      <sheetName val="세목별"/>
      <sheetName val="I_설계조多"/>
      <sheetName val="한일양산"/>
      <sheetName val="2-2.매출분석"/>
      <sheetName val="실_인건비(5월부터)"/>
      <sheetName val="현장별정리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주bea_xdcf0_"/>
      <sheetName val="일일입력"/>
      <sheetName val="품목등록"/>
      <sheetName val="표지 (2)"/>
      <sheetName val="건축집계"/>
      <sheetName val=" 견적서"/>
      <sheetName val="임차비용"/>
      <sheetName val="조경수량"/>
      <sheetName val="만년달력"/>
      <sheetName val="설-원가"/>
      <sheetName val="경비_원본"/>
      <sheetName val="미납품 현황"/>
      <sheetName val="부하LOAD"/>
      <sheetName val="(당평)자재"/>
      <sheetName val="보할"/>
      <sheetName val="배수관연장조서"/>
      <sheetName val="기준액"/>
      <sheetName val="내역1"/>
      <sheetName val="자재테이블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시추조사비"/>
      <sheetName val="S0"/>
      <sheetName val="STEEL BOX 단면설계(SEC.8)"/>
      <sheetName val="선정요령"/>
      <sheetName val="수완하도"/>
      <sheetName val="김포내역"/>
      <sheetName val="우석문틀"/>
      <sheetName val="담보"/>
      <sheetName val="덤프트럭계수"/>
      <sheetName val="H-pile(298x299)"/>
      <sheetName val="H-pile(250x250)"/>
      <sheetName val="FACTOR"/>
      <sheetName val="설명서 "/>
      <sheetName val="설계내역(2001)"/>
      <sheetName val="제조노임"/>
      <sheetName val="2분기"/>
      <sheetName val="예산실적전체당월"/>
      <sheetName val="인입관수량총괄"/>
      <sheetName val="일위1"/>
      <sheetName val="데이터유효성검사자료"/>
      <sheetName val="자격 땡겨오기"/>
      <sheetName val="사업부구분코드"/>
      <sheetName val="급,배기팬"/>
      <sheetName val="현장실사자료"/>
      <sheetName val="단양 00 아파트-세부내역"/>
      <sheetName val="코_x0000_"/>
      <sheetName val="결재_x0000_"/>
      <sheetName val="05년 상"/>
      <sheetName val="영흥TL(UP,DOWN) "/>
      <sheetName val="학익동신동아5차CD365"/>
      <sheetName val="2.단면가정 (양곡1교)"/>
      <sheetName val="집계장"/>
      <sheetName val="기본설계기준"/>
      <sheetName val="산출근거#2-3"/>
      <sheetName val="설계명세"/>
      <sheetName val="하조서"/>
      <sheetName val="2002상반기노임기준"/>
      <sheetName val="인적사항(누적)"/>
      <sheetName val="제1영업소"/>
      <sheetName val="제2영업소"/>
      <sheetName val="제3영업소"/>
      <sheetName val="ITB COST"/>
      <sheetName val="영업소실적"/>
      <sheetName val="11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직접뀀鞖/_x0000_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미장"/>
      <sheetName val="철골"/>
      <sheetName val="개요2"/>
      <sheetName val="토공_total"/>
      <sheetName val="공기압舓⿫"/>
      <sheetName val="기성(1차)_"/>
      <sheetName val="수량계산"/>
      <sheetName val="일위산출"/>
      <sheetName val="건축공사집계"/>
      <sheetName val="4.2.1 마루높이 검토"/>
      <sheetName val="유지정비"/>
      <sheetName val="용역인건비"/>
      <sheetName val="JUCK"/>
      <sheetName val="문10"/>
      <sheetName val="원료"/>
      <sheetName val="내역(인테리어 실내)(도급)"/>
      <sheetName val="내역(인테리어 실외)(도급)"/>
      <sheetName val="전도품의"/>
      <sheetName val="관급현황"/>
      <sheetName val="기술조건"/>
      <sheetName val="1.내역(청.하역장전등)"/>
      <sheetName val="기계"/>
      <sheetName val="기타#9"/>
      <sheetName val="매입"/>
      <sheetName val="판정1교토공"/>
      <sheetName val="WEON"/>
      <sheetName val="단가조사-1"/>
      <sheetName val="갑지_설계 내역서"/>
      <sheetName val="125x125"/>
      <sheetName val="4. VOs summary"/>
      <sheetName val="SEX"/>
      <sheetName val="Quantity"/>
      <sheetName val="TOSHIBA-Structure"/>
      <sheetName val="Chiet tinh dz35"/>
      <sheetName val="RATE"/>
      <sheetName val="매출그래프"/>
      <sheetName val="공량·_x0000__x0000_"/>
      <sheetName val="공량×"/>
      <sheetName val="6_산출닑⾱_x0005__x0000_"/>
      <sheetName val="7_산출(⠀榅弁䘿_x0000_"/>
      <sheetName val="과업지시서"/>
      <sheetName val="종단계산"/>
      <sheetName val="용산1(해보)"/>
      <sheetName val="내역_verᔈ_x0000__x0000_"/>
      <sheetName val="계산_x0000__x0000_"/>
      <sheetName val="수량산출서 갑지"/>
      <sheetName val="재료할증"/>
      <sheetName val="램머"/>
      <sheetName val="1,2,3,4_x0000__x0000_界Þ多⽬"/>
      <sheetName val="1,2,3,4_x0005__x0000__x0000__x0000__x0000_"/>
      <sheetName val="단가비교표_공통1"/>
      <sheetName val="8.PILE  (돌출)"/>
      <sheetName val="LD"/>
      <sheetName val="정리계槜〚_x0000__x0000_䇀"/>
      <sheetName val="3련_Bꨀ덽"/>
      <sheetName val="working_load_at０ʵŚÃ堠ᴕ_x0000__x0000__x0000__x0000__x0000__x0000_"/>
      <sheetName val="설변단가적용현황"/>
      <sheetName val="변경내역서"/>
      <sheetName val="시약"/>
      <sheetName val="일위대"/>
      <sheetName val="일위대㐀븁"/>
      <sheetName val=" FURNACE현설"/>
      <sheetName val="97 사업추정(WEKI)"/>
      <sheetName val="토공(완충)"/>
      <sheetName val="TABLE DB"/>
      <sheetName val="쌍용 data base"/>
      <sheetName val="전기2005"/>
      <sheetName val="통신2005"/>
      <sheetName val="일반수량총괄집계"/>
      <sheetName val="2000.05"/>
      <sheetName val="오동"/>
      <sheetName val="대조"/>
      <sheetName val="나한"/>
      <sheetName val="일위대가(집계_x0000_"/>
      <sheetName val="6__안전관慨⻥"/>
      <sheetName val="8.설치품셈"/>
      <sheetName val="6동"/>
      <sheetName val="시운전"/>
      <sheetName val="시운전绸7"/>
      <sheetName val="조도계산서Å_x0000_Ԁ_x0000__x0000_"/>
      <sheetName val="조도계산서Å_x0000_Ԁ_x0000_耀"/>
      <sheetName val="자재기성 신청서.xlsx"/>
      <sheetName val="인구"/>
      <sheetName val="보활"/>
      <sheetName val="집행(2-1)"/>
      <sheetName val="장문교(대전)"/>
      <sheetName val="3련_B䀀㽚"/>
      <sheetName val="예총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design_crit_x0000__x0000__x0005__x0000_"/>
      <sheetName val="내역서 제출"/>
      <sheetName val="투찰(하수)"/>
      <sheetName val="자재대"/>
      <sheetName val="중기조종사 단위단가"/>
      <sheetName val="입상내역"/>
      <sheetName val="돈암사업"/>
      <sheetName val="DATA LISTS"/>
      <sheetName val="주bea?"/>
      <sheetName val="품셈 "/>
      <sheetName val="음성cable"/>
      <sheetName val="M-EMS GP-570(BIT)"/>
      <sheetName val="단가산출(T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품셈총괄표"/>
      <sheetName val="수토공단위당"/>
      <sheetName val="부안변전"/>
      <sheetName val="10공-_x0000_Ԁ"/>
      <sheetName val="설원"/>
      <sheetName val="공사비증감"/>
      <sheetName val="VXXXXXXX"/>
      <sheetName val="업체별기성내역"/>
      <sheetName val="단가시흥"/>
      <sheetName val="일위집계"/>
      <sheetName val="뚝토공"/>
      <sheetName val="사진첩"/>
      <sheetName val="수량산출목록표"/>
      <sheetName val="보고"/>
      <sheetName val="계정1"/>
      <sheetName val="설계예산서(2_소천우회토목)"/>
      <sheetName val="구조물터파기수량집계"/>
      <sheetName val="제수문집계"/>
      <sheetName val="신대방33(적용)"/>
      <sheetName val="[입찰안.xls][입찰안.xls]직접뀀鞖/_x0000_"/>
      <sheetName val="[입찰안.xls]직접뀀鞖/_x0000_"/>
      <sheetName val="Data&amp;Result"/>
      <sheetName val="Bảng mã VT"/>
      <sheetName val="ASP"/>
      <sheetName val="원_x0000__x0000_"/>
      <sheetName val="plan&amp;section_of__x0000__x0000__x0005__x0000_冰﹢Ƚ_x0000__x0000__x0000_"/>
      <sheetName val="가로등내역서"/>
      <sheetName val="공사비예산서"/>
      <sheetName val="요율표"/>
      <sheetName val="마감산출"/>
      <sheetName val="外構・目次"/>
      <sheetName val="工場棟・目次"/>
      <sheetName val="事務棟・目次"/>
      <sheetName val="5호광장_(만점)3"/>
      <sheetName val="인천국제_(만점)_(2)3"/>
      <sheetName val="Total_단위경유량집계3"/>
      <sheetName val="준검_내역서3"/>
      <sheetName val="토공유동표(전체_당초)3"/>
      <sheetName val="1_수인터널3"/>
      <sheetName val="4_전기3"/>
      <sheetName val="BH-1_(2)3"/>
      <sheetName val="표__지3"/>
      <sheetName val="1_설계조건3"/>
      <sheetName val="조도계산서_(도서)3"/>
      <sheetName val="I_설계조건3"/>
      <sheetName val="11_우각부_보강3"/>
      <sheetName val="제출내역_(2)3"/>
      <sheetName val="우수관매설및_우수받이3"/>
      <sheetName val="11_산출(전열)3"/>
      <sheetName val="6_산출(동력)3"/>
      <sheetName val="7_산출(TRAY)3"/>
      <sheetName val="노원열병합__건축공사기성내역서3"/>
      <sheetName val="앉음벽_(2)3"/>
      <sheetName val="MSS_23"/>
      <sheetName val="2_1__노무비_평균단가산출2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보고서_기기리스트2"/>
      <sheetName val="7__현장관리비_3"/>
      <sheetName val="6__안전관리비3"/>
      <sheetName val="3련_BOX3"/>
      <sheetName val="소포내역_(2)3"/>
      <sheetName val="배수공_시멘트_및_골재량_산출2"/>
      <sheetName val="_HIT__HMC_견적_3900_3"/>
      <sheetName val="배수내역_(2)2"/>
      <sheetName val="spc_배관견적2"/>
      <sheetName val="投标材料清单_2"/>
      <sheetName val="5_산출(전력)2"/>
      <sheetName val="수량산출서(전력간선_지하D_C)2"/>
      <sheetName val="내___역2"/>
      <sheetName val="플랜트_설치2"/>
      <sheetName val="A_견적2"/>
      <sheetName val="unit_4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도담구내_개소별_명柖1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장비_(2)1"/>
      <sheetName val="3BL공동구_수량1"/>
      <sheetName val="5_동별횡주관경1"/>
      <sheetName val="암거_제원표1"/>
      <sheetName val="Sheet1_(2)1"/>
      <sheetName val="Eq__Mobilization2"/>
      <sheetName val="노무비_근거1"/>
      <sheetName val="제수변_수량집계표(보통)1"/>
      <sheetName val="1차_내역서1"/>
      <sheetName val="CM_11"/>
      <sheetName val="_갑지1"/>
      <sheetName val="6__수량산출서1"/>
      <sheetName val="참조_(2)1"/>
      <sheetName val="1_CB"/>
      <sheetName val="일위대가_1"/>
      <sheetName val="4_LINE1"/>
      <sheetName val="7_th1"/>
      <sheetName val="수량산출서_(2)"/>
      <sheetName val="습식및_셀프레벨링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토공_토적표"/>
      <sheetName val="주bea"/>
      <sheetName val="4__VOs_summary"/>
      <sheetName val="변경명신물량_(2)"/>
      <sheetName val="전사_(2)"/>
      <sheetName val="BA_(2)"/>
      <sheetName val="CP_(2)"/>
      <sheetName val="Bảng_mã_VT"/>
      <sheetName val="Chiet_tinh_dz35"/>
      <sheetName val="기존단가_(2)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Elec LG"/>
      <sheetName val="ESTI."/>
      <sheetName val="DI-ESTI"/>
      <sheetName val="1_MV"/>
      <sheetName val="gVL"/>
      <sheetName val="電気設備表"/>
      <sheetName val="b_balju_cho"/>
      <sheetName val="CONCRETE"/>
      <sheetName val="현우실적"/>
      <sheetName val="9GNG운¼"/>
      <sheetName val="소포내역_x0000__x0000__x0005__x0000_"/>
      <sheetName val="세부내역서"/>
      <sheetName val="자단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预算"/>
      <sheetName val="받을어음"/>
      <sheetName val="시작"/>
      <sheetName val="투자자산"/>
      <sheetName val="대손상각"/>
      <sheetName val="Translation"/>
      <sheetName val="D &amp; W sizes"/>
      <sheetName val="単価表"/>
      <sheetName val="Gia vat tu"/>
      <sheetName val="DI_ESTI"/>
      <sheetName val="dtct cong"/>
      <sheetName val="HS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nhôm 1,2mm"/>
      <sheetName val="nhôm 1,4mm"/>
      <sheetName val="0.목록1"/>
      <sheetName val="7월11일"/>
      <sheetName val="조직관리비"/>
      <sheetName val="수선비"/>
      <sheetName val="원가명세"/>
      <sheetName val="사발차명세표"/>
      <sheetName val="손익"/>
      <sheetName val="분개장·원장"/>
      <sheetName val="참고자료"/>
      <sheetName val="현장경비(공사금액별)"/>
      <sheetName val="발주내역"/>
      <sheetName val="H-PILE수량집계"/>
      <sheetName val="납부서"/>
      <sheetName val="1,2,3,4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M"/>
      <sheetName val="PE"/>
      <sheetName val="So sanh"/>
      <sheetName val="주bea_"/>
      <sheetName val="(원)기흥상갈"/>
      <sheetName val="만봉용지매수비(총괄)"/>
      <sheetName val="DHEQ㧈讄䰀漐"/>
      <sheetName val="공사비예"/>
      <sheetName val="부안일위"/>
      <sheetName val="공기압¬_x0000_Ԁ"/>
      <sheetName val="Front"/>
      <sheetName val="단_x0005__x0000_"/>
      <sheetName val="차량(구)"/>
      <sheetName val="갑지_을지"/>
      <sheetName val="2-2_매출분석"/>
      <sheetName val="설명서_"/>
      <sheetName val="유효폭의_계산"/>
      <sheetName val="STEEL_BOX_단면설계(SEC_8)"/>
      <sheetName val="미납품_현황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참조표"/>
      <sheetName val="pile_bearing_capa_&amp;_¬웰ﾕ쀀_x0005_"/>
      <sheetName val="pile_bearing_capa_&amp;_¬웰ﾕ_x0000_ﳪ_x0005_"/>
      <sheetName val="식재"/>
      <sheetName val="시설물"/>
      <sheetName val="식재출력용"/>
      <sheetName val="유지관리"/>
      <sheetName val="수량산출서집´_x0000_Ԁ_x0000_耀֜䌛"/>
      <sheetName val="원가&amp;하도급원가"/>
      <sheetName val="정리계槜で_x0000__x0000_ｐ"/>
      <sheetName val="정리계槜で_x0000__x0000_㟠"/>
      <sheetName val="적산"/>
      <sheetName val="발주A"/>
      <sheetName val="예산M12A"/>
      <sheetName val="정리계槜〚"/>
      <sheetName val="1,2,3,4_x0005_"/>
      <sheetName val="10공-"/>
      <sheetName val="design_crit"/>
      <sheetName val="[입찰안.xls][입찰안.xls][입찰안.xls]B_17"/>
      <sheetName val="[입찰안.xls][입찰안.xls][입찰안.xls]B__5"/>
      <sheetName val="[입찰안.xls][입찰안.xls][입찰안.xls]B__2"/>
      <sheetName val="[입찰안.xls][입찰안.xls][입찰안.xls]B__3"/>
      <sheetName val="[입찰안.xls][입찰안.xls][입찰안.xls]B__4"/>
      <sheetName val="[입찰안.xls][입찰안.xls][입찰안.xls]B__8"/>
      <sheetName val="[입찰안.xls][입찰안.xls][입찰안.xls]B__6"/>
      <sheetName val="[입찰안.xls][입찰안.xls][입찰안.xls]B_23"/>
      <sheetName val="[입찰안.xls][입찰안.xls][입찰안.xls]B__7"/>
      <sheetName val="[입찰안.xls][입찰안.xls][입찰안.xls]B__9"/>
      <sheetName val="[입찰안.xls][입찰안.xls][입찰안.xls]B_10"/>
      <sheetName val="[입찰안.xls][입찰안.xls][입찰안.xls]B_11"/>
      <sheetName val="[입찰안.xls][입찰안.xls][입찰안.xls]B_12"/>
      <sheetName val="[입찰안.xls][입찰안.xls][입찰안.xls]B_13"/>
      <sheetName val="[입찰안.xls][입찰안.xls][입찰안.xls]B_14"/>
      <sheetName val="[입찰안.xls][입찰안.xls][입찰안.xls]B_15"/>
      <sheetName val="[입찰안.xls][입찰안.xls][입찰안.xls]B_16"/>
      <sheetName val="[입찰안.xls][입찰안.xls][입찰안.xls]B_18"/>
      <sheetName val="[입찰안.xls][입찰안.xls][입찰안.xls]B_19"/>
      <sheetName val="[입찰안.xls][입찰안.xls][입찰안.xls]B_20"/>
      <sheetName val="[입찰안.xls][입찰안.xls][입찰안.xls]B_21"/>
      <sheetName val="[입찰안.xls][입찰안.xls][입찰안.xls]B_22"/>
      <sheetName val="[입찰안.xls][입찰안.xls][입찰안.xls]B_25"/>
      <sheetName val="[입찰안.xls][입찰안.xls][입찰안.xls]B_24"/>
      <sheetName val="[입찰안.xls][입찰안.xls][입찰안.xls]B_26"/>
      <sheetName val="[입찰안.xls][입찰안.xls][입찰안.xls]B_27"/>
      <sheetName val="손익차9월頀"/>
      <sheetName val="CB"/>
      <sheetName val="물가시세"/>
      <sheetName val="토공집계표"/>
      <sheetName val="수량산출서집계(_x0000__x0000__x0005__x0000_"/>
      <sheetName val="수량산출서집계(_x0000__x0000__x0005__x0000_瞀"/>
      <sheetName val="장비가동"/>
      <sheetName val="[입찰안.xls][입찰안.xls][입찰안.xls]___2"/>
      <sheetName val="wbs2차"/>
      <sheetName val="일위(토,포,부)"/>
      <sheetName val="자격증"/>
      <sheetName val="제잡비1"/>
      <sheetName val="테이블"/>
      <sheetName val="빗물받이(910-510-410)"/>
      <sheetName val="[입찰안.xls][입찰안.xls][입찰안.xls]B_29"/>
      <sheetName val="[입찰안.xls][입찰안.xls][입찰안.xls]B_30"/>
      <sheetName val="[입찰안.xls][입찰안.xls][입찰안.xls]B_28"/>
      <sheetName val="CableSchedule"/>
      <sheetName val="pile_bearing_ca怀꿟세_x0000_䘀뤙_x0000__x0000_Ԁ_x0000_"/>
      <sheetName val="교량전기"/>
      <sheetName val="대차대조표"/>
      <sheetName val="손익계산서"/>
      <sheetName val="이익잉여금"/>
      <sheetName val="상세손익"/>
      <sheetName val="cal1"/>
      <sheetName val="bqmpaloc"/>
      <sheetName val="배수로집계"/>
      <sheetName val="장悱_x0017_"/>
      <sheetName val="중강당 내역"/>
      <sheetName val="[입찰안.xls][입찰안.xls][입찰안.xls]B_46"/>
      <sheetName val="[입찰안.xls][입찰안.xls][입찰안.xls]B_45"/>
      <sheetName val="[입찰안.xls][입찰안.xls][입찰안.xls]B_44"/>
      <sheetName val="[입찰안.xls][입찰안.xls][입찰안.xls]B_33"/>
      <sheetName val="[입찰안.xls][입찰안.xls][입찰안.xls]B_31"/>
      <sheetName val="[입찰안.xls][입찰안.xls][입찰안.xls]B_35"/>
      <sheetName val="[입찰안.xls][입찰안.xls][입찰안.xls]B_32"/>
      <sheetName val="[입찰안.xls][입찰안.xls][입찰안.xls]B_40"/>
      <sheetName val="[입찰안.xls][입찰안.xls][입찰안.xls]B_34"/>
      <sheetName val="[입찰안.xls][입찰안.xls][입찰안.xls]B_41"/>
      <sheetName val="[입찰안.xls][입찰안.xls][입찰안.xls]B_36"/>
      <sheetName val="[입찰안.xls][입찰안.xls][입찰안.xls]B_37"/>
      <sheetName val="[입찰안.xls][입찰안.xls][입찰안.xls]B_42"/>
      <sheetName val="[입찰안.xls][입찰안.xls][입찰안.xls]B_38"/>
      <sheetName val="[입찰안.xls][입찰안.xls][입찰안.xls]B_39"/>
      <sheetName val="[입찰안.xls][입찰안.xls][입찰안.xls]B_43"/>
      <sheetName val="[입찰안.xls][입찰안.xls][입찰안.xls]B_54"/>
      <sheetName val="[입찰안.xls][입찰안.xls][입찰안.xls]B_53"/>
      <sheetName val="[입찰안.xls][입찰안.xls][입찰안.xls]B_47"/>
      <sheetName val="[입찰안.xls][입찰안.xls][입찰안.xls]B_48"/>
      <sheetName val="[입찰안.xls][입찰안.xls][입찰안.xls]B_51"/>
      <sheetName val="[입찰안.xls][입찰안.xls][입찰안.xls]B_50"/>
      <sheetName val="[입찰안.xls][입찰안.xls][입찰안.xls]B_49"/>
      <sheetName val="[입찰안.xls][입찰안.xls][입찰안.xls]B_52"/>
      <sheetName val="[입찰안.xls][입찰안.xls][입찰안.xls]B_55"/>
      <sheetName val="[입찰안.xls][입찰안.xls][입찰안.xls]B_56"/>
      <sheetName val="[입찰안.xls][입찰안.xls][입찰안.xls]B_57"/>
      <sheetName val="[입찰안.xls][입찰안.xls][입찰안.xls]B_60"/>
      <sheetName val="[입찰안.xls][입찰안.xls][입찰안.xls]B_59"/>
      <sheetName val="[입찰안.xls][입찰안.xls][입찰안.xls]B_58"/>
      <sheetName val="특수선일위대가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han tich ca may"/>
      <sheetName val="Chenh lech ca may"/>
      <sheetName val="TLg CN&amp;Laixe"/>
      <sheetName val="TLg CN&amp;Laixe (2)"/>
      <sheetName val="TLg Laitau"/>
      <sheetName val="TLg Laitau (2)"/>
      <sheetName val="0"/>
      <sheetName val="Cọc nhồi"/>
      <sheetName val="SCOPE_OF_WORK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Dầm 1"/>
      <sheetName val="ptvt"/>
      <sheetName val="Gia VLNCMTC"/>
      <sheetName val="BIDDING-SUM"/>
      <sheetName val="Sàn T1"/>
      <sheetName val="Lỗ thông gió"/>
      <sheetName val="Sàn tầng 01 ( old )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KTCK"/>
      <sheetName val="제품마스터"/>
      <sheetName val="chitiet"/>
      <sheetName val="Config"/>
      <sheetName val="Chiet tinh don gia CM"/>
      <sheetName val="THKP"/>
      <sheetName val="DAF-2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PS-Labour_M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DNTT"/>
      <sheetName val="일위대㐀븁_x005f_x0000__x005f_x0000_退"/>
      <sheetName val="일위대_x005f_x0000__x005f_x0000_Ԁ_x005f_x0000_䀀"/>
      <sheetName val="공기압舓⿫_x005f_x0005_"/>
      <sheetName val="I_설계조_x005f_x0000_"/>
      <sheetName val="조도계산서_(도서_x005f_x0000_"/>
      <sheetName val="주bea_x005f_xdcf0_"/>
      <sheetName val="대_x005f_x0000__x005f_x0000_"/>
      <sheetName val="Tiepdia"/>
      <sheetName val="RAB AR&amp;STR"/>
      <sheetName val="Isolasi Luar Dalam"/>
      <sheetName val="Isolasi Luar"/>
      <sheetName val="Div26 - Elect"/>
      <sheetName val="5호광장_(만점)6"/>
      <sheetName val="인천국제_(만점)_(2)6"/>
      <sheetName val="Total_단위경유량집계6"/>
      <sheetName val="준검_내역서6"/>
      <sheetName val="토공유동표(전체_당초)6"/>
      <sheetName val="1_수인터널6"/>
      <sheetName val="4_전기6"/>
      <sheetName val="BH-1_(2)6"/>
      <sheetName val="표__지6"/>
      <sheetName val="1_설계조건6"/>
      <sheetName val="조도계산서_(도서)6"/>
      <sheetName val="I_설계조건6"/>
      <sheetName val="11_우각부_보강6"/>
      <sheetName val="제출내역_(2)6"/>
      <sheetName val="우수관매설및_우수받이6"/>
      <sheetName val="11_산출(전열)6"/>
      <sheetName val="6_산출(동력)6"/>
      <sheetName val="7_산출(TRAY)6"/>
      <sheetName val="노원열병합__건축공사기성내역서6"/>
      <sheetName val="앉음벽_(2)6"/>
      <sheetName val="MSS_26"/>
      <sheetName val="2_1__노무비_평균단가산출5"/>
      <sheetName val="내역_ver1_06"/>
      <sheetName val="plan&amp;section_of_foundation6"/>
      <sheetName val="pile_bearing_capa_&amp;_arrenge6"/>
      <sheetName val="working_load_at_the_btm_ft_6"/>
      <sheetName val="stability_check6"/>
      <sheetName val="design_criteria6"/>
      <sheetName val="보고서_기기리스트5"/>
      <sheetName val="7__현장관리비_6"/>
      <sheetName val="6__안전관리비6"/>
      <sheetName val="3련_BOX6"/>
      <sheetName val="소포내역_(2)6"/>
      <sheetName val="배수공_시멘트_및_골재량_산출5"/>
      <sheetName val="_HIT__HMC_견적_3900_6"/>
      <sheetName val="배수내역_(2)5"/>
      <sheetName val="spc_배관견적5"/>
      <sheetName val="投标材料清单_5"/>
      <sheetName val="5_산출(전력)5"/>
      <sheetName val="수량산출서(전력간선_지하D_C)5"/>
      <sheetName val="내___역5"/>
      <sheetName val="플랜트_설치5"/>
      <sheetName val="A_견적5"/>
      <sheetName val="unit_45"/>
      <sheetName val="Customer_Databas5"/>
      <sheetName val="_HIT-&gt;HMC_견적(3900)5"/>
      <sheetName val="전_기5"/>
      <sheetName val="SHEET_PILE단가5"/>
      <sheetName val="목차_5"/>
      <sheetName val="화재_탐지_설비5"/>
      <sheetName val="6PILE__(돌출)5"/>
      <sheetName val="세골재__T2_변경_현황5"/>
      <sheetName val="BH_1__2_5"/>
      <sheetName val="개인별_순위표5"/>
      <sheetName val="1_취수장5"/>
      <sheetName val="Cash_Flow-15"/>
      <sheetName val="3_1공사현황_공정표5"/>
      <sheetName val="2차전체변경예정_(2)5"/>
      <sheetName val="노임_단가5"/>
      <sheetName val="내역서_5"/>
      <sheetName val="8_현장관리비5"/>
      <sheetName val="7_안전관리비5"/>
      <sheetName val="귀래_설계_공내역서5"/>
      <sheetName val="설_계5"/>
      <sheetName val="1_설계기준5"/>
      <sheetName val="집_계_표5"/>
      <sheetName val="별표_5"/>
      <sheetName val="도담구내_개소별_명세5"/>
      <sheetName val="도담구내_개소별_명柖4"/>
      <sheetName val="danh_muc_vat_tu4"/>
      <sheetName val="Register-BG_NCC4"/>
      <sheetName val="Data_24"/>
      <sheetName val="TB_chính4"/>
      <sheetName val="Steel_pipe4"/>
      <sheetName val="Ref_pipe+Ins4"/>
      <sheetName val="Plastic_pipe4"/>
      <sheetName val="Air_Grilles4"/>
      <sheetName val="노임단가_(2)5"/>
      <sheetName val="3_공통공사대비5"/>
      <sheetName val="단___산4"/>
      <sheetName val="실____단4"/>
      <sheetName val="단가_및_재료비5"/>
      <sheetName val="전선_및_전선관4"/>
      <sheetName val="장비비_명세서15"/>
      <sheetName val="7_공정표5"/>
      <sheetName val="단면_(2)5"/>
      <sheetName val="RETAIL_(ABOVE)5"/>
      <sheetName val="5__현장관리비(new)_5"/>
      <sheetName val="내역서1999_8최종4"/>
      <sheetName val="2_대외공문5"/>
      <sheetName val="Sheet1_(2)4"/>
      <sheetName val="Cost_bd-&quot;A&quot;4"/>
      <sheetName val="1차_내역서4"/>
      <sheetName val="장비_(2)4"/>
      <sheetName val="3BL공동구_수량4"/>
      <sheetName val="5_동별횡주관경4"/>
      <sheetName val="암거_제원표4"/>
      <sheetName val="Eq__Mobilization5"/>
      <sheetName val="노무비_근거4"/>
      <sheetName val="제수변_수량집계표(보통)4"/>
      <sheetName val="6__수량산출서4"/>
      <sheetName val="_갑지4"/>
      <sheetName val="1_CB3"/>
      <sheetName val="CM_14"/>
      <sheetName val="일위대가_4"/>
      <sheetName val="4_LINE4"/>
      <sheetName val="7_th4"/>
      <sheetName val="참조_(2)4"/>
      <sheetName val="수량산출서_(2)3"/>
      <sheetName val="토공_total3"/>
      <sheetName val="기성(1차)_3"/>
      <sheetName val="습식및_셀프레벨링4"/>
      <sheetName val="BSD_(2)3"/>
      <sheetName val="바_한일양산3"/>
      <sheetName val="Project_Brief3"/>
      <sheetName val="영업_일13"/>
      <sheetName val="기기_내역서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_소방공사_산출근거3"/>
      <sheetName val="토공_토적표3"/>
      <sheetName val="4__VOs_summary3"/>
      <sheetName val="변경명신물량_(2)3"/>
      <sheetName val="전사_(2)3"/>
      <sheetName val="BA_(2)3"/>
      <sheetName val="CP_(2)3"/>
      <sheetName val="Bảng_mã_VT3"/>
      <sheetName val="Chiet_tinh_dz353"/>
      <sheetName val="기존단가_(2)3"/>
      <sheetName val="Xunit_(단위환산)2"/>
      <sheetName val="Elec_LG1"/>
      <sheetName val="ESTI_1"/>
      <sheetName val="아파트_2"/>
      <sheetName val="장비코드표_0506012"/>
      <sheetName val="2007년_생산1부장비2"/>
      <sheetName val="2008년_생산부전장비코드2"/>
      <sheetName val="DDB부_장비_관리현황2"/>
      <sheetName val="갑지_을지1"/>
      <sheetName val="유효폭의_계산1"/>
      <sheetName val="미납품_현황1"/>
      <sheetName val="DATA_LISTS1"/>
      <sheetName val="SCOPE_OF_WORK1"/>
      <sheetName val="D_&amp;_W_sizes1"/>
      <sheetName val="Gia_vat_tu1"/>
      <sheetName val="dtct_cong1"/>
      <sheetName val="DGCT_(01)1"/>
      <sheetName val="ITB_COST1"/>
      <sheetName val="Chi_tiet1"/>
      <sheetName val="nhôm_1,2mm1"/>
      <sheetName val="nhôm_1,4mm1"/>
      <sheetName val="01__DATA1"/>
      <sheetName val="Phan_tich_ca_may"/>
      <sheetName val="Chenh_lech_ca_may"/>
      <sheetName val="TLg_CN&amp;Laixe"/>
      <sheetName val="TLg_CN&amp;Laixe_(2)"/>
      <sheetName val="TLg_Laitau"/>
      <sheetName val="TLg_Laitau_(2)"/>
      <sheetName val="STEEL_BOX_단면설계(SEC_8)1"/>
      <sheetName val="2-2_매출분석1"/>
      <sheetName val="설명서_1"/>
      <sheetName val="Cọc_nhồi"/>
      <sheetName val="ጵՈጶsጷ״ጸ_ጿ¬ጿ׭ጊ"/>
      <sheetName val="ጳՈጳsጴsጳ_ጳtጴa"/>
      <sheetName val="ጱՈጼsፍ°ጳࠄጳ_ጴ_ጳ"/>
      <sheetName val="ጳՈጴsጳTጳ_ጴOጵ"/>
      <sheetName val="ጵՈፋsፌ_ጿ᦬ጿeጊ"/>
      <sheetName val="ጴՈጵsጶ_ጷbጸzጿoጿ"/>
      <sheetName val="ጊՈጊsጊ_ጊ_ጱmጲ"/>
      <sheetName val="ጳՈጳsጴiጳtጳ_ጴ5"/>
      <sheetName val="Dầm_1"/>
      <sheetName val="Gia_VLNCMTC"/>
      <sheetName val="Sàn_T1"/>
      <sheetName val="Lỗ_thông_gió"/>
      <sheetName val="Sàn_tầng_01_(_old_)"/>
      <sheetName val="Chiet_tinh_don_gia_CM"/>
      <sheetName val="So_sanh"/>
      <sheetName val="Measure_1306"/>
      <sheetName val="EE_(3)"/>
      <sheetName val="DG"/>
      <sheetName val="U.P_Breakdown"/>
      <sheetName val="B-B"/>
      <sheetName val="計算条件"/>
      <sheetName val="8521"/>
      <sheetName val="SITE-E"/>
      <sheetName val="諸経費"/>
      <sheetName val="清水計算営業税率関連"/>
      <sheetName val="General"/>
      <sheetName val="[입찰안.xls][입찰안.xls][입찰안.xls]___3"/>
      <sheetName val="수량"/>
      <sheetName val="PROJ. DATA"/>
      <sheetName val=" Beams Sched "/>
      <sheetName val="본사업"/>
      <sheetName val="총투자비"/>
      <sheetName val="실행내역서 "/>
      <sheetName val="재학생"/>
      <sheetName val="거래처CODE"/>
      <sheetName val="일위대가갂窹"/>
      <sheetName val="일위대가_x0000__x0000_렀"/>
      <sheetName val="일위대가耀쾑_x0000_"/>
      <sheetName val="일위총괄표"/>
      <sheetName val="Gian"/>
      <sheetName val="을지"/>
      <sheetName val="TOWER 12TON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각종단가"/>
      <sheetName val="노무비계"/>
      <sheetName val="현장"/>
      <sheetName val="EXCHANGE RATE"/>
      <sheetName val="NP-총정리"/>
      <sheetName val="표지_(2)1"/>
      <sheetName val="2_단면가정_(양곡1교)1"/>
      <sheetName val="갑지_설계_내역서1"/>
      <sheetName val="1_내역(청_하역장전등)1"/>
      <sheetName val="자격_땡겨오기1"/>
      <sheetName val="단양_00_아파트-세부내역1"/>
      <sheetName val="2000_05"/>
      <sheetName val="05년_상1"/>
      <sheetName val="영흥TL(UP,DOWN)_1"/>
      <sheetName val="8_PILE__(돌출)1"/>
      <sheetName val="6_산출닑⾱"/>
      <sheetName val="1,2,3,4"/>
      <sheetName val="4_2_1_마루높이_검토1"/>
      <sheetName val="TABLE_DB"/>
      <sheetName val="쌍용_data_base"/>
      <sheetName val="_견적서1"/>
      <sheetName val="수량산출서_갑지1"/>
      <sheetName val="품셈_"/>
      <sheetName val="M-EMS_GP-570(BIT)"/>
      <sheetName val="19_07월_세_계"/>
      <sheetName val="19_07항목별(시트복사금지100번쓰기)"/>
      <sheetName val="19_05월"/>
      <sheetName val="내역서_제출1"/>
      <sheetName val="_FURNACE현설"/>
      <sheetName val="97_사업추정(WEKI)"/>
      <sheetName val="[입찰안_xls]직접뀀鞖/"/>
      <sheetName val="[입찰안_xls][입찰안_xls]직접뀀鞖/"/>
      <sheetName val="자재기성_신청서_xlsx"/>
      <sheetName val="plan&amp;section_of_冰﹢Ƚ"/>
      <sheetName val="중기조종사_단위단가"/>
      <sheetName val="pile_bearing_capa_&amp;_¬웰ﾕ쀀"/>
      <sheetName val="pile_bearing_capa_&amp;_¬웰ﾕﳪ"/>
      <sheetName val="8_설치품셈"/>
      <sheetName val="소포내역"/>
      <sheetName val="0_목록1"/>
      <sheetName val="[입찰안_xls][입찰안_xls][입찰안_xls]___2"/>
      <sheetName val="내역(인테리어_실내)(도급)"/>
      <sheetName val="내역(인테리어_실외)(도급)"/>
      <sheetName val="조도계산서Å"/>
      <sheetName val="plan&amp;section_of_"/>
      <sheetName val="pile_bearing_capa_&amp;_¬웰ﾕ"/>
      <sheetName val="견적비교표 (2)"/>
      <sheetName val="작성방법(지우지마세요)"/>
      <sheetName val="결재방(지우지 마세요)"/>
      <sheetName val="장_x0000__x0000_Ԁ"/>
      <sheetName val="전기혼잡제경⻉ⴋԯ_x0000_缀"/>
      <sheetName val="유효폭의_계산2"/>
      <sheetName val="2-2_매출분석2"/>
      <sheetName val="2_단면가정_(양곡1교)2"/>
      <sheetName val="갑지_을지2"/>
      <sheetName val="설명서_2"/>
      <sheetName val="STEEL_BOX_단면설계(SEC_8)2"/>
      <sheetName val="미납품_현황2"/>
      <sheetName val="갑지_설계_내역서2"/>
      <sheetName val="1_내역(청_하역장전등)2"/>
      <sheetName val="표지_(2)2"/>
      <sheetName val="자격_땡겨오기2"/>
      <sheetName val="단양_00_아파트-세부내역2"/>
      <sheetName val="2000_051"/>
      <sheetName val="05년_상2"/>
      <sheetName val="영흥TL(UP,DOWN)_2"/>
      <sheetName val="8_PILE__(돌출)2"/>
      <sheetName val="ITB_COST2"/>
      <sheetName val="수량산출서_갑지2"/>
      <sheetName val="품셈_1"/>
      <sheetName val="M-EMS_GP-570(BIT)1"/>
      <sheetName val="4_2_1_마루높이_검토2"/>
      <sheetName val="_견적서2"/>
      <sheetName val="19_07월_세_계1"/>
      <sheetName val="19_07항목별(시트복사금지100번쓰기)1"/>
      <sheetName val="19_05월1"/>
      <sheetName val="_FURNACE현설1"/>
      <sheetName val="97_사업추정(WEKI)1"/>
      <sheetName val="8_설치품셈1"/>
      <sheetName val="내역서_제출2"/>
      <sheetName val="TABLE_DB1"/>
      <sheetName val="쌍용_data_base1"/>
      <sheetName val="중기조종사_단위단가1"/>
      <sheetName val="자재기성_신청서_xlsx1"/>
      <sheetName val="0_목록11"/>
      <sheetName val="[입찰안_xls][입찰안_xls][입찰안_xls]___1"/>
      <sheetName val="내역(인테리어_실내)(도급)1"/>
      <sheetName val="내역(인테리어_실외)(도급)1"/>
      <sheetName val="단"/>
      <sheetName val="[입찰안_xls][입찰안_xls][입찰안_xls]B__2"/>
      <sheetName val="[입찰안_xls][입찰안_xls][입찰안_xls]B__3"/>
      <sheetName val="PROJ__DATA"/>
      <sheetName val="_Beams_Sched_"/>
      <sheetName val="수량산출서집계("/>
      <sheetName val="수량산출서집계(瞀"/>
      <sheetName val="5호광장_(만점)7"/>
      <sheetName val="인천국제_(만점)_(2)7"/>
      <sheetName val="Total_단위경유량집계7"/>
      <sheetName val="준검_내역서7"/>
      <sheetName val="토공유동표(전체_당초)7"/>
      <sheetName val="1_수인터널7"/>
      <sheetName val="11_산출(전열)7"/>
      <sheetName val="6_산출(동력)7"/>
      <sheetName val="7_산출(TRAY)7"/>
      <sheetName val="5_산출(전력)6"/>
      <sheetName val="표__지7"/>
      <sheetName val="4_전기7"/>
      <sheetName val="BH-1_(2)7"/>
      <sheetName val="1_설계조건7"/>
      <sheetName val="조도계산서_(도서)7"/>
      <sheetName val="I_설계조건7"/>
      <sheetName val="앉음벽_(2)7"/>
      <sheetName val="노원열병합__건축공사기성내역서7"/>
      <sheetName val="수량산출서(전력간선_지하D_C)6"/>
      <sheetName val="소포내역_(2)7"/>
      <sheetName val="MSS_27"/>
      <sheetName val="우수관매설및_우수받이7"/>
      <sheetName val="11_우각부_보강7"/>
      <sheetName val="제출내역_(2)7"/>
      <sheetName val="A_견적6"/>
      <sheetName val="3련_BOX7"/>
      <sheetName val="2_1__노무비_평균단가산출6"/>
      <sheetName val="내역_ver1_07"/>
      <sheetName val="보고서_기기리스트6"/>
      <sheetName val="7__현장관리비_7"/>
      <sheetName val="6__안전관리비7"/>
      <sheetName val="_HIT__HMC_견적_3900_7"/>
      <sheetName val="plan&amp;section_of_foundation7"/>
      <sheetName val="pile_bearing_capa_&amp;_arrenge7"/>
      <sheetName val="working_load_at_the_btm_ft_7"/>
      <sheetName val="stability_check7"/>
      <sheetName val="design_criteria7"/>
      <sheetName val="배수공_시멘트_및_골재량_산출6"/>
      <sheetName val="배수내역_(2)6"/>
      <sheetName val="내___역6"/>
      <sheetName val="_HIT-&gt;HMC_견적(3900)6"/>
      <sheetName val="6PILE__(돌출)6"/>
      <sheetName val="SHEET_PILE단가6"/>
      <sheetName val="플랜트_설치6"/>
      <sheetName val="spc_배관견적6"/>
      <sheetName val="1_취수장6"/>
      <sheetName val="3_1공사현황_공정표6"/>
      <sheetName val="Customer_Databas6"/>
      <sheetName val="화재_탐지_설비6"/>
      <sheetName val="2차전체변경예정_(2)6"/>
      <sheetName val="전_기6"/>
      <sheetName val="설_계6"/>
      <sheetName val="목차_6"/>
      <sheetName val="unit_46"/>
      <sheetName val="노임_단가6"/>
      <sheetName val="귀래_설계_공내역서6"/>
      <sheetName val="BH_1__2_6"/>
      <sheetName val="세골재__T2_변경_현황6"/>
      <sheetName val="1_설계기준6"/>
      <sheetName val="집_계_표6"/>
      <sheetName val="참조_(2)5"/>
      <sheetName val="도담구내_개소별_명세6"/>
      <sheetName val="Cash_Flow-16"/>
      <sheetName val="8_현장관리비6"/>
      <sheetName val="7_안전관리비6"/>
      <sheetName val="개인별_순위표6"/>
      <sheetName val="별표_6"/>
      <sheetName val="내역서_6"/>
      <sheetName val="노임단가_(2)6"/>
      <sheetName val="제수변_수량집계표(보통)5"/>
      <sheetName val="投标材料清单_6"/>
      <sheetName val="3_공통공사대비6"/>
      <sheetName val="단가_및_재료비6"/>
      <sheetName val="RETAIL_(ABOVE)6"/>
      <sheetName val="5__현장관리비(new)_6"/>
      <sheetName val="장비비_명세서16"/>
      <sheetName val="단___산5"/>
      <sheetName val="실____단5"/>
      <sheetName val="암거_제원표5"/>
      <sheetName val="7_공정표6"/>
      <sheetName val="단면_(2)6"/>
      <sheetName val="2_대외공문6"/>
      <sheetName val="Eq__Mobilization6"/>
      <sheetName val="노무비_근거5"/>
      <sheetName val="전선_및_전선관5"/>
      <sheetName val="3BL공동구_수량5"/>
      <sheetName val="내역서1999_8최종5"/>
      <sheetName val="Sheet1_(2)5"/>
      <sheetName val="_갑지5"/>
      <sheetName val="5_동별횡주관경5"/>
      <sheetName val="CM_15"/>
      <sheetName val="6__수량산출서5"/>
      <sheetName val="장비_(2)5"/>
      <sheetName val="수량산출서_(2)4"/>
      <sheetName val="토공_total4"/>
      <sheetName val="기성(1차)_4"/>
      <sheetName val="일위대가_5"/>
      <sheetName val="4_LINE5"/>
      <sheetName val="7_th5"/>
      <sheetName val="습식및_셀프레벨링5"/>
      <sheetName val="1차_내역서5"/>
      <sheetName val="BSD_(2)4"/>
      <sheetName val="바_한일양산4"/>
      <sheetName val="Project_Brief4"/>
      <sheetName val="영업_일14"/>
      <sheetName val="기기_내역서4"/>
      <sheetName val="아파트_3"/>
      <sheetName val="1_CB4"/>
      <sheetName val="_소방공사_산출근거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전사_(2)4"/>
      <sheetName val="BA_(2)4"/>
      <sheetName val="CP_(2)4"/>
      <sheetName val="토공_토적표4"/>
      <sheetName val="변경명신물량_(2)4"/>
      <sheetName val="기존단가_(2)4"/>
      <sheetName val="유효폭의_계산3"/>
      <sheetName val="2-2_매출분석3"/>
      <sheetName val="2_단면가정_(양곡1교)3"/>
      <sheetName val="갑지_을지3"/>
      <sheetName val="설명서_3"/>
      <sheetName val="STEEL_BOX_단면설계(SEC_8)3"/>
      <sheetName val="미납품_현황3"/>
      <sheetName val="도담구내_개소별_명柖5"/>
      <sheetName val="danh_muc_vat_tu5"/>
      <sheetName val="Register-BG_NCC5"/>
      <sheetName val="Data_25"/>
      <sheetName val="TB_chính5"/>
      <sheetName val="Steel_pipe5"/>
      <sheetName val="Ref_pipe+Ins5"/>
      <sheetName val="Plastic_pipe5"/>
      <sheetName val="Air_Grilles5"/>
      <sheetName val="Cost_bd-&quot;A&quot;5"/>
      <sheetName val="갑지_설계_내역서3"/>
      <sheetName val="1_내역(청_하역장전등)3"/>
      <sheetName val="표지_(2)3"/>
      <sheetName val="자격_땡겨오기3"/>
      <sheetName val="단양_00_아파트-세부내역3"/>
      <sheetName val="2000_052"/>
      <sheetName val="05년_상3"/>
      <sheetName val="영흥TL(UP,DOWN)_3"/>
      <sheetName val="8_PILE__(돌출)3"/>
      <sheetName val="ITB_COST3"/>
      <sheetName val="수량산출서_갑지3"/>
      <sheetName val="품셈_2"/>
      <sheetName val="M-EMS_GP-570(BIT)2"/>
      <sheetName val="4_2_1_마루높이_검토3"/>
      <sheetName val="_견적서3"/>
      <sheetName val="4__VOs_summary4"/>
      <sheetName val="Chiet_tinh_dz354"/>
      <sheetName val="19_07월_세_계2"/>
      <sheetName val="19_07항목별(시트복사금지100번쓰기)2"/>
      <sheetName val="19_05월2"/>
      <sheetName val="DATA_LISTS2"/>
      <sheetName val="_FURNACE현설2"/>
      <sheetName val="97_사업추정(WEKI)2"/>
      <sheetName val="8_설치품셈2"/>
      <sheetName val="내역서_제출3"/>
      <sheetName val="TABLE_DB2"/>
      <sheetName val="쌍용_data_base2"/>
      <sheetName val="Bảng_mã_VT4"/>
      <sheetName val="중기조종사_단위단가2"/>
      <sheetName val="자재기성_신청서_xlsx2"/>
      <sheetName val="0_목록12"/>
      <sheetName val="Elec_LG2"/>
      <sheetName val="ESTI_2"/>
      <sheetName val="[입찰안_xls][입찰안_xls][입찰안_xls]___3"/>
      <sheetName val="내역(인테리어_실내)(도급)2"/>
      <sheetName val="내역(인테리어_실외)(도급)2"/>
      <sheetName val="D_&amp;_W_sizes2"/>
      <sheetName val="Gia_vat_tu2"/>
      <sheetName val="dtct_cong2"/>
      <sheetName val="So_sanh1"/>
      <sheetName val="[입찰안_xls][입찰안_xls][입찰안_xls]B__1"/>
      <sheetName val="[입찰안_xls][입찰안_xls][입찰안_xls]B__4"/>
      <sheetName val="PROJ__DATA1"/>
      <sheetName val="_Beams_Sched_1"/>
      <sheetName val="조경수볰"/>
      <sheetName val="전신"/>
      <sheetName val="원본(갑지)"/>
      <sheetName val="판매시설"/>
      <sheetName val="할증 "/>
      <sheetName val="eq_data"/>
      <sheetName val="간접비 총괄표"/>
      <sheetName val="시운전壒》"/>
      <sheetName val="6-1.보오링(1)"/>
      <sheetName val="기계경비산출기준"/>
      <sheetName val="공사투입계획(변경결의)19.9"/>
      <sheetName val="노무비 월별지급현황19.9"/>
      <sheetName val="갑지(외주기성)19.9"/>
      <sheetName val="단면ⲴǾ"/>
      <sheetName val="노임단가 및 기계경비"/>
      <sheetName val="심사계산"/>
      <sheetName val="총괄집계표"/>
      <sheetName val="[입찰안.xls][입찰안.xls][입찰안.xls]B_62"/>
      <sheetName val="[입찰안.xls][입찰안.xls][입찰안.xls]B_64"/>
      <sheetName val="[입찰안.xls][입찰안.xls][입찰안.xls]B_63"/>
      <sheetName val="[입찰안.xls][입찰안.xls][입찰안.xls]B_61"/>
      <sheetName val="[입찰안.xls][입찰안.xls][입찰안.xls]B_65"/>
      <sheetName val="[입찰안.xls][입찰안.xls][입찰안.xls]B_67"/>
      <sheetName val="[입찰안.xls][입찰안.xls][입찰안.xls]B_66"/>
      <sheetName val="[입찰안.xls][입찰안.xls][입찰안.xls]B_68"/>
      <sheetName val="[입찰안.xls][입찰안.xls][입찰안.xls]_106"/>
      <sheetName val="[입찰안.xls][입찰안.xls][입찰안.xls]_105"/>
      <sheetName val="[입찰안.xls][입찰안.xls][입찰안.xls]___4"/>
      <sheetName val="[입찰안.xls][입찰안.xls][입찰안.xls]B_69"/>
      <sheetName val="[입찰안.xls][입찰안.xls][입찰안.xls]B_79"/>
      <sheetName val="[입찰안.xls][입찰안.xls][입찰안.xls]B_85"/>
      <sheetName val="[입찰안.xls][입찰안.xls][입찰안.xls]B_86"/>
      <sheetName val="[입찰안.xls][입찰안.xls][입찰안.xls]B_71"/>
      <sheetName val="[입찰안.xls][입찰안.xls][입찰안.xls]B_70"/>
      <sheetName val="[입찰안.xls][입찰안.xls][입찰안.xls]B_73"/>
      <sheetName val="[입찰안.xls][입찰안.xls][입찰안.xls]B_74"/>
      <sheetName val="[입찰안.xls][입찰안.xls][입찰안.xls]B_72"/>
      <sheetName val="[입찰안.xls][입찰안.xls][입찰안.xls]B_75"/>
      <sheetName val="[입찰안.xls][입찰안.xls][입찰안.xls]B_77"/>
      <sheetName val="[입찰안.xls][입찰안.xls][입찰안.xls]B_78"/>
      <sheetName val="[입찰안.xls][입찰안.xls][입찰안.xls]B_76"/>
      <sheetName val="[입찰안.xls][입찰안.xls][입찰안.xls]B_81"/>
      <sheetName val="[입찰안.xls][입찰안.xls][입찰안.xls]B_82"/>
      <sheetName val="[입찰안.xls][입찰안.xls][입찰안.xls]B_80"/>
      <sheetName val="[입찰안.xls][입찰안.xls][입찰안.xls]B_83"/>
      <sheetName val="[입찰안.xls][입찰안.xls][입찰안.xls]B_84"/>
      <sheetName val="[입찰안.xls][입찰안.xls][입찰안.xls]B_88"/>
      <sheetName val="[입찰안.xls][입찰안.xls][입찰안.xls]B_93"/>
      <sheetName val="[입찰안.xls][입찰안.xls][입찰안.xls]B_94"/>
      <sheetName val="[입찰안.xls][입찰안.xls][입찰안.xls]B_87"/>
      <sheetName val="[입찰안.xls][입찰안.xls][입찰안.xls]B_89"/>
      <sheetName val="[입찰안.xls][입찰안.xls][입찰안.xls]B_91"/>
      <sheetName val="[입찰안.xls][입찰안.xls][입찰안.xls]B_90"/>
      <sheetName val="[입찰안.xls][입찰안.xls][입찰안.xls]B_92"/>
      <sheetName val="[입찰안.xls][입찰안.xls][입찰안.xls]_100"/>
      <sheetName val="[입찰안.xls][입찰안.xls][입찰안.xls]B_98"/>
      <sheetName val="[입찰안.xls][입찰안.xls][입찰안.xls]B_95"/>
      <sheetName val="[입찰안.xls][입찰안.xls][입찰안.xls]B_96"/>
      <sheetName val="[입찰안.xls][입찰안.xls][입찰안.xls]B_97"/>
      <sheetName val="[입찰안.xls][입찰안.xls][입찰안.xls]B_99"/>
      <sheetName val="[입찰안.xls][입찰안.xls][입찰안.xls]_101"/>
      <sheetName val="[입찰안.xls][입찰안.xls][입찰안.xls]_102"/>
      <sheetName val="[입찰안.xls][입찰안.xls][입찰안.xls]_103"/>
      <sheetName val="[입찰안.xls][입찰안.xls][입찰안.xls]_104"/>
      <sheetName val="[입찰안.xls][입찰안.xls][입찰안.xls]_107"/>
      <sheetName val="[입찰안.xls][입찰안.xls][입찰안.xls]_108"/>
      <sheetName val="[입찰안.xls][입찰안.xls][입찰안.xls]_109"/>
      <sheetName val="[입찰안.xls][입찰안.xls][입찰안.xls]_112"/>
      <sheetName val="[입찰안.xls][입찰안.xls][입찰안.xls]_111"/>
      <sheetName val="[입찰안.xls][입찰안.xls][입찰안.xls]_110"/>
      <sheetName val="[입찰안.xls][입찰안.xls][입찰안.xls]_113"/>
      <sheetName val="[입찰안.xls][입찰안.xls][입찰안.xls]_114"/>
      <sheetName val="[입찰안.xls][입찰안.xls][입찰안.xls]_116"/>
      <sheetName val="[입찰안.xls][입찰안.xls][입찰안.xls]_115"/>
      <sheetName val="[입찰안.xls][입찰안.xls][입찰안.xls]_117"/>
      <sheetName val="조도계산서Ì_x0000_Ԁ_x0000_耀"/>
      <sheetName val="O＆P"/>
      <sheetName val="plan&amp;section_of勉_x0010__x0000__x0000__x0000__x0000__x0000__x0001_Ԁ_x0000__xdc00_"/>
      <sheetName val="조경내역서"/>
      <sheetName val="본실행경비"/>
      <sheetName val="일위대가(집계刀"/>
      <sheetName val="적용비율"/>
      <sheetName val="공사착공계"/>
      <sheetName val="공기압¬"/>
      <sheetName val="수량산출서집´"/>
      <sheetName val="정리계槜で"/>
      <sheetName val="Cable임피던스"/>
      <sheetName val="Mc1"/>
      <sheetName val="영창26"/>
      <sheetName val="[입찰안.xls][입찰안.xls][입찰안.xls]_118"/>
      <sheetName val="[입찰안.xls][입찰안.xls][입찰안.xls]_122"/>
      <sheetName val="[입찰안.xls][입찰안.xls][입찰안.xls]_119"/>
      <sheetName val="수량산출서집계("/>
      <sheetName val="노임단가(일반)"/>
      <sheetName val="Requirement(Work Crew)"/>
      <sheetName val="기계경비시간당손료목록"/>
      <sheetName val="Cong"/>
      <sheetName val="GC산출"/>
      <sheetName val="BOQ"/>
      <sheetName val="1.R18 BF"/>
      <sheetName val="A"/>
      <sheetName val="G"/>
      <sheetName val="F-B"/>
      <sheetName val="H-J"/>
      <sheetName val="6.External works-R18"/>
      <sheetName val="[입찰안.xls][입찰안.xls][입찰안.xls]_120"/>
      <sheetName val="[입찰안.xls][입찰안.xls][입찰안.xls]_121"/>
      <sheetName val="[입찰안.xls][입찰안.xls][입찰안.xls]_123"/>
      <sheetName val="일위대가ꤥ"/>
      <sheetName val="노.표-조"/>
      <sheetName val="1-7(재가공내역)"/>
      <sheetName val="교대(A1-A2)"/>
      <sheetName val="Sheet15"/>
      <sheetName val="AS접수관리"/>
      <sheetName val="의견양식"/>
      <sheetName val="[입찰안.xls][입찰안.xls][입찰안.xls]_127"/>
      <sheetName val="[입찰안.xls][입찰안.xls][입찰안.xls]_126"/>
      <sheetName val="[입찰안.xls][입찰안.xls][입찰안.xls]_125"/>
      <sheetName val="[입찰안.xls][입찰안.xls][입찰안.xls]_124"/>
      <sheetName val="[입찰안.xls][입찰안.xls][입찰안.xls]_128"/>
      <sheetName val="사  업  비  수  지  예  산  서"/>
      <sheetName val="[입찰안.xls][입찰안.xls][입찰안.xls]_130"/>
      <sheetName val="[입찰안.xls][입찰안.xls][입찰안.xls]_129"/>
      <sheetName val="예산"/>
      <sheetName val="PTDGDT"/>
      <sheetName val="일위대??Ԁ?䀀"/>
      <sheetName val="일위대㐀븁??退"/>
      <sheetName val="I_설계조?"/>
      <sheetName val="조도계산서_(도서?"/>
      <sheetName val="대??"/>
      <sheetName val="POL6차-PIPÁ_x0000_Ԁ"/>
      <sheetName val="POL6차-PIPⶌ쌈"/>
      <sheetName val="General Data"/>
      <sheetName val="POL6차-PIPÁ"/>
      <sheetName val="산출0"/>
      <sheetName val="Gia"/>
      <sheetName val="VCV-BE-TONG"/>
      <sheetName val="Dulieu"/>
      <sheetName val="020.235.2363"/>
      <sheetName val="CHITIET VL-NC-TT1p"/>
      <sheetName val="Project Infor"/>
      <sheetName val="Data input"/>
      <sheetName val="bang TH"/>
      <sheetName val="공통உ"/>
      <sheetName val="직접뀀鞖_"/>
      <sheetName val="Bill 01 - CTN"/>
      <sheetName val="TEMP"/>
      <sheetName val="cov-estimate"/>
      <sheetName val="GAEYO"/>
      <sheetName val="BMS"/>
      <sheetName val="入力作成表"/>
      <sheetName val="_입찰안.xls_직접뀀鞖_"/>
      <sheetName val="_입찰안.xls__입찰안.xls_직접뀀鞖_"/>
      <sheetName val="결재_x005f_x0000_"/>
      <sheetName val="전기혼잡제경⻉ⴋԯ"/>
      <sheetName val="pile_bearing_ca怀꿟세"/>
      <sheetName val="[입찰안.xls][입찰안.xls][입찰안.xls]_140"/>
      <sheetName val="[입찰안.xls][입찰안.xls][입찰안.xls]_142"/>
      <sheetName val="중기가격"/>
      <sheetName val="[입찰안.xls][입찰안.xls][입찰안.xls]_137"/>
      <sheetName val="[입찰안.xls][입찰안.xls][입찰안.xls]_136"/>
      <sheetName val="[입찰안.xls][입찰안.xls][입찰안.xls]_139"/>
      <sheetName val="설명"/>
      <sheetName val="3련_BÈ_x0000_"/>
      <sheetName val="[입찰안.xls][입찰안.xls][입찰안.xls]_134"/>
      <sheetName val="[입찰안.xls][입찰안.xls][입찰안.xls]_131"/>
      <sheetName val="[입찰안.xls][입찰안.xls][입찰안.xls]_132"/>
      <sheetName val="[입찰안.xls][입찰안.xls][입찰안.xls]_133"/>
      <sheetName val="[입찰안.xls][입찰안.xls][입찰안.xls]_135"/>
      <sheetName val="[입찰안.xls][입찰안.xls][입찰안.xls]_138"/>
      <sheetName val="[입찰안.xls][입찰안.xls][입찰안.xls]_141"/>
      <sheetName val="[입찰안.xls][입찰안.xls][입찰안.xls]_161"/>
      <sheetName val="집계장(뀀ﰡ 縞悧縳"/>
      <sheetName val="집계장(뀀ﰡ_x0000_䀰"/>
      <sheetName val="[입찰안.xls][입찰안.xls][입찰안.xls]_162"/>
      <sheetName val="[입찰안.xls][입찰안.xls][입찰안.xls]_163"/>
      <sheetName val="매각(6)"/>
      <sheetName val="신우"/>
      <sheetName val="집계장(Â_x0000_蠀1_x0000__x0000_"/>
      <sheetName val="[입찰안.xls][입찰안.xls][입찰안.xls]_143"/>
      <sheetName val="[입찰안.xls][입찰안.xls][입찰안.xls]_147"/>
      <sheetName val="[입찰안.xls][입찰안.xls][입찰안.xls]_146"/>
      <sheetName val="[입찰안.xls][입찰안.xls][입찰안.xls]_145"/>
      <sheetName val="표준차도부연장집계-ASP"/>
      <sheetName val="노임변ᡆ콞"/>
      <sheetName val="PL98"/>
      <sheetName val="bs"/>
      <sheetName val="BSM9601"/>
      <sheetName val="정리계槜〩_x0000__x0000_８"/>
      <sheetName val="[입찰안.xls][입찰안.xls][입찰안.xls]_144"/>
      <sheetName val="0001new"/>
      <sheetName val="[입찰안.xls][입찰안.xls][입찰안.xls]_158"/>
      <sheetName val="[입찰안.xls][입찰안.xls][입찰안.xls]_152"/>
      <sheetName val="[입찰안.xls][입찰안.xls][입찰안.xls]_151"/>
      <sheetName val="[입찰안.xls][입찰안.xls][입찰안.xls]_149"/>
      <sheetName val="[입찰안.xls][입찰안.xls][입찰안.xls]_148"/>
      <sheetName val="[입찰안.xls][입찰안.xls][입찰안.xls]_150"/>
      <sheetName val="[입찰안.xls][입찰안.xls][입찰안.xls]_157"/>
      <sheetName val="[입찰안.xls][입찰안.xls][입찰안.xls]_153"/>
      <sheetName val="[입찰안.xls][입찰안.xls][입찰안.xls]_154"/>
      <sheetName val="[입찰안.xls][입찰안.xls][입찰안.xls]_155"/>
      <sheetName val="[입찰안.xls][입찰안.xls][입찰안.xls]_156"/>
      <sheetName val="[입찰안.xls][입찰안.xls][입찰안.xls]_159"/>
      <sheetName val="[입찰안.xls][입찰안.xls][입찰안.xls]_160"/>
      <sheetName val="[입찰안.xls][입찰안.xls][입찰안.xls]_166"/>
      <sheetName val="[입찰안.xls][입찰안.xls][입찰안.xls]_167"/>
      <sheetName val="[입찰안.xls][입찰안.xls][입찰안.xls]_164"/>
      <sheetName val="[입찰안.xls][입찰안.xls][입찰안.xls]_165"/>
      <sheetName val="[입찰안.xls][입찰안.xls][입찰안.xls]_169"/>
      <sheetName val="[입찰안.xls][입찰안.xls][입찰안.xls]_168"/>
      <sheetName val="[입찰안.xls][입찰안.xls][입찰안.xls]_171"/>
      <sheetName val="[입찰안.xls][입찰안.xls][입찰안.xls]_170"/>
      <sheetName val="[입찰안.xls][입찰안.xls][입찰안.xls]_176"/>
      <sheetName val="[입찰안.xls][입찰안.xls][입찰안.xls]_174"/>
      <sheetName val="[입찰안.xls][입찰안.xls][입찰안.xls]_175"/>
      <sheetName val="[입찰안.xls][입찰안.xls][입찰안.xls]_172"/>
      <sheetName val="[입찰안.xls][입찰안.xls][입찰안.xls]_173"/>
      <sheetName val="내역서(삼호)"/>
      <sheetName val="[입찰안.xls][입찰안.xls][입찰안.xls]_180"/>
      <sheetName val="[입찰안.xls][입찰안.xls][입찰안.xls]_179"/>
      <sheetName val="[입찰안.xls][입찰안.xls][입찰안.xls]_178"/>
      <sheetName val="[입찰안.xls][입찰안.xls][입찰안.xls]_177"/>
      <sheetName val="6__안전관_x0000__x0000_"/>
      <sheetName val="[입찰안.xls][입찰안.xls][입찰안.xls]_182"/>
      <sheetName val="[입찰안.xls][입찰안.xls][입찰안.xls]_181"/>
      <sheetName val="[입찰안.xls][입찰안.xls][입찰안.xls]_183"/>
      <sheetName val="[입찰안.xls][입찰안.xls][입찰안.xls]_185"/>
      <sheetName val="[입찰안.xls][입찰안.xls][입찰안.xls]_184"/>
      <sheetName val="[입찰안.xls][입찰안.xls][입찰안.xls]_186"/>
      <sheetName val="MATRLDATA"/>
      <sheetName val="일위대가목록(ems)"/>
      <sheetName val="[입찰안.xls][입찰안.xls][입찰안.xls]_241"/>
      <sheetName val="[입찰안.xls][입찰안.xls][입찰안.xls]_226"/>
      <sheetName val="[입찰안.xls][입찰안.xls][입찰안.xls]_220"/>
      <sheetName val="[입찰안.xls][입찰안.xls][입찰안.xls]_190"/>
      <sheetName val="design_c_x0000__x0000_Ȑꙭî_x0000_"/>
      <sheetName val="[입찰안.xls][입찰안.xls][입찰안.xls]_187"/>
      <sheetName val="[입찰안.xls][입찰안.xls][입찰안.xls]_189"/>
      <sheetName val="[입찰안.xls][입찰안.xls][입찰안.xls]_188"/>
      <sheetName val="[입찰안.xls][입찰안.xls][입찰안.xls]_195"/>
      <sheetName val="[입찰안.xls][입찰안.xls][입찰안.xls]_191"/>
      <sheetName val="[입찰안.xls][입찰안.xls][입찰안.xls]_192"/>
      <sheetName val="[입찰안.xls][입찰안.xls][입찰안.xls]_193"/>
      <sheetName val="[입찰안.xls][입찰안.xls][입찰안.xls]_194"/>
      <sheetName val="[입찰안.xls][입찰안.xls][입찰안.xls]_201"/>
      <sheetName val="[입찰안.xls][입찰안.xls][입찰안.xls]_203"/>
      <sheetName val="[입찰안.xls][입찰안.xls][입찰안.xls]_204"/>
      <sheetName val="45,46"/>
      <sheetName val="Btra"/>
      <sheetName val="[입찰안.xls][입찰안.xls][입찰안.xls]_197"/>
      <sheetName val="[입찰안.xls][입찰안.xls][입찰안.xls]_196"/>
      <sheetName val="[입찰안.xls][입찰안.xls][입찰안.xls]_199"/>
      <sheetName val="[입찰안.xls][입찰안.xls][입찰안.xls]_198"/>
      <sheetName val="[입찰안.xls][입찰안.xls][입찰안.xls]_200"/>
      <sheetName val="[입찰안.xls][입찰안.xls][입찰안.xls]_202"/>
      <sheetName val="[입찰안.xls][입찰안.xls][입찰안.xls]_205"/>
      <sheetName val="[입찰안.xls][입찰안.xls][입찰안.xls]_207"/>
      <sheetName val="[입찰안.xls][입찰안.xls][입찰안.xls]_209"/>
      <sheetName val="[입찰안.xls][입찰안.xls][입찰안.xls]_206"/>
      <sheetName val="[입찰안.xls][입찰안.xls][입찰안.xls]_215"/>
      <sheetName val="[입찰안.xls][입찰안.xls][입찰안.xls]_208"/>
      <sheetName val="[입찰안.xls][입찰안.xls][입찰안.xls]_218"/>
      <sheetName val="[입찰안.xls][입찰안.xls][입찰안.xls]_210"/>
      <sheetName val="[입찰안.xls][입찰안.xls][입찰안.xls]_212"/>
      <sheetName val="[입찰안.xls][입찰안.xls][입찰안.xls]_213"/>
      <sheetName val="[입찰안.xls][입찰안.xls][입찰안.xls]_214"/>
      <sheetName val="[입찰안.xls][입찰안.xls][입찰안.xls]_211"/>
      <sheetName val="[입찰안.xls][입찰안.xls][입찰안.xls]_216"/>
      <sheetName val="[입찰안.xls][입찰안.xls][입찰안.xls]_217"/>
      <sheetName val="[입찰안.xls][입찰안.xls][입찰안.xls]_219"/>
      <sheetName val="[입찰안.xls][입찰안.xls][입찰안.xls]_222"/>
      <sheetName val="[입찰안.xls][입찰안.xls][입찰안.xls]_223"/>
      <sheetName val="[입찰안.xls][입찰안.xls][입찰안.xls]_221"/>
      <sheetName val="[입찰안.xls][입찰안.xls][입찰안.xls]_225"/>
      <sheetName val="[입찰안.xls][입찰안.xls][입찰안.xls]_224"/>
      <sheetName val="SUMMARY"/>
      <sheetName val="Phan tho"/>
      <sheetName val="Data-year2001i"/>
      <sheetName val="Tien Thuong"/>
      <sheetName val="NC XL 6T cuoi 01 CTy"/>
      <sheetName val="Data -6T dau"/>
      <sheetName val="Cong 6T"/>
      <sheetName val="[입찰안.xls][입찰안.xls][입찰안.xls]_243"/>
      <sheetName val="[입찰안.xls][입찰안.xls][입찰안.xls]_244"/>
      <sheetName val="[입찰안.xls][입찰안.xls][입찰안.xls]_227"/>
      <sheetName val="[입찰안.xls][입찰안.xls][입찰안.xls]_232"/>
      <sheetName val="[입찰안.xls][입찰안.xls][입찰안.xls]_228"/>
      <sheetName val="경서-통신"/>
      <sheetName val="정산변경"/>
      <sheetName val="골재"/>
      <sheetName val="운반비(시흥)"/>
      <sheetName val="전사계"/>
      <sheetName val="구조물집계"/>
      <sheetName val="토공집계"/>
      <sheetName val="[입찰안.xls][입찰안.xls][입찰안.xls]_230"/>
      <sheetName val="[입찰안.xls][입찰안.xls][입찰안.xls]_229"/>
      <sheetName val="[입찰안.xls][입찰안.xls][입찰안.xls]_233"/>
      <sheetName val="[입찰안.xls][입찰안.xls][입찰안.xls]_231"/>
      <sheetName val="[입찰안.xls][입찰안.xls][입찰안.xls]_234"/>
      <sheetName val="[입찰안.xls][입찰안.xls][입찰안.xls]_238"/>
      <sheetName val="[입찰안.xls][입찰안.xls][입찰안.xls]_236"/>
      <sheetName val="[입찰안.xls][입찰안.xls][입찰안.xls]_237"/>
      <sheetName val="[입찰안.xls][입찰안.xls][입찰안.xls]_235"/>
      <sheetName val="[입찰안.xls][입찰안.xls][입찰안.xls]_240"/>
      <sheetName val="[입찰안.xls][입찰안.xls][입찰안.xls]_239"/>
      <sheetName val="[입찰안.xls][입찰안.xls][입찰안.xls]_242"/>
      <sheetName val="인건비(환율)"/>
      <sheetName val="기계경비"/>
      <sheetName val="급여대장(입력용)"/>
      <sheetName val="성명데이터"/>
      <sheetName val="[입찰안.xls][입찰안.xls][입찰안.xls]_254"/>
      <sheetName val="[입찰안.xls][입찰안.xls][입찰안.xls]_251"/>
      <sheetName val="[입찰안.xls][입찰안.xls][입찰안.xls]_252"/>
      <sheetName val="원본자재"/>
      <sheetName val="특별땅고르기"/>
      <sheetName val="휴가비,급량비"/>
      <sheetName val="[입찰안.xls][입찰안.xls][입찰안.xls]___5"/>
      <sheetName val="[입찰안.xls][입찰안.xls][입찰안.xls]___6"/>
      <sheetName val="[입찰안.xls][입찰안_xls]직접뀀鞖/"/>
      <sheetName val="[입찰안.xls][입찰안_xls][입찰안_xls]___2"/>
      <sheetName val="공기압᪬቙԰"/>
      <sheetName val="수지½_x0000_"/>
      <sheetName val="정리계㑸4鉨M槜"/>
      <sheetName val="홈용접표"/>
      <sheetName val="토공수량산출"/>
      <sheetName val="토적계산서"/>
      <sheetName val="stability_xdc00_䘢䠂檱䠛檳"/>
      <sheetName val="[입찰안.xls][입찰안.xls][입찰안.xls]_246"/>
      <sheetName val="[입찰안.xls][입찰안.xls][입찰안.xls]_245"/>
      <sheetName val="[입찰안.xls][입찰안.xls][입찰안.xls]_247"/>
      <sheetName val="[입찰안.xls][입찰안.xls][입찰안.xls]_248"/>
      <sheetName val="[입찰안.xls][입찰안.xls][입찰안.xls]_249"/>
      <sheetName val="[입찰안.xls][입찰안.xls][입찰안.xls]_250"/>
      <sheetName val="Sheet2 (2)"/>
      <sheetName val="600(3)a"/>
      <sheetName val="콘크리트"/>
      <sheetName val="비용"/>
      <sheetName val="정리계_x0000__x0000__x0005__x0000_앀"/>
      <sheetName val="정리계_x0000__x0000__x0005__x0000__xde00_"/>
      <sheetName val="정리계_x0000__x0000__x0005__x0000_"/>
      <sheetName val="내역_ver1_"/>
      <sheetName val="내역_ver1_뀀"/>
      <sheetName val="VL"/>
      <sheetName val="정리계槜〽_x0000__x0000_ｐ"/>
      <sheetName val="3련_B胔Ẩ"/>
      <sheetName val="3련_B˔_x0000_"/>
      <sheetName val="3련_B㷔₼"/>
      <sheetName val="3련_B㷔嚼"/>
      <sheetName val="자가"/>
      <sheetName val="노원열병합__건축공사기성내역_x0000_"/>
      <sheetName val="[입찰안.xls][입찰안.xls][입찰안.xls]_253"/>
      <sheetName val="[입찰안.xls][입찰안.xls][입찰안.xls]_255"/>
      <sheetName val="[입찰안.xls][입찰안.xls][입찰안.xls]_262"/>
      <sheetName val="[입찰안.xls][입찰안.xls][입찰안.xls]_263"/>
      <sheetName val="[입찰안.xls][입찰안.xls][입찰안.xls]_264"/>
      <sheetName val="[입찰안.xls][입찰안.xls][입찰안.xls]_257"/>
      <sheetName val="[입찰안.xls][입찰안.xls][입찰안.xls]_258"/>
      <sheetName val="[입찰안.xls][입찰안.xls][입찰안.xls]_256"/>
      <sheetName val="[입찰안.xls][입찰안.xls][입찰안.xls]_260"/>
      <sheetName val="[입찰안.xls][입찰안.xls][입찰안.xls]_259"/>
      <sheetName val="[입찰안.xls][입찰안.xls][입찰안.xls]_261"/>
      <sheetName val="[입찰안.xls][입찰안.xls][입찰안.xls]_265"/>
      <sheetName val="토공분배표"/>
      <sheetName val="[입찰안.xls][입찰안.xls][입찰안.xls]_266"/>
      <sheetName val="[입찰안.xls][입찰안.xls][입찰안.xls]_267"/>
      <sheetName val="[입찰안.xls][입찰안.xls][입찰안.xls]_268"/>
      <sheetName val="A LINE"/>
      <sheetName val="소화"/>
      <sheetName val="_HIT__HMC_견_x0000__x0000__x0005__x0000_ꉀ펔ɠ"/>
      <sheetName val="リスト"/>
      <sheetName val="절대지우지말것"/>
      <sheetName val="1안98Billing"/>
      <sheetName val="표준항목"/>
      <sheetName val="[입찰안.xls][입찰안.xls][입찰안.xls]_269"/>
      <sheetName val="한³_x0000__x0000_"/>
      <sheetName val="전신환매도율"/>
      <sheetName val="공량산출근거서"/>
      <sheetName val="[입찰안.xls][입찰안.xls][입찰안.xls]_287"/>
      <sheetName val="[입찰안.xls][입찰안.xls][입찰안.xls]_288"/>
      <sheetName val="KH-Q1,Q2,01"/>
      <sheetName val="KC-moi"/>
      <sheetName val="Areas"/>
      <sheetName val="BQ-E20-02(Rp)"/>
      <sheetName val="Khoi luong"/>
      <sheetName val="XL4Poppy"/>
      <sheetName val="_입찰안.xls__입찰안.xls__입찰안.xls____2"/>
      <sheetName val="_입찰안.xls__입찰안.xls__입찰안.xls____3"/>
      <sheetName val="일위대__Ԁ_䀀"/>
      <sheetName val="일위대㐀븁__退"/>
      <sheetName val="I_설계조_"/>
      <sheetName val="조도계산서_(도서_"/>
      <sheetName val="대__"/>
      <sheetName val="침하계"/>
      <sheetName val="DFA"/>
      <sheetName val="조도계산서Ì"/>
      <sheetName val="[입찰안.xls][입찰안.xls][입찰안.xls]_278"/>
      <sheetName val="[입찰안.xls][입찰안.xls][입찰안.xls]_279"/>
      <sheetName val="[입찰안.xls][입찰안.xls][입찰안.xls]_282"/>
      <sheetName val="[입찰안.xls][입찰안.xls][입찰안.xls]_270"/>
      <sheetName val="[입찰안.xls][입찰안.xls][입찰안.xls]_272"/>
      <sheetName val="[입찰안.xls][입찰안.xls][입찰안.xls]_271"/>
      <sheetName val="[입찰안.xls][입찰안.xls][입찰안.xls]_273"/>
      <sheetName val="[입찰안.xls][입찰안.xls][입찰안.xls]_274"/>
      <sheetName val="[입찰안.xls][입찰안.xls][입찰안.xls]_275"/>
      <sheetName val="[입찰안.xls][입찰안.xls][입찰안.xls]_276"/>
      <sheetName val="[입찰안.xls][입찰안.xls][입찰안.xls]_277"/>
      <sheetName val="[입찰안.xls][입찰안.xls][입찰안.xls]_283"/>
      <sheetName val="[입찰안.xls][입찰안.xls][입찰안.xls]_284"/>
      <sheetName val="[입찰안.xls][입찰안.xls][입찰안.xls]_281"/>
      <sheetName val="[입찰안.xls][입찰안.xls][입찰안.xls]_280"/>
      <sheetName val="[입찰안.xls][입찰안.xls][입찰안.xls]_285"/>
      <sheetName val="[입찰안.xls][입찰안.xls][입찰안.xls]_286"/>
      <sheetName val="[입찰안.xls][입찰안.xls][입찰안.xls]_289"/>
      <sheetName val="[입찰안.xls][입찰안.xls][입찰안.xls]_290"/>
      <sheetName val="[입찰안.xls][입찰안.xls][입찰안.xls]_291"/>
      <sheetName val="[입찰안.xls][입찰안.xls][입찰안.xls]_294"/>
      <sheetName val="[입찰안.xls][입찰안.xls][입찰안.xls]_292"/>
      <sheetName val="[입찰안.xls][입찰안.xls][입찰안.xls]_295"/>
      <sheetName val="[입찰안.xls][입찰안.xls][입찰안.xls]_293"/>
      <sheetName val="[입찰안.xls][입찰안.xls][입찰안.xls]_296"/>
      <sheetName val="[입찰안.xls][입찰안.xls][입찰안.xls]_297"/>
      <sheetName val="[입찰안.xls][입찰안.xls][입찰안.xls]_298"/>
      <sheetName val="[입찰안.xls][입찰안.xls][입찰안.xls]_299"/>
      <sheetName val="[입찰안.xls][입찰안.xls][입찰안.xls]_300"/>
      <sheetName val="[입찰안.xls][입찰안.xls][입찰안.xls]_301"/>
      <sheetName val="[입찰안.xls][입찰안.xls][입찰안.xls]_302"/>
      <sheetName val="[입찰안.xls][입찰안.xls][입찰안.xls]_305"/>
      <sheetName val="[입찰안.xls][입찰안.xls][입찰안.xls]_308"/>
      <sheetName val="[입찰안.xls][입찰안.xls][입찰안.xls]_303"/>
      <sheetName val="[입찰안.xls][입찰안.xls][입찰안.xls]_304"/>
      <sheetName val="[입찰안.xls][입찰안.xls][입찰안.xls]_306"/>
      <sheetName val="[입찰안.xls][입찰안.xls][입찰안.xls]_307"/>
      <sheetName val="PA_xdbe6_"/>
      <sheetName val="[입찰안.xls][입찰안.xls][입찰안.xls]_334"/>
      <sheetName val="[입찰안.xls][입찰안.xls][입찰안.xls]_336"/>
      <sheetName val="[입찰안.xls][입찰안.xls][입찰안.xls]_337"/>
      <sheetName val="주소"/>
      <sheetName val="판"/>
      <sheetName val="[입찰안.xls][입찰안.xls][입찰안.xls]_322"/>
      <sheetName val="[입찰안.xls][입찰안.xls][입찰안.xls]_310"/>
      <sheetName val="[입찰안.xls][입찰안.xls][입찰안.xls]_312"/>
      <sheetName val="[입찰안.xls][입찰안.xls][입찰안.xls]_309"/>
      <sheetName val="[입찰안.xls][입찰안.xls][입찰안.xls]_311"/>
      <sheetName val="[입찰안.xls][입찰안.xls][입찰안.xls]_313"/>
      <sheetName val="[입찰안.xls][입찰안.xls][입찰안.xls]_315"/>
      <sheetName val="[입찰안.xls][입찰안.xls][입찰안.xls]_318"/>
      <sheetName val="[입찰안.xls][입찰안.xls][입찰안.xls]_314"/>
      <sheetName val="[입찰안.xls][입찰안.xls][입찰안.xls]_316"/>
      <sheetName val="[입찰안.xls][입찰안.xls][입찰안.xls]_317"/>
      <sheetName val="[입찰안.xls][입찰안.xls][입찰안.xls]_321"/>
      <sheetName val="[입찰안.xls][입찰안.xls][입찰안.xls]_320"/>
      <sheetName val="[입찰안.xls][입찰안.xls][입찰안.xls]_319"/>
      <sheetName val="[입찰안.xls][입찰안.xls][입찰안.xls]_323"/>
      <sheetName val="[입찰안.xls][입찰안.xls][입찰안.xls]_324"/>
      <sheetName val="[입찰안.xls][입찰안.xls][입찰안.xls]_325"/>
      <sheetName val="[입찰안.xls][입찰안.xls][입찰안.xls]_326"/>
      <sheetName val="[입찰안.xls][입찰안.xls][입찰안.xls]_332"/>
      <sheetName val="[입찰안.xls][입찰안.xls][입찰안.xls]_328"/>
      <sheetName val="[입찰안.xls][입찰안.xls][입찰안.xls]_329"/>
      <sheetName val="[입찰안.xls][입찰안.xls][입찰안.xls]_331"/>
      <sheetName val="[입찰안.xls][입찰안.xls][입찰안.xls]_327"/>
      <sheetName val="[입찰안.xls][입찰안.xls][입찰안.xls]_330"/>
      <sheetName val="[입찰안.xls][입찰안.xls][입찰안.xls]_333"/>
      <sheetName val="[입찰안.xls][입찰안.xls][입찰안.xls]_335"/>
      <sheetName val="5호광장_(만점)8"/>
      <sheetName val="인천국제_(만점)_(2)8"/>
      <sheetName val="Total_단위경유량집계8"/>
      <sheetName val="BH-1_(2)8"/>
      <sheetName val="표__지8"/>
      <sheetName val="준검_내역서8"/>
      <sheetName val="토공유동표(전체_당초)8"/>
      <sheetName val="1_수인터널8"/>
      <sheetName val="앉음벽_(2)8"/>
      <sheetName val="_HIT__HMC_견적_3900_8"/>
      <sheetName val="I_설계조건8"/>
      <sheetName val="4_전기8"/>
      <sheetName val="1_설계조건8"/>
      <sheetName val="소포내역_(2)8"/>
      <sheetName val="7__현장관리비_8"/>
      <sheetName val="6__안전관리비8"/>
      <sheetName val="노원열병합__건축공사기성내역서8"/>
      <sheetName val="조도계산서_(도서)8"/>
      <sheetName val="3련_BOX8"/>
      <sheetName val="11_산출(전열)8"/>
      <sheetName val="6_산출(동력)8"/>
      <sheetName val="7_산출(TRAY)8"/>
      <sheetName val="5_산출(전력)7"/>
      <sheetName val="수량산출서(전력간선_지하D_C)7"/>
      <sheetName val="MSS_28"/>
      <sheetName val="우수관매설및_우수받이8"/>
      <sheetName val="11_우각부_보강8"/>
      <sheetName val="제출내역_(2)8"/>
      <sheetName val="플랜트_설치7"/>
      <sheetName val="보고서_기기리스트7"/>
      <sheetName val="2_1__노무비_평균단가산출7"/>
      <sheetName val="내역_ver1_08"/>
      <sheetName val="내___역7"/>
      <sheetName val="plan&amp;section_of_foundation8"/>
      <sheetName val="pile_bearing_capa_&amp;_arrenge8"/>
      <sheetName val="working_load_at_the_btm_ft_8"/>
      <sheetName val="stability_check8"/>
      <sheetName val="design_criteria8"/>
      <sheetName val="배수내역_(2)7"/>
      <sheetName val="배수공_시멘트_및_골재량_산출7"/>
      <sheetName val="A_견적7"/>
      <sheetName val="BH_1__2_7"/>
      <sheetName val="8_현장관리비7"/>
      <sheetName val="7_안전관리비7"/>
      <sheetName val="SHEET_PILE단가7"/>
      <sheetName val="_HIT-&gt;HMC_견적(3900)7"/>
      <sheetName val="6PILE__(돌출)7"/>
      <sheetName val="세골재__T2_변경_현황7"/>
      <sheetName val="전_기7"/>
      <sheetName val="spc_배관견적7"/>
      <sheetName val="목차_7"/>
      <sheetName val="화재_탐지_설비7"/>
      <sheetName val="1_설계기준7"/>
      <sheetName val="귀래_설계_공내역서7"/>
      <sheetName val="unit_47"/>
      <sheetName val="Customer_Databas7"/>
      <sheetName val="1_취수장7"/>
      <sheetName val="2차전체변경예정_(2)7"/>
      <sheetName val="개인별_순위표7"/>
      <sheetName val="도담구내_개소별_명세7"/>
      <sheetName val="설_계7"/>
      <sheetName val="Cash_Flow-17"/>
      <sheetName val="3_1공사현황_공정표7"/>
      <sheetName val="노임_단가7"/>
      <sheetName val="投标材料清单_7"/>
      <sheetName val="내역서_7"/>
      <sheetName val="집_계_표7"/>
      <sheetName val="별표_7"/>
      <sheetName val="3_공통공사대비7"/>
      <sheetName val="6__수량산출서6"/>
      <sheetName val="노임단가_(2)7"/>
      <sheetName val="단___산6"/>
      <sheetName val="실____단6"/>
      <sheetName val="단가_및_재료비7"/>
      <sheetName val="7_공정표7"/>
      <sheetName val="단면_(2)7"/>
      <sheetName val="장비비_명세서17"/>
      <sheetName val="노무비_근거6"/>
      <sheetName val="RETAIL_(ABOVE)7"/>
      <sheetName val="5__현장관리비(new)_7"/>
      <sheetName val="제수변_수량집계표(보통)6"/>
      <sheetName val="2_대외공문7"/>
      <sheetName val="_갑지6"/>
      <sheetName val="5_동별횡주관경6"/>
      <sheetName val="장비_(2)6"/>
      <sheetName val="전선_및_전선관6"/>
      <sheetName val="3BL공동구_수량6"/>
      <sheetName val="기성(1차)_5"/>
      <sheetName val="Eq__Mobilization7"/>
      <sheetName val="Sheet1_(2)6"/>
      <sheetName val="습식및_셀프레벨링6"/>
      <sheetName val="1차_내역서6"/>
      <sheetName val="BSD_(2)5"/>
      <sheetName val="바_한일양산5"/>
      <sheetName val="Project_Brief5"/>
      <sheetName val="영업_일15"/>
      <sheetName val="기기_내역서5"/>
      <sheetName val="CM_16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_소방공사_산출근거5"/>
      <sheetName val="내역서1999_8최종6"/>
      <sheetName val="전사_(2)5"/>
      <sheetName val="BA_(2)5"/>
      <sheetName val="CP_(2)5"/>
      <sheetName val="암거_제원표6"/>
      <sheetName val="수량산출서_(2)5"/>
      <sheetName val="토공_total5"/>
      <sheetName val="참조_(2)6"/>
      <sheetName val="일위대가_6"/>
      <sheetName val="4_LINE6"/>
      <sheetName val="7_th6"/>
      <sheetName val="1_CB5"/>
      <sheetName val="변경명신물량_(2)5"/>
      <sheetName val="기존단가_(2)5"/>
      <sheetName val="토공_토적표5"/>
      <sheetName val="아파트_4"/>
      <sheetName val="갑지_을지4"/>
      <sheetName val="유효폭의_계산4"/>
      <sheetName val="도담구내_개소별_명柖6"/>
      <sheetName val="danh_muc_vat_tu6"/>
      <sheetName val="Register-BG_NCC6"/>
      <sheetName val="Data_26"/>
      <sheetName val="TB_chính6"/>
      <sheetName val="Steel_pipe6"/>
      <sheetName val="Ref_pipe+Ins6"/>
      <sheetName val="Plastic_pipe6"/>
      <sheetName val="Air_Grilles6"/>
      <sheetName val="Cost_bd-&quot;A&quot;6"/>
      <sheetName val="2-2_매출분석4"/>
      <sheetName val="표지_(2)4"/>
      <sheetName val="미납품_현황4"/>
      <sheetName val="STEEL_BOX_단면설계(SEC_8)4"/>
      <sheetName val="갑지_설계_내역서4"/>
      <sheetName val="2_단면가정_(양곡1교)4"/>
      <sheetName val="1_내역(청_하역장전등)4"/>
      <sheetName val="자격_땡겨오기4"/>
      <sheetName val="설명서_4"/>
      <sheetName val="05년_상4"/>
      <sheetName val="영흥TL(UP,DOWN)_4"/>
      <sheetName val="_견적서4"/>
      <sheetName val="단양_00_아파트-세부내역4"/>
      <sheetName val="ITB_COST4"/>
      <sheetName val="4_2_1_마루높이_검토4"/>
      <sheetName val="8_PILE__(돌출)4"/>
      <sheetName val="4__VOs_summary5"/>
      <sheetName val="Chiet_tinh_dz355"/>
      <sheetName val="자재기성_신청서_xlsx3"/>
      <sheetName val="내역(인테리어_실내)(도급)3"/>
      <sheetName val="내역(인테리어_실외)(도급)3"/>
      <sheetName val="2000_053"/>
      <sheetName val="장비코드표_0506013"/>
      <sheetName val="2007년_생산1부장비3"/>
      <sheetName val="2008년_생산부전장비코드3"/>
      <sheetName val="DDB부_장비_관리현황3"/>
      <sheetName val="Xunit_(단위환산)3"/>
      <sheetName val="수량산출서_갑지4"/>
      <sheetName val="_FURNACE현설3"/>
      <sheetName val="97_사업추정(WEKI)3"/>
      <sheetName val="TABLE_DB3"/>
      <sheetName val="쌍용_data_base3"/>
      <sheetName val="8_설치품셈3"/>
      <sheetName val="DATA_LISTS3"/>
      <sheetName val="19_07월_세_계3"/>
      <sheetName val="19_07항목별(시트복사금지100번쓰기)3"/>
      <sheetName val="19_05월3"/>
      <sheetName val="품셈_3"/>
      <sheetName val="M-EMS_GP-570(BIT)3"/>
      <sheetName val="내역서_제출4"/>
      <sheetName val="0_목록13"/>
      <sheetName val="Bảng_mã_VT5"/>
      <sheetName val="중기조종사_단위단가3"/>
      <sheetName val="Elec_LG3"/>
      <sheetName val="ESTI_3"/>
      <sheetName val="D_&amp;_W_sizes3"/>
      <sheetName val="Gia_vat_tu3"/>
      <sheetName val="dtct_cong3"/>
      <sheetName val="DGCT_(01)2"/>
      <sheetName val="SCOPE_OF_WORK2"/>
      <sheetName val="Chi_tiet2"/>
      <sheetName val="nhôm_1,2mm2"/>
      <sheetName val="nhôm_1,4mm2"/>
      <sheetName val="01__DATA2"/>
      <sheetName val="So_sanh2"/>
      <sheetName val="[입찰안_xls][입찰안_xls][입찰안_xls]B_17"/>
      <sheetName val="[입찰안_xls][입찰안_xls][입찰안_xls]B__5"/>
      <sheetName val="[입찰안_xls][입찰안_xls][입찰안_xls]B__6"/>
      <sheetName val="[입찰안_xls][입찰안_xls][입찰안_xls]B__7"/>
      <sheetName val="[입찰안_xls][입찰안_xls][입찰안_xls]B__8"/>
      <sheetName val="[입찰안_xls][입찰안_xls][입찰안_xls]B__9"/>
      <sheetName val="[입찰안_xls][입찰안_xls][입찰안_xls]B_10"/>
      <sheetName val="[입찰안_xls][입찰안_xls][입찰안_xls]B_23"/>
      <sheetName val="[입찰안_xls][입찰안_xls][입찰안_xls]B_11"/>
      <sheetName val="[입찰안_xls][입찰안_xls][입찰안_xls]B_12"/>
      <sheetName val="[입찰안_xls][입찰안_xls][입찰안_xls]B_13"/>
      <sheetName val="[입찰안_xls][입찰안_xls][입찰안_xls]B_14"/>
      <sheetName val="[입찰안_xls][입찰안_xls][입찰안_xls]B_15"/>
      <sheetName val="[입찰안_xls][입찰안_xls][입찰안_xls]B_16"/>
      <sheetName val="[입찰안_xls][입찰안_xls][입찰안_xls]B_18"/>
      <sheetName val="[입찰안_xls][입찰안_xls][입찰안_xls]B_19"/>
      <sheetName val="[입찰안_xls][입찰안_xls][입찰안_xls]B_20"/>
      <sheetName val="[입찰안_xls][입찰안_xls][입찰안_xls]B_21"/>
      <sheetName val="[입찰안_xls][입찰안_xls][입찰안_xls]B_22"/>
      <sheetName val="[입찰안_xls][입찰안_xls][입찰안_xls]B_24"/>
      <sheetName val="[입찰안_xls][입찰안_xls][입찰안_xls]B_25"/>
      <sheetName val="[입찰안_xls][입찰안_xls][입찰안_xls]B_26"/>
      <sheetName val="[입찰안_xls][입찰안_xls][입찰안_xls]B_27"/>
      <sheetName val="[입찰안_xls][입찰안_xls][입찰안_xls]B_28"/>
      <sheetName val="[입찰안_xls][입찰안_xls][입찰안_xls]B_29"/>
      <sheetName val="[입찰안_xls][입찰안_xls][입찰안_xls]B_30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Cọc_nhồi1"/>
      <sheetName val="Dầm_11"/>
      <sheetName val="Gia_VLNCMTC1"/>
      <sheetName val="Sàn_T11"/>
      <sheetName val="Lỗ_thông_gió1"/>
      <sheetName val="Sàn_tầng_01_(_old_)1"/>
      <sheetName val="Chiet_tinh_don_gia_CM1"/>
      <sheetName val="EE_(3)1"/>
      <sheetName val="Measure_13061"/>
      <sheetName val="RAB_AR&amp;STR"/>
      <sheetName val="Isolasi_Luar_Dalam"/>
      <sheetName val="Isolasi_Luar"/>
      <sheetName val="Div26_-_Elect"/>
      <sheetName val="U_P_Breakdown"/>
      <sheetName val="장悱"/>
      <sheetName val="PROJ__DATA2"/>
      <sheetName val="_Beams_Sched_2"/>
      <sheetName val="[입찰안_xls][입찰안_xls][입찰안_xls]___4"/>
      <sheetName val="중강당_내역"/>
      <sheetName val="[입찰안_xls][입찰안_xls][입찰안_xls]B_46"/>
      <sheetName val="[입찰안_xls][입찰안_xls][입찰안_xls]B_45"/>
      <sheetName val="[입찰안_xls][입찰안_xls][입찰안_xls]B_44"/>
      <sheetName val="[입찰안_xls][입찰안_xls][입찰안_xls]B_33"/>
      <sheetName val="[입찰안_xls][입찰안_xls][입찰안_xls]B_31"/>
      <sheetName val="[입찰안_xls][입찰안_xls][입찰안_xls]B_32"/>
      <sheetName val="[입찰안_xls][입찰안_xls][입찰안_xls]B_34"/>
      <sheetName val="[입찰안_xls][입찰안_xls][입찰안_xls]B_35"/>
      <sheetName val="[입찰안_xls][입찰안_xls][입찰안_xls]B_36"/>
      <sheetName val="[입찰안_xls][입찰안_xls][입찰안_xls]B_37"/>
      <sheetName val="[입찰안_xls][입찰안_xls][입찰안_xls]B_40"/>
      <sheetName val="[입찰안_xls][입찰안_xls][입찰안_xls]B_38"/>
      <sheetName val="[입찰안_xls][입찰안_xls][입찰안_xls]B_41"/>
      <sheetName val="[입찰안_xls][입찰안_xls][입찰안_xls]B_39"/>
      <sheetName val="[입찰안_xls][입찰안_xls][입찰안_xls]B_42"/>
      <sheetName val="[입찰안_xls][입찰안_xls][입찰안_xls]B_43"/>
      <sheetName val="[입찰안_xls][입찰안_xls][입찰안_xls]B_47"/>
      <sheetName val="[입찰안_xls][입찰안_xls][입찰안_xls]B_48"/>
      <sheetName val="[입찰안_xls][입찰안_xls][입찰안_xls]B_49"/>
      <sheetName val="[입찰안_xls][입찰안_xls][입찰안_xls]B_54"/>
      <sheetName val="[입찰안_xls][입찰안_xls][입찰안_xls]B_53"/>
      <sheetName val="[입찰안_xls][입찰안_xls][입찰안_xls]B_50"/>
      <sheetName val="[입찰안_xls][입찰안_xls][입찰안_xls]B_51"/>
      <sheetName val="[입찰안_xls][입찰안_xls][입찰안_xls]B_52"/>
      <sheetName val="[입찰안_xls][입찰안_xls][입찰안_xls]B_55"/>
      <sheetName val="[입찰안_xls][입찰안_xls][입찰안_xls]B_56"/>
      <sheetName val="[입찰안_xls][입찰안_xls][입찰안_xls]B_57"/>
      <sheetName val="[입찰안_xls][입찰안_xls][입찰안_xls]B_58"/>
      <sheetName val="[입찰안_xls][입찰안_xls][입찰안_xls]B_59"/>
      <sheetName val="[입찰안_xls][입찰안_xls][입찰안_xls]B_60"/>
      <sheetName val="[입찰안_xls][입찰안_xls][입찰안_xls]B_61"/>
      <sheetName val="[입찰안_xls][입찰안_xls][입찰안_xls]B_62"/>
      <sheetName val="[입찰안_xls][입찰안_xls][입찰안_xls]B_63"/>
      <sheetName val="견적비교표_(2)"/>
      <sheetName val="결재방(지우지_마세요)"/>
      <sheetName val="[입찰안_xls][입찰안_xls][입찰안_xls]___5"/>
      <sheetName val="6-1_보오링(1)"/>
      <sheetName val="EXCHANGE_RATE"/>
      <sheetName val="할증_"/>
      <sheetName val="간접비_총괄표"/>
      <sheetName val="TOWER_12TON"/>
      <sheetName val="공사투입계획(변경결의)19_9"/>
      <sheetName val="노무비_월별지급현황19_9"/>
      <sheetName val="갑지(외주기성)19_9"/>
      <sheetName val="노임단가_및_기계경비"/>
      <sheetName val="[입찰안_xls][입찰안_xls][입찰안_xls]B_64"/>
      <sheetName val="실행내역서_"/>
      <sheetName val="[입찰안_xls][입찰안_xls][입찰안_xls]_103"/>
      <sheetName val="[입찰안_xls][입찰안_xls][입찰안_xls]B_68"/>
      <sheetName val="[입찰안_xls][입찰안_xls][입찰안_xls]B_79"/>
      <sheetName val="[입찰안_xls][입찰안_xls][입찰안_xls]B_80"/>
      <sheetName val="[입찰안_xls][입찰안_xls][입찰안_xls]B_66"/>
      <sheetName val="[입찰안_xls][입찰안_xls][입찰안_xls]B_67"/>
      <sheetName val="[입찰안_xls][입찰안_xls][입찰안_xls]B_65"/>
      <sheetName val="[입찰안_xls][입찰안_xls][입찰안_xls]B_69"/>
      <sheetName val="[입찰안_xls][입찰안_xls][입찰안_xls]B_70"/>
      <sheetName val="[입찰안_xls][입찰안_xls][입찰안_xls]B_71"/>
      <sheetName val="[입찰안_xls][입찰안_xls][입찰안_xls]B_73"/>
      <sheetName val="[입찰안_xls][입찰안_xls][입찰안_xls]B_74"/>
      <sheetName val="[입찰안_xls][입찰안_xls][입찰안_xls]B_72"/>
      <sheetName val="[입찰안_xls][입찰안_xls][입찰안_xls]B_75"/>
      <sheetName val="[입찰안_xls][입찰안_xls][입찰안_xls]B_76"/>
      <sheetName val="[입찰안_xls][입찰안_xls][입찰안_xls]B_77"/>
      <sheetName val="[입찰안_xls][입찰안_xls][입찰안_xls]B_78"/>
      <sheetName val="[입찰안_xls][입찰안_xls][입찰안_xls]B_81"/>
      <sheetName val="[입찰안_xls][입찰안_xls][입찰안_xls]B_82"/>
      <sheetName val="[입찰안_xls][입찰안_xls][입찰안_xls]B_83"/>
      <sheetName val="[입찰안_xls][입찰안_xls][입찰안_xls]B_93"/>
      <sheetName val="[입찰안_xls][입찰안_xls][입찰안_xls]B_96"/>
      <sheetName val="[입찰안_xls][입찰안_xls][입찰안_xls]B_86"/>
      <sheetName val="[입찰안_xls][입찰안_xls][입찰안_xls]B_87"/>
      <sheetName val="[입찰안_xls][입찰안_xls][입찰안_xls]B_84"/>
      <sheetName val="[입찰안_xls][입찰안_xls][입찰안_xls]B_85"/>
      <sheetName val="[입찰안_xls][입찰안_xls][입찰안_xls]B_88"/>
      <sheetName val="[입찰안_xls][입찰안_xls][입찰안_xls]B_89"/>
      <sheetName val="[입찰안_xls][입찰안_xls][입찰안_xls]B_90"/>
      <sheetName val="[입찰안_xls][입찰안_xls][입찰안_xls]B_91"/>
      <sheetName val="[입찰안_xls][입찰안_xls][입찰안_xls]B_92"/>
      <sheetName val="[입찰안_xls][입찰안_xls][입찰안_xls]B_94"/>
      <sheetName val="[입찰안_xls][입찰안_xls][입찰안_xls]B_95"/>
      <sheetName val="[입찰안_xls][입찰안_xls][입찰안_xls]B_97"/>
      <sheetName val="[입찰안_xls][입찰안_xls][입찰안_xls]B_98"/>
      <sheetName val="[입찰안_xls][입찰안_xls][입찰안_xls]B_99"/>
      <sheetName val="[입찰안_xls][입찰안_xls][입찰안_xls]B100"/>
      <sheetName val="[입찰안_xls][입찰안_xls][입찰안_xls]B101"/>
      <sheetName val="[입찰안_xls][입찰안_xls][입찰안_xls]_100"/>
      <sheetName val="[입찰안_xls][입찰안_xls][입찰안_xls]B102"/>
      <sheetName val="[입찰안_xls][입찰안_xls][입찰안_xls]_101"/>
      <sheetName val="[입찰안_xls][입찰안_xls][입찰안_xls]_102"/>
      <sheetName val="장"/>
      <sheetName val="plan&amp;section_of勉_x0010_"/>
      <sheetName val="집계장(뀀ﰡ"/>
      <sheetName val="집계장(Â"/>
      <sheetName val="정리계槜〩"/>
      <sheetName val="54಺潭"/>
      <sheetName val="Macro(전_x0005__x0003_"/>
      <sheetName val="Ԁ̀Ā܀਀Ѐ̀̀ЀЀ"/>
      <sheetName val="[입찰안.xls][입찰안.xls][입찰안.xls]_377"/>
      <sheetName val="[입찰안.xls][입찰안.xls][입찰안.xls]_379"/>
      <sheetName val="[입찰안.xls][입찰안.xls][입찰안.xls]_381"/>
      <sheetName val="[입찰안.xls][입찰안.xls][입찰안.xls]_353"/>
      <sheetName val="[입찰안.xls][입찰안.xls][입찰안.xls]_352"/>
      <sheetName val="[입찰안.xls][입찰안.xls][입찰안.xls]_357"/>
      <sheetName val="[입찰안.xls][입찰안.xls][입찰안.xls]_351"/>
      <sheetName val="[입찰안.xls][입찰안.xls][입찰안.xls]_350"/>
      <sheetName val="[입찰안.xls][입찰안.xls][입찰안.xls]_344"/>
      <sheetName val="원도_x0000_"/>
      <sheetName val="[입찰안.xls][입찰안.xls][입찰안.xls]_342"/>
      <sheetName val="[입찰안.xls][입찰안.xls][입찰안.xls]_338"/>
      <sheetName val="[입찰안.xls][입찰안.xls][입찰안.xls]_339"/>
      <sheetName val="[입찰안.xls][입찰안.xls][입찰안.xls]_340"/>
      <sheetName val="[입찰안.xls][입찰안.xls][입찰안.xls]_341"/>
      <sheetName val="[입찰안.xls][입찰안.xls][입찰안.xls]_343"/>
      <sheetName val="[입찰안.xls][입찰안.xls][입찰안.xls]_349"/>
      <sheetName val="[입찰안.xls][입찰안.xls][입찰안.xls]_345"/>
      <sheetName val="[입찰안.xls][입찰안.xls][입찰안.xls]_347"/>
      <sheetName val="[입찰안.xls][입찰안.xls][입찰안.xls]_346"/>
      <sheetName val="[입찰안.xls][입찰안.xls][입찰안.xls]_348"/>
      <sheetName val="[입찰안.xls][입찰안.xls][입찰안.xls]_358"/>
      <sheetName val="[입찰안.xls][입찰안.xls][입찰안.xls]_354"/>
      <sheetName val="[입찰안.xls][입찰안.xls][입찰안.xls]_355"/>
      <sheetName val="[입찰안.xls][입찰안.xls][입찰안.xls]_356"/>
      <sheetName val="[입찰안.xls][입찰안.xls][입찰안.xls]_359"/>
      <sheetName val="[입찰안.xls][입찰안.xls][입찰안.xls]_362"/>
      <sheetName val="[입찰안.xls][입찰안.xls][입찰안.xls]_364"/>
      <sheetName val="[입찰안.xls][입찰안.xls][입찰안.xls]_363"/>
      <sheetName val="[입찰안.xls][입찰안.xls][입찰안.xls]_360"/>
      <sheetName val="[입찰안.xls][입찰안.xls][입찰안.xls]_361"/>
      <sheetName val="[입찰안.xls][입찰안.xls][입찰안.xls]_367"/>
      <sheetName val="[입찰안.xls][입찰안.xls][입찰안.xls]_370"/>
      <sheetName val="[입찰안.xls][입찰안.xls][입찰안.xls]_366"/>
      <sheetName val="[입찰안.xls][입찰안.xls][입찰안.xls]_365"/>
      <sheetName val="[입찰안.xls][입찰안.xls][입찰안.xls]_371"/>
      <sheetName val="401"/>
      <sheetName val="3련_B£_x0000_"/>
      <sheetName val="[입찰안.xls][입찰안.xls][입찰안.xls]_368"/>
      <sheetName val="[입찰안.xls][입찰안.xls][입찰안.xls]_369"/>
      <sheetName val="[입찰안.xls][입찰안.xls][입찰안.xls]_372"/>
      <sheetName val="[입찰안.xls][입찰안.xls][입찰안.xls]_376"/>
      <sheetName val="[입찰안.xls][입찰안.xls][입찰안.xls]_373"/>
      <sheetName val="[입찰안.xls][입찰안.xls][입찰안.xls]_375"/>
      <sheetName val="[입찰안.xls][입찰안.xls][입찰안.xls]_374"/>
      <sheetName val="[입찰안.xls][입찰안.xls][입찰안.xls]_382"/>
      <sheetName val="[입찰안.xls][입찰안.xls][입찰안.xls]_378"/>
      <sheetName val="[입찰안.xls][입찰안.xls][입찰안.xls]_383"/>
      <sheetName val="[입찰안.xls][입찰안.xls][입찰안.xls]_380"/>
      <sheetName val="[입찰안.xls][입찰안.xls][입찰안.xls]_386"/>
      <sheetName val="[입찰안.xls][입찰안.xls][입찰안.xls]_385"/>
      <sheetName val="[입찰안.xls][입찰안.xls][입찰안.xls]_384"/>
      <sheetName val="[입찰안.xls][입찰안.xls][입찰안.xls]_388"/>
      <sheetName val="[입찰안.xls][입찰안.xls][입찰안.xls]_387"/>
      <sheetName val="[입찰안.xls][입찰안.xls][입찰안.xls]_393"/>
      <sheetName val="[입찰안.xls][입찰안.xls][입찰안.xls]_395"/>
      <sheetName val="[입찰안.xls][입찰안.xls][입찰안.xls]_394"/>
      <sheetName val="[입찰안.xls][입찰안.xls][입찰안.xls]_391"/>
      <sheetName val="[입찰안.xls][입찰안.xls][입찰안.xls]_389"/>
      <sheetName val="[입찰안.xls][입찰안.xls][입찰안.xls]_390"/>
      <sheetName val="[입찰안.xls][입찰안.xls][입찰안.xls]_392"/>
      <sheetName val="[입찰안.xls][입찰안.xls][입찰안.xls]_396"/>
      <sheetName val="[입찰안.xls][입찰안.xls][입찰안.xls]_401"/>
      <sheetName val="[입찰안.xls][입찰안.xls][입찰안.xls]_397"/>
      <sheetName val="[입찰안.xls][입찰안.xls][입찰안.xls]_398"/>
      <sheetName val="[입찰안.xls][입찰안.xls][입찰안.xls]_399"/>
      <sheetName val="[입찰안.xls][입찰안.xls][입찰안.xls]_400"/>
      <sheetName val="신광초조도계선사업"/>
      <sheetName val="TH-Dien"/>
      <sheetName val="Girder"/>
      <sheetName val="Data_Store"/>
      <sheetName val="Master"/>
      <sheetName val="DTICH (Full)"/>
      <sheetName val="DGG"/>
      <sheetName val="DTICH(FDC)"/>
      <sheetName val="VIN_Index"/>
      <sheetName val="TTTram"/>
      <sheetName val="TSO_CHUNG"/>
      <sheetName val="COST SUMMARY"/>
      <sheetName val="총원가계산서(요율)"/>
      <sheetName val="Names"/>
      <sheetName val="ctTBA"/>
      <sheetName val="escon"/>
      <sheetName val="TinhGiaNC"/>
      <sheetName val="ND"/>
      <sheetName val="Xuly Data"/>
      <sheetName val="TL rieng"/>
      <sheetName val="Thuc thanh"/>
      <sheetName val="Cost factor"/>
      <sheetName val="Info"/>
      <sheetName val="Item list"/>
      <sheetName val="Sheet Template Empty"/>
      <sheetName val="THVT"/>
      <sheetName val="Sum"/>
      <sheetName val="양배수장"/>
      <sheetName val="[입찰안.xls][입찰안.xls][입찰안.xls]_407"/>
      <sheetName val="외주정비"/>
      <sheetName val="[입찰안.xls][입찰안.xls][입찰안.xls]_403"/>
      <sheetName val="[입찰안.xls][입찰안.xls][입찰안.xls]_402"/>
      <sheetName val="[입찰안.xls][입찰안.xls][입찰안.xls]_404"/>
      <sheetName val="[입찰안.xls][입찰안.xls][입찰안.xls]_405"/>
      <sheetName val="[입찰안.xls][입찰안.xls][입찰안.xls]_406"/>
      <sheetName val="[입찰안.xls][입찰안.xls][입찰안.xls]_487"/>
      <sheetName val="공기압淀퍦"/>
      <sheetName val="공사직종별노임"/>
      <sheetName val="공기압郀傲2"/>
      <sheetName val="새로이 설치할 정비기반시설 조서 나번 (2)"/>
      <sheetName val="[입찰안.xls][입찰안.xls][입찰안.xls]_428"/>
      <sheetName val="[입찰안.xls][입찰안.xls][입찰안.xls]_436"/>
      <sheetName val="[입찰안.xls][입찰안.xls][입찰안.xls]_437"/>
      <sheetName val="[입찰안.xls][입찰안.xls][입찰안.xls]_425"/>
      <sheetName val="[입찰안.xls][입찰안.xls][입찰안.xls]_427"/>
      <sheetName val="[입찰안.xls][입찰안.xls][입찰안.xls]_412"/>
      <sheetName val="[입찰안.xls][입찰안.xls][입찰안.xls]_408"/>
      <sheetName val="[입찰안.xls][입찰안.xls][입찰안.xls]_416"/>
      <sheetName val="[입찰안.xls][입찰안.xls][입찰안.xls]_415"/>
      <sheetName val="[입찰안.xls][입찰안.xls][입찰안.xls]_409"/>
      <sheetName val="[입찰안.xls][입찰안.xls][입찰안.xls]_410"/>
      <sheetName val="[입찰안.xls][입찰안.xls][입찰안.xls]_411"/>
      <sheetName val="[입찰안.xls][입찰안.xls][입찰안.xls]_413"/>
      <sheetName val="[입찰안.xls][입찰안.xls][입찰안.xls]_414"/>
      <sheetName val="[입찰안.xls][입찰안.xls][입찰안.xls]_418"/>
      <sheetName val="[입찰안.xls][입찰안.xls][입찰안.xls]_419"/>
      <sheetName val="SORCE1"/>
      <sheetName val="F_D SEC. PROP"/>
      <sheetName val="[입찰안.xls][입찰안.xls][입찰안.xls]_417"/>
      <sheetName val="[입찰안.xls][입찰안.xls][입찰안.xls]_422"/>
      <sheetName val="[입찰안.xls][입찰안.xls][입찰안.xls]_424"/>
      <sheetName val="[입찰안.xls][입찰안.xls][입찰안.xls]_420"/>
      <sheetName val="[입찰안.xls][입찰안.xls][입찰안.xls]_421"/>
      <sheetName val="[입찰안.xls][입찰안.xls][입찰안.xls]_423"/>
      <sheetName val="[입찰안.xls][입찰안.xls][입찰안.xls]_426"/>
      <sheetName val="[입찰안.xls][입찰안.xls][입찰안.xls]_433"/>
      <sheetName val="[입찰안.xls][입찰안.xls][입찰안.xls]_434"/>
      <sheetName val="[입찰안.xls][입찰안.xls][입찰안.xls]_432"/>
      <sheetName val="[입찰안.xls][입찰안.xls][입찰안.xls]_429"/>
      <sheetName val="[입찰안.xls][입찰안.xls][입찰안.xls]_430"/>
      <sheetName val="[입찰안.xls][입찰안.xls][입찰안.xls]_431"/>
      <sheetName val="[입찰안.xls][입찰안.xls][입찰안.xls]_439"/>
      <sheetName val="[입찰안.xls][입찰안.xls][입찰안.xls]_435"/>
      <sheetName val="[입찰안.xls][입찰안.xls][입찰안.xls]_438"/>
      <sheetName val="[입찰안.xls][입찰안.xls][입찰안.xls]_441"/>
      <sheetName val="[입찰안.xls][입찰안.xls][입찰안.xls]_442"/>
      <sheetName val="[입찰안.xls][입찰안.xls][입찰안.xls]_444"/>
      <sheetName val="[입찰안.xls][입찰안.xls][입찰안.xls]_440"/>
      <sheetName val="[입찰안.xls][입찰안.xls][입찰안.xls]_445"/>
      <sheetName val="[입찰안.xls][입찰안.xls][입찰안.xls]_446"/>
      <sheetName val="[입찰안.xls][입찰안.xls][입찰안.xls]_443"/>
      <sheetName val="[입찰안.xls][입찰안.xls][입찰안.xls]_448"/>
      <sheetName val="[입찰안.xls][입찰안.xls][입찰안.xls]_449"/>
      <sheetName val="[입찰안.xls][입찰안.xls][입찰안.xls]_452"/>
      <sheetName val="[입찰안.xls][입찰안.xls][입찰안.xls]_447"/>
      <sheetName val="[입찰안.xls][입찰안.xls][입찰안.xls]_450"/>
      <sheetName val="[입찰안.xls][입찰안.xls][입찰안.xls]_451"/>
      <sheetName val="[입찰안.xls][입찰안.xls][입찰안.xls]_453"/>
      <sheetName val="[입찰안.xls][입찰안.xls][입찰안.xls]_455"/>
      <sheetName val="[입찰안.xls][입찰안.xls][입찰안.xls]_458"/>
      <sheetName val="[입찰안.xls][입찰안.xls][입찰안.xls]_454"/>
      <sheetName val="[입찰안_xls]직접뀀鞖/1"/>
      <sheetName val="1_R18_BF"/>
      <sheetName val="6_External_works-R18"/>
      <sheetName val="020_235_2363"/>
      <sheetName val="Bill_01_-_CTN"/>
      <sheetName val="CHITIET_VL-NC-TT1p"/>
      <sheetName val="Project_Infor"/>
      <sheetName val="Data_input"/>
      <sheetName val="_입찰안_xls_직접뀀鞖_"/>
      <sheetName val="_입찰안_xls__입찰안_xls_직접뀀鞖_"/>
      <sheetName val="[입찰안_xls][입찰안_xls]직접뀀鞖/1"/>
      <sheetName val="Phan_tho"/>
      <sheetName val="Tien_Thuong"/>
      <sheetName val="NC_XL_6T_cuoi_01_CTy"/>
      <sheetName val="Data_-6T_dau"/>
      <sheetName val="Cong_6T"/>
      <sheetName val="bang_TH"/>
      <sheetName val="Xunit_(단위환산)4"/>
      <sheetName val="장비코드표_0506014"/>
      <sheetName val="2007년_생산1부장비4"/>
      <sheetName val="2008년_생산부전장비코드4"/>
      <sheetName val="DDB부_장비_관리현황4"/>
      <sheetName val="DGCT_(01)3"/>
      <sheetName val="Chi_tiet3"/>
      <sheetName val="SCOPE_OF_WORK3"/>
      <sheetName val="01__DATA3"/>
      <sheetName val="nhôm_1,2mm3"/>
      <sheetName val="nhôm_1,4mm3"/>
      <sheetName val="Phan_tich_ca_may2"/>
      <sheetName val="Chenh_lech_ca_may2"/>
      <sheetName val="TLg_CN&amp;Laixe2"/>
      <sheetName val="TLg_CN&amp;Laixe_(2)2"/>
      <sheetName val="TLg_Laitau2"/>
      <sheetName val="TLg_Laitau_(2)2"/>
      <sheetName val="Cọc_nhồi2"/>
      <sheetName val="Dầm_12"/>
      <sheetName val="Gia_VLNCMTC2"/>
      <sheetName val="Chiet_tinh_don_gia_CM2"/>
      <sheetName val="Sàn_T12"/>
      <sheetName val="Lỗ_thông_gió2"/>
      <sheetName val="Sàn_tầng_01_(_old_)2"/>
      <sheetName val="Measure_13062"/>
      <sheetName val="EE_(3)2"/>
      <sheetName val="RAB_AR&amp;STR1"/>
      <sheetName val="Isolasi_Luar_Dalam1"/>
      <sheetName val="Isolasi_Luar1"/>
      <sheetName val="Div26_-_Elect1"/>
      <sheetName val="[입찰안_xls]직접뀀鞖/2"/>
      <sheetName val="U_P_Breakdown1"/>
      <sheetName val="1_R18_BF1"/>
      <sheetName val="6_External_works-R181"/>
      <sheetName val="020_235_23631"/>
      <sheetName val="Bill_01_-_CTN1"/>
      <sheetName val="CHITIET_VL-NC-TT1p1"/>
      <sheetName val="Project_Infor1"/>
      <sheetName val="Data_input1"/>
      <sheetName val="_입찰안_xls_직접뀀鞖_1"/>
      <sheetName val="_입찰안_xls__입찰안_xls_직접뀀鞖_1"/>
      <sheetName val="[입찰안_xls][입찰안_xls]직접뀀鞖/2"/>
      <sheetName val="Phan_tho1"/>
      <sheetName val="Tien_Thuong1"/>
      <sheetName val="NC_XL_6T_cuoi_01_CTy1"/>
      <sheetName val="Data_-6T_dau1"/>
      <sheetName val="Cong_6T1"/>
      <sheetName val="할증_1"/>
      <sheetName val="간접비_총괄표1"/>
      <sheetName val="bang_TH1"/>
      <sheetName val="유림콘도"/>
      <sheetName val="배명(단가)"/>
      <sheetName val="Code 02"/>
      <sheetName val="Code 03"/>
      <sheetName val="Code 04"/>
      <sheetName val="Code 05"/>
      <sheetName val="Code 06"/>
      <sheetName val="Code 07"/>
      <sheetName val="Code 09"/>
      <sheetName val="[입찰안.xls][입찰안.xls][입찰안.xls]_460"/>
      <sheetName val="[입찰안.xls][입찰안.xls][입찰안.xls]_467"/>
      <sheetName val="[입찰안.xls][입찰안.xls][입찰안.xls]_456"/>
      <sheetName val="[입찰안.xls][입찰안.xls][입찰안.xls]_457"/>
      <sheetName val="[입찰안.xls][입찰안.xls][입찰안.xls]_459"/>
      <sheetName val="[입찰안.xls][입찰안.xls][입찰안.xls]_465"/>
      <sheetName val="[입찰안.xls][입찰안.xls][입찰안.xls]_464"/>
      <sheetName val="[입찰안.xls][입찰안.xls][입찰안.xls]_461"/>
      <sheetName val="[입찰안.xls][입찰안.xls][입찰안.xls]_462"/>
      <sheetName val="[입찰안.xls][입찰안.xls][입찰안.xls]_463"/>
      <sheetName val="[입찰안.xls][입찰안.xls][입찰안.xls]_466"/>
      <sheetName val="[입찰안.xls][입찰안.xls][입찰안.xls]_468"/>
      <sheetName val="[입찰안.xls][입찰안.xls][입찰안.xls]_473"/>
      <sheetName val="[입찰안.xls][입찰안.xls][입찰안.xls]_469"/>
      <sheetName val="[입찰안.xls][입찰안.xls][입찰안.xls]_485"/>
      <sheetName val="[입찰안.xls][입찰안.xls][입찰안.xls]_470"/>
      <sheetName val="[입찰안.xls][입찰안.xls][입찰안.xls]_471"/>
      <sheetName val="[입찰안.xls][입찰안.xls][입찰안.xls]_472"/>
      <sheetName val="[입찰안.xls][입찰안.xls][입찰안.xls]_474"/>
      <sheetName val="[입찰안.xls][입찰안.xls][입찰안.xls]_478"/>
      <sheetName val="[입찰안.xls][입찰안.xls][입찰안.xls]_480"/>
      <sheetName val="[입찰안.xls][입찰안.xls][입찰안.xls]_475"/>
      <sheetName val="[입찰안.xls][입찰안.xls][입찰안.xls]_477"/>
      <sheetName val="[입찰안.xls][입찰안.xls][입찰안.xls]_476"/>
      <sheetName val="[입찰안.xls][입찰안.xls][입찰안.xls]_479"/>
      <sheetName val="[입찰안.xls][입찰안.xls][입찰안.xls]_481"/>
      <sheetName val="[입찰안.xls][입찰안.xls][입찰안.xls]_482"/>
      <sheetName val="[입찰안.xls][입찰안.xls][입찰안.xls]_483"/>
      <sheetName val="[입찰안.xls][입찰안.xls][입찰안.xls]_484"/>
      <sheetName val="[입찰안.xls][입찰안.xls][입찰안.xls]_486"/>
      <sheetName val="[입찰안.xls][입찰안.xls][입찰안.xls]_490"/>
      <sheetName val="design_c"/>
      <sheetName val="MAIN GATE HOUSE"/>
      <sheetName val="PHU LUC 01"/>
      <sheetName val="Đầu vào"/>
      <sheetName val="5F 계약단가"/>
      <sheetName val="[입찰안.xls][입찰안.xls][입찰안.xls]_492"/>
      <sheetName val="[입찰안.xls][입찰안.xls][입찰안.xls]_489"/>
      <sheetName val="[입찰안.xls][입찰안.xls][입찰안.xls]_488"/>
      <sheetName val="금강견적"/>
      <sheetName val="4_전_x0000_"/>
      <sheetName val="4_전ᄐ"/>
      <sheetName val="엔지니어링"/>
      <sheetName val="전체수량집계"/>
      <sheetName val="[입찰안.xls][입찰안.xls][입찰안.xls]_491"/>
      <sheetName val="[입찰안.xls][입찰안.xls][입찰안.xls]_497"/>
      <sheetName val="[입찰안.xls][입찰안.xls][입찰안.xls]_495"/>
      <sheetName val="[입찰안.xls][입찰안.xls][입찰안.xls]_496"/>
      <sheetName val="[입찰안.xls][입찰안.xls][입찰안.xls]_493"/>
      <sheetName val="[입찰안.xls][입찰안.xls][입찰안.xls]_494"/>
      <sheetName val="[입찰안.xls][입찰안.xls][입찰안.xls]_498"/>
      <sheetName val="[입찰안.xls][입찰안.xls][입찰안.xls]_499"/>
      <sheetName val="[입찰안.xls][입찰안.xls][입찰안.xls]_500"/>
      <sheetName val="[입찰안.xls][입찰안.xls][입찰안.xls]_502"/>
      <sheetName val="[입찰안.xls][입찰안.xls][입찰안.xls]_501"/>
      <sheetName val="[입찰안.xls][입찰안.xls][입찰안.xls]_504"/>
      <sheetName val="C_DATA"/>
      <sheetName val="조달단가"/>
      <sheetName val="B__2"/>
      <sheetName val="B__3"/>
      <sheetName val="___2"/>
      <sheetName val="B__4"/>
      <sheetName val="B__5"/>
      <sheetName val="B__6"/>
      <sheetName val="B__7"/>
      <sheetName val="B__8"/>
      <sheetName val="B_14"/>
      <sheetName val="B__9"/>
      <sheetName val="B_10"/>
      <sheetName val="B_11"/>
      <sheetName val="B_12"/>
      <sheetName val="B_13"/>
      <sheetName val="B_15"/>
      <sheetName val="B_16"/>
      <sheetName val="B_17"/>
      <sheetName val="B_18"/>
      <sheetName val="B_23"/>
      <sheetName val="B_19"/>
      <sheetName val="B_20"/>
      <sheetName val="B_21"/>
      <sheetName val="B_22"/>
      <sheetName val="B_25"/>
      <sheetName val="B_24"/>
      <sheetName val="B_26"/>
      <sheetName val="B_27"/>
      <sheetName val="___3"/>
      <sheetName val="B_60"/>
      <sheetName val="B_54"/>
      <sheetName val="B_53"/>
      <sheetName val="B_44"/>
      <sheetName val="B_33"/>
      <sheetName val="B_31"/>
      <sheetName val="B_30"/>
      <sheetName val="B_29"/>
      <sheetName val="B_28"/>
      <sheetName val="B_35"/>
      <sheetName val="B_32"/>
      <sheetName val="B_40"/>
      <sheetName val="B_34"/>
      <sheetName val="B_41"/>
      <sheetName val="B_36"/>
      <sheetName val="B_37"/>
      <sheetName val="B_42"/>
      <sheetName val="B_38"/>
      <sheetName val="B_39"/>
      <sheetName val="B_43"/>
      <sheetName val="B_47"/>
      <sheetName val="B_45"/>
      <sheetName val="B_48"/>
      <sheetName val="B_46"/>
      <sheetName val="B_51"/>
      <sheetName val="B_50"/>
      <sheetName val="B_49"/>
      <sheetName val="B_52"/>
      <sheetName val="B_55"/>
      <sheetName val="B_57"/>
      <sheetName val="B_58"/>
      <sheetName val="B_56"/>
      <sheetName val="B_59"/>
      <sheetName val="B_62"/>
      <sheetName val="B_61"/>
      <sheetName val="B_63"/>
      <sheetName val="B_64"/>
      <sheetName val="B_65"/>
      <sheetName val="B_66"/>
      <sheetName val="SLAB&quot;1&quot;"/>
      <sheetName val="[입찰안.xls][입찰안.xls][입찰안.xls]_503"/>
      <sheetName val="[입찰안.xls][입찰안.xls][입찰안.xls]_505"/>
      <sheetName val="[입찰안.xls][입찰안.xls][입찰안.xls]_506"/>
      <sheetName val="[입찰안.xls][입찰안.xls][입찰안.xls]_507"/>
      <sheetName val="P"/>
      <sheetName val="CPK"/>
      <sheetName val="_입찰안.xls__입찰안.xls__입찰안.xls_B__2"/>
      <sheetName val="_입찰안.xls__입찰안.xls__입찰안.xls_B__3"/>
      <sheetName val="chiet tinh"/>
      <sheetName val="1. Dashboard"/>
      <sheetName val="[입찰안.xls][입찰안.xls][입찰안.xls]_508"/>
      <sheetName val="[입찰안.xls][입찰안.xls][입찰안.xls]_510"/>
      <sheetName val="[입찰안.xls][입찰안.xls][입찰안.xls]_511"/>
      <sheetName val="[입찰안.xls][입찰안.xls][입찰안.xls]_512"/>
      <sheetName val="[입찰안.xls][입찰안.xls][입찰안.xls]_509"/>
      <sheetName val="[입찰안.xls][입찰안.xls][입찰안.xls]_513"/>
      <sheetName val="[입찰안.xls][입찰안.xls][입찰안.xls]_514"/>
      <sheetName val="[입찰안.xls][입찰안.xls][입찰안.xls]_516"/>
      <sheetName val="[입찰안.xls][입찰안.xls][입찰안.xls]_525"/>
      <sheetName val="[입찰안.xls][입찰안.xls][입찰안.xls]_515"/>
      <sheetName val="[입찰안.xls][입찰안.xls][입찰안.xls]_521"/>
      <sheetName val="[입찰안.xls][입찰안.xls][입찰안.xls]_526"/>
      <sheetName val="[입찰안.xls][입찰안.xls][입찰안.xls]_518"/>
      <sheetName val="[입찰안.xls][입찰안.xls][입찰안.xls]_517"/>
      <sheetName val="건ꗝ"/>
      <sheetName val="건Ȍ"/>
      <sheetName val="매부"/>
      <sheetName val="기본DATA"/>
      <sheetName val="CT Thang Mo"/>
      <sheetName val="Main_Mech"/>
      <sheetName val="Sub_Mech"/>
      <sheetName val="[입찰안.xls][입찰안.xls][입찰안.xls]_519"/>
      <sheetName val="[입찰안.xls]___2"/>
      <sheetName val="[입찰안.xls]___3"/>
      <sheetName val="[입찰안.xls]B__2"/>
      <sheetName val="[입찰안.xls]B__3"/>
      <sheetName val="KLDT DIEN"/>
      <sheetName val="Duc_bk"/>
      <sheetName val="DU_LIEU"/>
      <sheetName val="SAP"/>
      <sheetName val="Thoat nuoc"/>
      <sheetName val="8-31-98"/>
      <sheetName val="worksheet inchican"/>
      <sheetName val="combined 9-30"/>
      <sheetName val="BAG-2"/>
      <sheetName val="1_설계_x0000_건3"/>
      <sheetName val="CM_x0000__x0000__x0000_"/>
      <sheetName val="단가_및_재_x0000_비3"/>
      <sheetName val="1_설계"/>
      <sheetName val="단가_및_재"/>
      <sheetName val="[입찰안.xls][입찰안.xls][입찰안.xls]_520"/>
      <sheetName val="[입찰안.xls][입찰안.xls][입찰안.xls]_524"/>
      <sheetName val="[입찰안.xls][입찰안.xls][입찰안.xls]_522"/>
      <sheetName val="[입찰안.xls][입찰안.xls][입찰안.xls]_523"/>
      <sheetName val="[입찰안.xls][입찰안.xls][입찰안.xls]_529"/>
      <sheetName val="[입찰안.xls][입찰안.xls][입찰안.xls]_528"/>
      <sheetName val="[입찰안.xls][입찰안.xls][입찰안.xls]_527"/>
      <sheetName val="산수배수"/>
      <sheetName val="[입찰안.xls][입찰안.xls][입찰안.xls]___7"/>
      <sheetName val="[입찰안.xls][입찰안_xls][입찰안_xls]___3"/>
      <sheetName val="[입찰안.xls][입찰안.xls][입찰안_xls]___2"/>
      <sheetName val="적용토목"/>
      <sheetName val="배수개거재"/>
      <sheetName val="co-no.2"/>
      <sheetName val="(1)2002년 매출목표 산출"/>
      <sheetName val="[입찰안.xls][입찰안.xls][입찰안.xls]_530"/>
      <sheetName val="[입찰안.xls][입찰안.xls][입찰안.xls]_531"/>
      <sheetName val="[입찰안.xls][입찰안.xls][입찰안.xls]_532"/>
      <sheetName val="[입찰안.xls][입찰안.xls][입찰안.xls]_534"/>
      <sheetName val="[입찰안.xls][입찰안.xls][입찰안.xls]_533"/>
      <sheetName val="plan&amp;section_of_fo뮽◽_x0000__x0000_㠀퇛ﰙ팣"/>
      <sheetName val="plan&amp;section_of_fo_xd8e4_꼉_x0000_ꘀ㺨"/>
      <sheetName val="plan&amp;section_of_fouꄰₙ_x0000__x0000__x0000__x0000_ﱔ"/>
      <sheetName val="plan&amp;section_of_fou_x0000_¶釈̫ꗝû߸"/>
      <sheetName val="plan&amp;section_of_fou_x0000_¶釈̫ꗝû荸"/>
      <sheetName val="plan&amp;section_of_fou_x0000_g釈ˆꗝ㥀"/>
      <sheetName val="plan&amp;section_of_fou_x0000_g釈ˆꗝ᳀"/>
      <sheetName val="plan&amp;section_of_fouꗝ¾䝠Ύ_x0000__x0000__x0000_"/>
      <sheetName val="plan&amp;section_of_fou_x0002__x0000_蒸ζ㓡è諠"/>
      <sheetName val="plan&amp;section_of_fouﵨὰ⭸⇭_x0000__x0000_㖬"/>
      <sheetName val="plan&amp;section_of_fou_x0000__x0000__x0005__x0000_௰좤ˑ"/>
      <sheetName val="plan&amp;section_of_fou_x0000__x0000__x0005__x0000_ហ붽ˑ"/>
      <sheetName val="plan&amp;section_of_fou_x0000__x0000__x0005__x0000_≰쬡ˑ"/>
      <sheetName val="plan&amp;section_of_fou_x0000__x0000__x0005__x0000_꒰쩼ˑ"/>
      <sheetName val="정리계"/>
      <sheetName val="정리계槜〽"/>
      <sheetName val="_HIT__HMC_견"/>
      <sheetName val="[입찰안.xls][입찰안.xls][입찰안.xls]_535"/>
      <sheetName val="서울대규장각(가시설흙막이)"/>
      <sheetName val="[입찰안.xls][입찰안.xls][입찰안.xls]_536"/>
      <sheetName val="[입찰안.xls][입찰안.xls][입찰안.xls]_537"/>
      <sheetName val="[입찰안.xls][입찰안.xls][입찰안.xls]_538"/>
      <sheetName val="[입찰안.xls][입찰안.xls][입찰안.xls]_539"/>
      <sheetName val="[입찰안.xls][입찰안.xls][입찰안.xls]_540"/>
      <sheetName val="[입찰안.xls][입찰안.xls][입찰안.xls]_541"/>
      <sheetName val="[입찰안.xls][입찰안.xls][입찰안.xls]_542"/>
      <sheetName val="[입찰안.xls][입찰안.xls][입찰안.xls]_543"/>
      <sheetName val="[입찰안.xls][입찰안.xls][입찰안.xls]_544"/>
      <sheetName val="[입찰안.xls][입찰안.xls][입찰안.xls]_546"/>
      <sheetName val="[입찰안.xls][입찰안.xls][입찰안.xls]_545"/>
      <sheetName val="[입찰안.xls][입찰안.xls][입찰안.xls]_551"/>
      <sheetName val="[입찰안.xls][입찰안.xls][입찰안.xls]_547"/>
      <sheetName val="[입찰안.xls][입찰안.xls][입찰안.xls]_548"/>
      <sheetName val="[입찰안.xls][입찰안.xls][입찰안.xls]_549"/>
      <sheetName val="[입찰안.xls][입찰안.xls][입찰안.xls]_550"/>
      <sheetName val="조경수_x0000_"/>
      <sheetName val="RD제품개발투자비(매가)"/>
      <sheetName val="Dayworks"/>
      <sheetName val="500(1)g"/>
      <sheetName val="GRAND SUM"/>
      <sheetName val="plan&amp;section_of__x0000__x0000_Ā_x0000__x0005__x0000_翹_x0000_조ꤟ"/>
      <sheetName val="preface"/>
      <sheetName val="SCH"/>
      <sheetName val="#2 노임단가"/>
      <sheetName val="___1"/>
      <sheetName val="B__1"/>
      <sheetName val="B_67"/>
      <sheetName val="B_68"/>
      <sheetName val="기본데이터"/>
      <sheetName val="실적관리"/>
      <sheetName val="노원열병합___x0000__x0000__x0005__x0000_츀ɮ_x0000__x0000__x0000_"/>
      <sheetName val="[입찰안.xls][입찰안.xls][입찰안.xls]_554"/>
      <sheetName val="[입찰안.xls][입찰안.xls][입찰안.xls]_555"/>
      <sheetName val="[입찰안.xls][입찰안.xls][입찰안.xls]_553"/>
      <sheetName val="[입찰안.xls][입찰안.xls][입찰안.xls]_552"/>
      <sheetName val="[입찰안.xls][입찰안.xls][입찰안.xls]_556"/>
      <sheetName val="[입찰안.xls][입찰안.xls][입찰안.xls]_557"/>
      <sheetName val="[입찰안.xls][입찰안.xls][입찰안.xls]_562"/>
      <sheetName val="[입찰안.xls][입찰안.xls][입찰안.xls]_563"/>
      <sheetName val="[입찰안.xls][입찰안.xls][입찰안.xls]_558"/>
      <sheetName val="[입찰안.xls][입찰안.xls][입찰안.xls]_559"/>
      <sheetName val="[입찰안.xls][입찰안.xls][입찰안.xls]_560"/>
      <sheetName val="[입찰안.xls][입찰안.xls][입찰안.xls]_561"/>
      <sheetName val="[입찰안.xls][입찰안.xls][입찰안.xls]_567"/>
      <sheetName val="[입찰안.xls][입찰안.xls][입찰안.xls]_568"/>
      <sheetName val="[입찰안.xls][입찰안.xls][입찰안.xls]_576"/>
      <sheetName val="[입찰안.xls][입찰안.xls][입찰안.xls]_564"/>
      <sheetName val="[입찰안.xls][입찰안.xls][입찰안.xls]_565"/>
      <sheetName val="[입찰안.xls][입찰안.xls][입찰안.xls]_566"/>
      <sheetName val="[입찰안.xls][입찰안.xls][입찰안.xls]_593"/>
      <sheetName val="[입찰안.xls][입찰안.xls][입찰안.xls]_596"/>
      <sheetName val="[입찰안.xls][입찰안.xls][입찰안.xls]_569"/>
      <sheetName val="[입찰안.xls][입찰안.xls][입찰안.xls]_572"/>
      <sheetName val="[입찰안.xls][입찰안.xls][입찰안.xls]_571"/>
      <sheetName val="[입찰안.xls][입찰안.xls][입찰안.xls]_570"/>
      <sheetName val="[입찰안.xls][입찰안.xls][입찰안.xls]_574"/>
      <sheetName val="[입찰안.xls][입찰안.xls][입찰안.xls]_575"/>
      <sheetName val="[입찰안.xls][입찰안.xls][입찰안.xls]_573"/>
      <sheetName val="[입찰안.xls][입찰안.xls][입찰안.xls]_590"/>
      <sheetName val="[입찰안.xls][입찰안.xls][입찰안.xls]_589"/>
      <sheetName val="[입찰안.xls][입찰안.xls][입찰안.xls]_583"/>
      <sheetName val="[입찰안.xls][입찰안.xls][입찰안.xls]_584"/>
      <sheetName val="[입찰안.xls][입찰안.xls][입찰안.xls]_585"/>
      <sheetName val="[입찰안.xls][입찰안.xls][입찰안.xls]_577"/>
      <sheetName val="[입찰안.xls][입찰안.xls][입찰안.xls]_578"/>
      <sheetName val="[입찰안.xls][입찰안.xls][입찰안.xls]_579"/>
      <sheetName val="[입찰안.xls][입찰안.xls][입찰안.xls]_580"/>
      <sheetName val="[입찰안.xls][입찰안.xls][입찰안.xls]_581"/>
      <sheetName val="[입찰안.xls][입찰안.xls][입찰안.xls]_582"/>
      <sheetName val="[입찰안.xls][입찰안.xls][입찰안.xls]_587"/>
      <sheetName val="[입찰안.xls][입찰안.xls][입찰안.xls]_586"/>
      <sheetName val="[입찰안.xls][입찰안.xls][입찰안.xls]_588"/>
      <sheetName val="[입찰안.xls][입찰안.xls][입찰안.xls]_592"/>
      <sheetName val="[입찰안.xls][입찰안.xls][입찰안.xls]_591"/>
      <sheetName val="[입찰안.xls][입찰안.xls][입찰안.xls]_594"/>
      <sheetName val="[입찰안.xls][입찰안.xls][입찰안.xls]_595"/>
      <sheetName val="[입찰안.xls][입찰안.xls][입찰안.xls]_599"/>
      <sheetName val="[입찰안.xls][입찰안.xls][입찰안.xls]_598"/>
      <sheetName val="[입찰안.xls][입찰안.xls][입찰안.xls]_600"/>
      <sheetName val="[입찰안.xls][입찰안.xls][입찰안.xls]_597"/>
      <sheetName val="[입찰안.xls][입찰안.xls][입찰안.xls]_601"/>
      <sheetName val="조선용암면"/>
      <sheetName val="DMKH"/>
      <sheetName val="DmChitiet"/>
      <sheetName val="Nhatky"/>
      <sheetName val="Báo cáo"/>
      <sheetName val="Báo_cáo"/>
      <sheetName val="Bill 02 INF"/>
      <sheetName val="負荷集計（断熱不燃）"/>
      <sheetName val="6MONTHS"/>
      <sheetName val="Cst Pkg-Eden"/>
      <sheetName val="대비표"/>
      <sheetName val="MTP"/>
      <sheetName val="Unt rate SS"/>
      <sheetName val="Báo_cáo1"/>
      <sheetName val="xe"/>
      <sheetName val="남양시작동자105노65기1.3화1.2"/>
      <sheetName val="전기내역서"/>
      <sheetName val="[입찰안.xls][입찰안.xls][입찰안.xls]___8"/>
      <sheetName val="[입찰안.xls][입찰안_xls][입찰안_xls]___4"/>
      <sheetName val="[입찰안.xls][입찰안.xls][입찰안_xls]___3"/>
      <sheetName val="[입찰안.xls][입찰안.xls][입찰안.xls]_816"/>
      <sheetName val="[입찰안.xls][입찰안.xls][입찰안.xls]_817"/>
      <sheetName val="[입찰안.xls][입찰안.xls][입찰안.xls]_818"/>
      <sheetName val="[입찰안.xls][입찰안.xls][입찰안.xls]_814"/>
      <sheetName val="[입찰안.xls][입찰안.xls][입찰안.xls]_813"/>
      <sheetName val="[입찰안.xls][입찰안.xls][입찰안.xls]_815"/>
      <sheetName val="[입찰안.xls][입찰안.xls][입찰안.xls]_804"/>
      <sheetName val="[입찰안.xls][입찰안.xls][입찰안.xls]_783"/>
      <sheetName val="[입찰안.xls][입찰안.xls][입찰안.xls]_786"/>
      <sheetName val="[입찰안.xls][입찰안.xls][입찰안.xls]_787"/>
      <sheetName val="철콘"/>
      <sheetName val="보링"/>
      <sheetName val="철물"/>
      <sheetName val="철강재"/>
      <sheetName val="견적내역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신복2"/>
      <sheetName val="평균터파기고(1-2,ASP)"/>
      <sheetName val="원가계산"/>
      <sheetName val="토공사"/>
      <sheetName val="6월 출고 일일보고"/>
      <sheetName val="사업소득자세수추계"/>
      <sheetName val="[입찰안.xls][입찰안.xls][입찰안.xls]_779"/>
      <sheetName val="[입찰안.xls][입찰안.xls][입찰안.xls]_781"/>
      <sheetName val="[입찰안.xls][입찰안.xls][입찰안.xls]_778"/>
      <sheetName val="[입찰안.xls][입찰안.xls][입찰안.xls]_774"/>
      <sheetName val="[입찰안.xls][입찰안.xls][입찰안.xls]_775"/>
      <sheetName val="[입찰안.xls][입찰안.xls][입찰안.xls]_614"/>
      <sheetName val="[입찰안.xls][입찰안.xls][입찰안.xls]_628"/>
      <sheetName val="[입찰안.xls][입찰안.xls][입찰안.xls]_602"/>
      <sheetName val="[입찰안.xls][입찰안.xls][입찰안.xls]_606"/>
      <sheetName val="[입찰안.xls][입찰안.xls][입찰안.xls]_603"/>
      <sheetName val="[입찰안.xls][입찰안.xls][입찰안.xls]_604"/>
      <sheetName val="[입찰안.xls][입찰안.xls][입찰안.xls]_605"/>
      <sheetName val="[입찰안.xls][입찰안.xls][입찰안.xls]_607"/>
      <sheetName val="[입찰안.xls][입찰안.xls][입찰안.xls]_608"/>
      <sheetName val="[입찰안.xls][입찰안.xls][입찰안.xls]_609"/>
      <sheetName val="[입찰안.xls][입찰안.xls][입찰안.xls]_610"/>
      <sheetName val="[입찰안.xls][입찰안.xls][입찰안.xls]_613"/>
      <sheetName val="[입찰안.xls][입찰안.xls][입찰안.xls]_611"/>
      <sheetName val="[입찰안.xls][입찰안.xls][입찰안.xls]_612"/>
      <sheetName val="[입찰안.xls][입찰안.xls][입찰안.xls]_615"/>
      <sheetName val="[입찰안.xls][입찰안.xls][입찰안.xls]_616"/>
      <sheetName val="[입찰안.xls][입찰안.xls][입찰안.xls]_617"/>
      <sheetName val="[입찰안.xls][입찰안.xls][입찰안.xls]_618"/>
      <sheetName val="[입찰안.xls][입찰안.xls][입찰안.xls]_619"/>
      <sheetName val="[입찰안.xls][입찰안.xls][입찰안.xls]_620"/>
      <sheetName val="[입찰안.xls][입찰안.xls][입찰안.xls]_621"/>
      <sheetName val="[입찰안.xls][입찰안.xls][입찰안.xls]_622"/>
      <sheetName val="[입찰안.xls][입찰안.xls][입찰안.xls]_623"/>
      <sheetName val="[입찰안.xls][입찰안.xls][입찰안.xls]_624"/>
      <sheetName val="[입찰안.xls][입찰안.xls][입찰안.xls]_625"/>
      <sheetName val="[입찰안.xls][입찰안.xls][입찰안.xls]_626"/>
      <sheetName val="[입찰안.xls][입찰안.xls][입찰안.xls]_627"/>
      <sheetName val="[입찰안.xls][입찰안.xls][입찰안.xls]_635"/>
      <sheetName val="[입찰안.xls][입찰안.xls][입찰안.xls]_629"/>
      <sheetName val="[입찰안.xls][입찰안.xls][입찰안.xls]_630"/>
      <sheetName val="[입찰안.xls][입찰안.xls][입찰안.xls]_631"/>
      <sheetName val="[입찰안.xls][입찰안.xls][입찰안.xls]_632"/>
      <sheetName val="[입찰안.xls][입찰안.xls][입찰안.xls]_633"/>
      <sheetName val="[입찰안.xls][입찰안.xls][입찰안.xls]_634"/>
      <sheetName val="[입찰안.xls][입찰안.xls][입찰안.xls]_639"/>
      <sheetName val="[입찰안.xls][입찰안.xls][입찰안.xls]_636"/>
      <sheetName val="[입찰안.xls][입찰안.xls][입찰안.xls]_638"/>
      <sheetName val="[입찰안.xls][입찰안.xls][입찰안.xls]_637"/>
      <sheetName val="[입찰안.xls][입찰안.xls][입찰안.xls]_640"/>
      <sheetName val="[입찰안.xls][입찰안.xls][입찰안.xls]_641"/>
      <sheetName val="[입찰안.xls][입찰안.xls][입찰안.xls]_644"/>
      <sheetName val="[입찰안.xls][입찰안.xls][입찰안.xls]_642"/>
      <sheetName val="[입찰안.xls][입찰안.xls][입찰안.xls]_643"/>
      <sheetName val="[입찰안.xls][입찰안.xls][입찰안.xls]_647"/>
      <sheetName val="[입찰안.xls][입찰안.xls][입찰안.xls]_645"/>
      <sheetName val="[입찰안.xls][입찰안.xls][입찰안.xls]_646"/>
      <sheetName val="[입찰안.xls][입찰안.xls][입찰안.xls]_667"/>
      <sheetName val="[입찰안.xls][입찰안.xls][입찰안.xls]_651"/>
      <sheetName val="[입찰안.xls][입찰안.xls][입찰안.xls]_649"/>
      <sheetName val="[입찰안.xls][입찰안.xls][입찰안.xls]_648"/>
      <sheetName val="[입찰안.xls][입찰안.xls][입찰안.xls]_650"/>
      <sheetName val="[입찰안.xls][입찰안.xls][입찰안.xls]_652"/>
      <sheetName val="[입찰안.xls][입찰안.xls][입찰안.xls]_654"/>
      <sheetName val="[입찰안.xls][입찰안.xls][입찰안.xls]_653"/>
      <sheetName val="[입찰안.xls][입찰안.xls][입찰안.xls]_672"/>
      <sheetName val="[입찰안.xls][입찰안.xls][입찰안.xls]_655"/>
      <sheetName val="[입찰안.xls][입찰안.xls][입찰안.xls]_656"/>
      <sheetName val="[입찰안.xls][입찰안.xls][입찰안.xls]_657"/>
      <sheetName val="[입찰안.xls][입찰안.xls][입찰안.xls]_658"/>
      <sheetName val="[입찰안.xls][입찰안.xls][입찰안.xls]_660"/>
      <sheetName val="[입찰안.xls][입찰안.xls][입찰안.xls]_659"/>
      <sheetName val="[입찰안.xls][입찰안.xls][입찰안.xls]_661"/>
      <sheetName val="[입찰안.xls][입찰안.xls][입찰안.xls]_662"/>
      <sheetName val="[입찰안.xls][입찰안.xls][입찰안.xls]_663"/>
      <sheetName val="[입찰안.xls][입찰안.xls][입찰안.xls]_664"/>
      <sheetName val="[입찰안.xls][입찰안.xls][입찰안.xls]_666"/>
      <sheetName val="[입찰안.xls][입찰안.xls][입찰안.xls]_665"/>
      <sheetName val="[입찰안.xls][입찰안.xls][입찰안.xls]_684"/>
      <sheetName val="[입찰안.xls][입찰안.xls][입찰안.xls]_668"/>
      <sheetName val="[입찰안.xls][입찰안.xls][입찰안.xls]_669"/>
      <sheetName val="[입찰안.xls][입찰안.xls][입찰안.xls]_670"/>
      <sheetName val="[입찰안.xls][입찰안.xls][입찰안.xls]_671"/>
      <sheetName val="[입찰안.xls][입찰안.xls][입찰안.xls]_674"/>
      <sheetName val="[입찰안.xls][입찰안.xls][입찰안.xls]_673"/>
      <sheetName val="[입찰안.xls][입찰안.xls][입찰안.xls]_675"/>
      <sheetName val="[입찰안.xls][입찰안.xls][입찰안.xls]_693"/>
      <sheetName val="[입찰안.xls][입찰안.xls][입찰안.xls]_676"/>
      <sheetName val="[입찰안.xls][입찰안.xls][입찰안.xls]_678"/>
      <sheetName val="[입찰안.xls][입찰안.xls][입찰안.xls]_677"/>
      <sheetName val="[입찰안.xls][입찰안.xls][입찰안.xls]_679"/>
      <sheetName val="[입찰안.xls][입찰안.xls][입찰안.xls]_680"/>
      <sheetName val="[입찰안.xls][입찰안.xls][입찰안.xls]_681"/>
      <sheetName val="[입찰안.xls][입찰안.xls][입찰안.xls]_682"/>
      <sheetName val="[입찰안.xls][입찰안.xls][입찰안.xls]_683"/>
      <sheetName val="[입찰안.xls][입찰안.xls][입찰안.xls]_685"/>
      <sheetName val="[입찰안.xls][입찰안.xls][입찰안.xls]_686"/>
      <sheetName val="[입찰안.xls][입찰안.xls][입찰안.xls]_687"/>
      <sheetName val="[입찰안.xls][입찰안.xls][입찰안.xls]_688"/>
      <sheetName val="[입찰안.xls][입찰안.xls][입찰안.xls]_692"/>
      <sheetName val="[입찰안.xls][입찰안.xls][입찰안.xls]_689"/>
      <sheetName val="[입찰안.xls][입찰안.xls][입찰안.xls]_690"/>
      <sheetName val="[입찰안.xls][입찰안.xls][입찰안.xls]_691"/>
      <sheetName val="[입찰안.xls][입찰안.xls][입찰안.xls]_699"/>
      <sheetName val="[입찰안.xls][입찰안.xls][입찰안.xls]_694"/>
      <sheetName val="[입찰안.xls][입찰안.xls][입찰안.xls]_695"/>
      <sheetName val="[입찰안.xls][입찰안.xls][입찰안.xls]_698"/>
      <sheetName val="[입찰안.xls][입찰안.xls][입찰안.xls]_696"/>
      <sheetName val="[입찰안.xls][입찰안.xls][입찰안.xls]_697"/>
      <sheetName val="[입찰안.xls][입찰안.xls][입찰안.xls]_718"/>
      <sheetName val="[입찰안.xls][입찰안.xls][입찰안.xls]_704"/>
      <sheetName val="[입찰안.xls][입찰안.xls][입찰안.xls]_700"/>
      <sheetName val="[입찰안.xls][입찰안.xls][입찰안.xls]_701"/>
      <sheetName val="[입찰안.xls][입찰안.xls][입찰안.xls]_702"/>
      <sheetName val="[입찰안.xls][입찰안.xls][입찰안.xls]_703"/>
      <sheetName val="[입찰안.xls][입찰안.xls][입찰안.xls]_705"/>
      <sheetName val="[입찰안.xls][입찰안.xls][입찰안.xls]_706"/>
      <sheetName val="[입찰안.xls][입찰안.xls][입찰안.xls]_707"/>
      <sheetName val="[입찰안.xls][입찰안.xls][입찰안.xls]_708"/>
      <sheetName val="[입찰안.xls][입찰안.xls][입찰안.xls]_728"/>
      <sheetName val="[입찰안.xls][입찰안.xls][입찰안.xls]_710"/>
      <sheetName val="[입찰안.xls][입찰안.xls][입찰안.xls]_709"/>
      <sheetName val="[입찰안.xls][입찰안.xls][입찰안.xls]_711"/>
      <sheetName val="[입찰안.xls][입찰안.xls][입찰안.xls]_712"/>
      <sheetName val="[입찰안.xls][입찰안.xls][입찰안.xls]_713"/>
      <sheetName val="[입찰안.xls][입찰안.xls][입찰안.xls]_715"/>
      <sheetName val="[입찰안.xls][입찰안.xls][입찰안.xls]_714"/>
      <sheetName val="[입찰안.xls][입찰안.xls][입찰안.xls]_716"/>
      <sheetName val="[입찰안.xls][입찰안.xls][입찰안.xls]_717"/>
      <sheetName val="[입찰안.xls][입찰안.xls][입찰안.xls]_720"/>
      <sheetName val="[입찰안.xls][입찰안.xls][입찰안.xls]_719"/>
      <sheetName val="[입찰안.xls][입찰안.xls][입찰안.xls]_721"/>
      <sheetName val="[입찰안.xls][입찰안.xls][입찰안.xls]_722"/>
      <sheetName val="[입찰안.xls][입찰안.xls][입찰안.xls]_723"/>
      <sheetName val="[입찰안.xls][입찰안.xls][입찰안.xls]_724"/>
      <sheetName val="[입찰안.xls][입찰안.xls][입찰안.xls]_725"/>
      <sheetName val="[입찰안.xls][입찰안.xls][입찰안.xls]_726"/>
      <sheetName val="[입찰안.xls][입찰안.xls][입찰안.xls]_727"/>
      <sheetName val="[입찰안.xls][입찰안.xls][입찰안.xls]_729"/>
      <sheetName val="[입찰안.xls][입찰안.xls][입찰안.xls]_730"/>
      <sheetName val="[입찰안.xls][입찰안.xls][입찰안.xls]_732"/>
      <sheetName val="[입찰안.xls][입찰안.xls][입찰안.xls]_731"/>
      <sheetName val="[입찰안.xls][입찰안.xls][입찰안.xls]_746"/>
      <sheetName val="[입찰안.xls][입찰안.xls][입찰안.xls]_733"/>
      <sheetName val="[입찰안.xls][입찰안.xls][입찰안.xls]_734"/>
      <sheetName val="[입찰안.xls][입찰안.xls][입찰안.xls]_735"/>
      <sheetName val="[입찰안.xls][입찰안.xls][입찰안.xls]_736"/>
      <sheetName val="[입찰안.xls][입찰안.xls][입찰안.xls]_737"/>
      <sheetName val="[입찰안.xls][입찰안.xls][입찰안.xls]_738"/>
      <sheetName val="[입찰안.xls][입찰안.xls][입찰안.xls]_739"/>
      <sheetName val="[입찰안.xls][입찰안.xls][입찰안.xls]_740"/>
      <sheetName val="[입찰안.xls][입찰안.xls][입찰안.xls]_741"/>
      <sheetName val="[입찰안.xls][입찰안.xls][입찰안.xls]_742"/>
      <sheetName val="[입찰안.xls][입찰안.xls][입찰안.xls]_743"/>
      <sheetName val="[입찰안.xls][입찰안.xls][입찰안.xls]_744"/>
      <sheetName val="[입찰안.xls][입찰안.xls][입찰안.xls]_745"/>
      <sheetName val="[입찰안.xls][입찰안.xls][입찰안.xls]_747"/>
      <sheetName val="[입찰안.xls][입찰안.xls][입찰안.xls]_752"/>
      <sheetName val="[입찰안.xls][입찰안.xls][입찰안.xls]_748"/>
      <sheetName val="[입찰안.xls][입찰안.xls][입찰안.xls]_749"/>
      <sheetName val="[입찰안.xls][입찰안.xls][입찰안.xls]_750"/>
      <sheetName val="[입찰안.xls][입찰안.xls][입찰안.xls]_751"/>
      <sheetName val="[입찰안.xls][입찰안.xls][입찰안.xls]_763"/>
      <sheetName val="[입찰안.xls][입찰안.xls][입찰안.xls]_754"/>
      <sheetName val="[입찰안.xls][입찰안.xls][입찰안.xls]_753"/>
      <sheetName val="[입찰안.xls][입찰안.xls][입찰안.xls]_755"/>
      <sheetName val="[입찰안.xls][입찰안.xls][입찰안.xls]_756"/>
      <sheetName val="[입찰안.xls][입찰안.xls][입찰안.xls]_757"/>
      <sheetName val="[입찰안.xls][입찰안.xls][입찰안.xls]_758"/>
      <sheetName val="[입찰안.xls][입찰안.xls][입찰안.xls]_761"/>
      <sheetName val="[입찰안.xls][입찰안.xls][입찰안.xls]_759"/>
      <sheetName val="[입찰안.xls][입찰안.xls][입찰안.xls]_760"/>
      <sheetName val="[입찰안.xls][입찰안.xls][입찰안.xls]_762"/>
      <sheetName val="[입찰안.xls][입찰안.xls][입찰안.xls]_767"/>
      <sheetName val="[입찰안.xls][입찰안.xls][입찰안.xls]_764"/>
      <sheetName val="[입찰안.xls][입찰안.xls][입찰안.xls]_765"/>
      <sheetName val="[입찰안.xls][입찰안.xls][입찰안.xls]_766"/>
      <sheetName val="[입찰안.xls][입찰안.xls][입찰안.xls]_769"/>
      <sheetName val="[입찰안.xls][입찰안.xls][입찰안.xls]_768"/>
      <sheetName val="[입찰안.xls][입찰안.xls][입찰안.xls]_772"/>
      <sheetName val="[입찰안.xls][입찰안.xls][입찰안.xls]_770"/>
      <sheetName val="[입찰안.xls][입찰안.xls][입찰안.xls]_771"/>
      <sheetName val="[입찰안.xls][입찰안.xls][입찰안.xls]_773"/>
      <sheetName val="[입찰안.xls][입찰안.xls][입찰안.xls]_776"/>
      <sheetName val="[입찰안.xls][입찰안.xls][입찰안.xls]_777"/>
      <sheetName val="[입찰안.xls][입찰안.xls][입찰안.xls]_780"/>
      <sheetName val="전기혼잡제경비(45_x0016_"/>
      <sheetName val="명세"/>
      <sheetName val="건濐"/>
      <sheetName val="원가계산서(변경)"/>
      <sheetName val="자바라1"/>
      <sheetName val="[입찰안.xls][입찰안.xls][입찰안.xls]_782"/>
      <sheetName val="[입찰안.xls][입찰안.xls][입찰안.xls]_784"/>
      <sheetName val="[입찰안.xls][입찰안.xls][입찰안.xls]_785"/>
      <sheetName val="[입찰안.xls][입찰안.xls][입찰안.xls]_790"/>
      <sheetName val="[입찰안.xls][입찰안.xls][입찰안.xls]_791"/>
      <sheetName val="[입찰안.xls][입찰안.xls][입찰안.xls]_788"/>
      <sheetName val="[입찰안.xls][입찰안.xls][입찰안.xls]_789"/>
      <sheetName val="[입찰안.xls][입찰안.xls][입찰안.xls]_794"/>
      <sheetName val="[입찰안.xls][입찰안.xls][입찰안.xls]_796"/>
      <sheetName val="[입찰안.xls][입찰안.xls][입찰안.xls]_792"/>
      <sheetName val="[입찰안.xls][입찰안.xls][입찰안.xls]_793"/>
      <sheetName val="[입찰안.xls][입찰안.xls][입찰안.xls]_797"/>
      <sheetName val="[입찰안.xls][입찰안.xls][입찰안.xls]_795"/>
      <sheetName val="[입찰안.xls][입찰안.xls][입찰안.xls]_798"/>
      <sheetName val="[입찰안.xls][입찰안.xls][입찰안.xls]_799"/>
      <sheetName val="[입찰안.xls][입찰안.xls][입찰안.xls]_800"/>
      <sheetName val="이폴리머공장"/>
      <sheetName val="[입찰안.xls][입찰안.xls][입찰안.xls]_801"/>
      <sheetName val="[입찰안.xls][입찰안.xls][입찰안.xls]_802"/>
      <sheetName val="[입찰안.xls][입찰안.xls][입찰안.xls]_803"/>
      <sheetName val="[입찰안.xls][입찰안.xls][입찰안.xls]_805"/>
      <sheetName val="[입찰안.xls][입찰안.xls][입찰안.xls]_806"/>
      <sheetName val="[입찰안.xls][입찰안.xls][입찰안.xls]_809"/>
      <sheetName val="[입찰안.xls][입찰안.xls][입찰안.xls]_810"/>
      <sheetName val="[입찰안.xls][입찰안.xls][입찰안.xls]_811"/>
      <sheetName val="[입찰안.xls][입찰안.xls][입찰안.xls]_808"/>
      <sheetName val="[입찰안.xls][입찰안.xls][입찰안.xls]_807"/>
      <sheetName val="[입찰안.xls][입찰안.xls][입찰안.xls]_812"/>
      <sheetName val="[입찰안.xls][입찰안.xls][입찰안.xls]_833"/>
      <sheetName val="[입찰안.xls][입찰안.xls][입찰안.xls]_836"/>
      <sheetName val="직접ఀ핧蠀兿"/>
      <sheetName val="원료비2(2000.10-09)"/>
      <sheetName val="수익성분석2"/>
      <sheetName val="외화환산(2분기)"/>
      <sheetName val="X68"/>
      <sheetName val="미지급급여"/>
      <sheetName val="경영지표"/>
      <sheetName val="제품코드"/>
      <sheetName val="부문99-2"/>
      <sheetName val="정산표"/>
      <sheetName val="[입찰안.xls][입찰안.xls][입찰안.xls]_819"/>
      <sheetName val="[입찰안.xls][입찰안.xls][입찰안.xls]_820"/>
      <sheetName val="[입찰안.xls][입찰안.xls][입찰안.xls]_821"/>
      <sheetName val="덕_x0000_靰"/>
      <sheetName val="3련_B裉ۿ"/>
      <sheetName val="[입찰안.xls][입찰안.xls][입찰안.xls]_822"/>
      <sheetName val="[입찰안.xls][입찰안.xls][입찰안.xls]_823"/>
      <sheetName val="[입찰안.xls][입찰안.xls][입찰안.xls]_824"/>
      <sheetName val="[입찰안.xls][입찰안.xls][입찰안.xls]_829"/>
      <sheetName val="[입찰안.xls][입찰안.xls][입찰안.xls]_825"/>
      <sheetName val="[입찰안.xls][입찰안.xls][입찰안.xls]_830"/>
      <sheetName val="[입찰안.xls][입찰안.xls][입찰안.xls]_831"/>
      <sheetName val="[입찰안.xls][입찰안.xls][입찰안.xls]_826"/>
      <sheetName val="[입찰안.xls][입찰안.xls][입찰안.xls]_827"/>
      <sheetName val="[입찰안.xls][입찰안.xls][입찰안.xls]_828"/>
      <sheetName val="[입찰안.xls][입찰안.xls][입찰안.xls]_832"/>
      <sheetName val="[입찰안.xls][입찰안.xls][입찰안.xls]_834"/>
      <sheetName val="[입찰안.xls][입찰안.xls][입찰안.xls]_835"/>
      <sheetName val="M-EQPT-Z"/>
      <sheetName val="7._x0000__x0000__x0000_"/>
      <sheetName val="_입찰안.xls__입찰안.xls__입찰안.xls_B__6"/>
      <sheetName val="_입찰안.xls__입찰안.xls__입찰안.xls_B__5"/>
      <sheetName val="_입찰안.xls__입찰안.xls__입찰안.xls_B__4"/>
      <sheetName val="_입찰안.xls__입찰안.xls__입찰안.xls_B_11"/>
      <sheetName val="_입찰안.xls__입찰안.xls__입찰안.xls_B__7"/>
      <sheetName val="_입찰안.xls__입찰안.xls__입찰안.xls_B__8"/>
      <sheetName val="_입찰안.xls__입찰안.xls__입찰안.xls_B__9"/>
      <sheetName val="_입찰안.xls__입찰안.xls__입찰안.xls_B_10"/>
      <sheetName val="_입찰안.xls__입찰안.xls__입찰안.xls_B_13"/>
      <sheetName val="_입찰안.xls__입찰안.xls__입찰안.xls_B_12"/>
      <sheetName val="_입찰안.xls__입찰안.xls__입찰안.xls_B_14"/>
      <sheetName val="_입찰안.xls__입찰안.xls__입찰안.xls_B_15"/>
      <sheetName val="_입찰안.xls__입찰안.xls__입찰안.xls_B_16"/>
      <sheetName val="_입찰안.xls__입찰안.xls__입찰안.xls_B_17"/>
      <sheetName val="_입찰안.xls__입찰안.xls__입찰안.xls_B_23"/>
      <sheetName val="_입찰안.xls__입찰안.xls__입찰안.xls_B_18"/>
      <sheetName val="_입찰안.xls__입찰안.xls__입찰안.xls_B_19"/>
      <sheetName val="_입찰안.xls__입찰안.xls__입찰안.xls_B_20"/>
      <sheetName val="_입찰안.xls__입찰안.xls__입찰안.xls_B_21"/>
      <sheetName val="_입찰안.xls__입찰안.xls__입찰안.xls_B_22"/>
      <sheetName val="_입찰안.xls__입찰안.xls__입찰안.xls_B_25"/>
      <sheetName val="_입찰안.xls__입찰안.xls__입찰안.xls_B_24"/>
      <sheetName val="_입찰안.xls__입찰안.xls__입찰안.xls_B_26"/>
      <sheetName val="_입찰안.xls__입찰안.xls__입찰안.xls_B_27"/>
      <sheetName val="_입찰안.xls__입찰안.xls__입찰안.xls_B_29"/>
      <sheetName val="_입찰안.xls__입찰안.xls__입찰안.xls_B_28"/>
      <sheetName val="공비대비"/>
      <sheetName val="ITEM_W"/>
      <sheetName val="II손익관리"/>
      <sheetName val="간 지1"/>
      <sheetName val="실행예산"/>
      <sheetName val="5호광장_(만점)9"/>
      <sheetName val="인천국제_(만점)_(2)9"/>
      <sheetName val="Total_단위경유량집계9"/>
      <sheetName val="1_수인터널9"/>
      <sheetName val="준검_내역서9"/>
      <sheetName val="토공유동표(전체_당초)9"/>
      <sheetName val="3련_BOX9"/>
      <sheetName val="A_견적8"/>
      <sheetName val="BH-1_(2)9"/>
      <sheetName val="4_전기9"/>
      <sheetName val="표__지9"/>
      <sheetName val="I_설계조건9"/>
      <sheetName val="노원열병합__건축공사기성내역서9"/>
      <sheetName val="plan&amp;section_of_foundation9"/>
      <sheetName val="pile_bearing_capa_&amp;_arrenge9"/>
      <sheetName val="working_load_at_the_btm_ft_9"/>
      <sheetName val="stability_check9"/>
      <sheetName val="design_criteria9"/>
      <sheetName val="앉음벽_(2)9"/>
      <sheetName val="MSS_29"/>
      <sheetName val="2_1__노무비_평균단가산출8"/>
      <sheetName val="1_설계조건9"/>
      <sheetName val="우수관매설및_우수받이9"/>
      <sheetName val="조도계산서_(도서)9"/>
      <sheetName val="제출내역_(2)9"/>
      <sheetName val="내역_ver1_09"/>
      <sheetName val="보고서_기기리스트8"/>
      <sheetName val="7__현장관리비_9"/>
      <sheetName val="6__안전관리비9"/>
      <sheetName val="배수공_시멘트_및_골재량_산출8"/>
      <sheetName val="11_우각부_보강9"/>
      <sheetName val="_HIT__HMC_견적_3900_9"/>
      <sheetName val="소포내역_(2)9"/>
      <sheetName val="내___역8"/>
      <sheetName val="플랜트_설치8"/>
      <sheetName val="배수내역_(2)8"/>
      <sheetName val="11_산출(전열)9"/>
      <sheetName val="6_산출(동력)9"/>
      <sheetName val="7_산출(TRAY)9"/>
      <sheetName val="5_산출(전력)8"/>
      <sheetName val="수량산출서(전력간선_지하D_C)8"/>
      <sheetName val="SHEET_PILE단가8"/>
      <sheetName val="Customer_Databas8"/>
      <sheetName val="8_현장관리비8"/>
      <sheetName val="7_안전관리비8"/>
      <sheetName val="BH_1__2_8"/>
      <sheetName val="목차_8"/>
      <sheetName val="_HIT-&gt;HMC_견적(3900)8"/>
      <sheetName val="화재_탐지_설비8"/>
      <sheetName val="전_기8"/>
      <sheetName val="2차전체변경예정_(2)8"/>
      <sheetName val="6PILE__(돌출)8"/>
      <sheetName val="spc_배관견적8"/>
      <sheetName val="1_설계기준8"/>
      <sheetName val="귀래_설계_공내역서8"/>
      <sheetName val="unit_48"/>
      <sheetName val="1_취수장8"/>
      <sheetName val="도담구내_개소별_명세8"/>
      <sheetName val="개인별_순위표8"/>
      <sheetName val="세골재__T2_변경_현황8"/>
      <sheetName val="설_계8"/>
      <sheetName val="Cash_Flow-18"/>
      <sheetName val="3_1공사현황_공정표8"/>
      <sheetName val="노임_단가8"/>
      <sheetName val="投标材料清单_8"/>
      <sheetName val="내역서_8"/>
      <sheetName val="별표_8"/>
      <sheetName val="집_계_표8"/>
      <sheetName val="노임단가_(2)8"/>
      <sheetName val="3_공통공사대비8"/>
      <sheetName val="단가_및_재료비8"/>
      <sheetName val="단___산7"/>
      <sheetName val="실____단7"/>
      <sheetName val="7_공정표8"/>
      <sheetName val="단면_(2)8"/>
      <sheetName val="장비비_명세서18"/>
      <sheetName val="6__수량산출서7"/>
      <sheetName val="RETAIL_(ABOVE)8"/>
      <sheetName val="5__현장관리비(new)_8"/>
      <sheetName val="노무비_근거7"/>
      <sheetName val="제수변_수량집계표(보통)7"/>
      <sheetName val="2_대외공문8"/>
      <sheetName val="Eq__Mobilization8"/>
      <sheetName val="_갑지7"/>
      <sheetName val="장비_(2)7"/>
      <sheetName val="3BL공동구_수량7"/>
      <sheetName val="전선_및_전선관7"/>
      <sheetName val="CM_17"/>
      <sheetName val="5_동별횡주관경7"/>
      <sheetName val="일위대가56-1_6"/>
      <sheetName val="일위대가71-1_6"/>
      <sheetName val="일위대가74-1_6"/>
      <sheetName val="일위대가76-1_6"/>
      <sheetName val="일위대가77-1_6"/>
      <sheetName val="일위대가78-1_6"/>
      <sheetName val="_소방공사_산출근거6"/>
      <sheetName val="기성(1차)_6"/>
      <sheetName val="Sheet1_(2)7"/>
      <sheetName val="습식및_셀프레벨링7"/>
      <sheetName val="1차_내역서7"/>
      <sheetName val="BSD_(2)6"/>
      <sheetName val="바_한일양산6"/>
      <sheetName val="Project_Brief6"/>
      <sheetName val="영업_일16"/>
      <sheetName val="기기_내역서6"/>
      <sheetName val="내역서1999_8최종7"/>
      <sheetName val="전사_(2)6"/>
      <sheetName val="BA_(2)6"/>
      <sheetName val="CP_(2)6"/>
      <sheetName val="암거_제원표7"/>
      <sheetName val="수량산출서_(2)6"/>
      <sheetName val="토공_total6"/>
      <sheetName val="참조_(2)7"/>
      <sheetName val="일위대가_7"/>
      <sheetName val="4_LINE7"/>
      <sheetName val="7_th7"/>
      <sheetName val="변경명신물량_(2)6"/>
      <sheetName val="1_CB6"/>
      <sheetName val="토공_토적표6"/>
      <sheetName val="아파트_5"/>
      <sheetName val="갑지_을지5"/>
      <sheetName val="기존단가_(2)6"/>
      <sheetName val="미납품_현황5"/>
      <sheetName val="유효폭의_계산5"/>
      <sheetName val="도담구내_개소별_명柖7"/>
      <sheetName val="danh_muc_vat_tu7"/>
      <sheetName val="Register-BG_NCC7"/>
      <sheetName val="Data_27"/>
      <sheetName val="TB_chính7"/>
      <sheetName val="Steel_pipe7"/>
      <sheetName val="Ref_pipe+Ins7"/>
      <sheetName val="Plastic_pipe7"/>
      <sheetName val="Air_Grilles7"/>
      <sheetName val="Cost_bd-&quot;A&quot;7"/>
      <sheetName val="2-2_매출분석5"/>
      <sheetName val="STEEL_BOX_단면설계(SEC_8)5"/>
      <sheetName val="설명서_5"/>
      <sheetName val="표지_(2)5"/>
      <sheetName val="단양_00_아파트-세부내역5"/>
      <sheetName val="4_2_1_마루높이_검토5"/>
      <sheetName val="4__VOs_summary6"/>
      <sheetName val="Chiet_tinh_dz356"/>
      <sheetName val="_견적서5"/>
      <sheetName val="자격_땡겨오기5"/>
      <sheetName val="1_내역(청_하역장전등)5"/>
      <sheetName val="갑지_설계_내역서5"/>
      <sheetName val="2_단면가정_(양곡1교)5"/>
      <sheetName val="ITB_COST5"/>
      <sheetName val="수량산출서_갑지5"/>
      <sheetName val="05년_상5"/>
      <sheetName val="영흥TL(UP,DOWN)_5"/>
      <sheetName val="8_PILE__(돌출)5"/>
      <sheetName val="2000_054"/>
      <sheetName val="내역(인테리어_실내)(도급)4"/>
      <sheetName val="내역(인테리어_실외)(도급)4"/>
      <sheetName val="TABLE_DB4"/>
      <sheetName val="쌍용_data_base4"/>
      <sheetName val="_FURNACE현설4"/>
      <sheetName val="97_사업추정(WEKI)4"/>
      <sheetName val="8_설치품셈4"/>
      <sheetName val="자재기성_신청서_xlsx4"/>
      <sheetName val="DATA_LISTS4"/>
      <sheetName val="내역서_제출5"/>
      <sheetName val="19_07월_세_계4"/>
      <sheetName val="19_07항목별(시트복사금지100번쓰기)4"/>
      <sheetName val="19_05월4"/>
      <sheetName val="품셈_4"/>
      <sheetName val="M-EMS_GP-570(BIT)4"/>
      <sheetName val="Bảng_mã_VT6"/>
      <sheetName val="0_목록14"/>
      <sheetName val="중기조종사_단위단가4"/>
      <sheetName val="Elec_LG4"/>
      <sheetName val="ESTI_4"/>
      <sheetName val="D_&amp;_W_sizes4"/>
      <sheetName val="Gia_vat_tu4"/>
      <sheetName val="dtct_cong4"/>
      <sheetName val="[입찰안_xls][입찰안_xls][입찰안_xls]B103"/>
      <sheetName val="[입찰안_xls][입찰안_xls][입찰안_xls]B104"/>
      <sheetName val="[입찰안_xls][입찰안_xls][입찰안_xls]B105"/>
      <sheetName val="[입찰안_xls][입찰안_xls][입찰안_xls]B106"/>
      <sheetName val="[입찰안_xls][입찰안_xls][입찰안_xls]B107"/>
      <sheetName val="[입찰안_xls][입찰안_xls][입찰안_xls]B108"/>
      <sheetName val="[입찰안_xls][입찰안_xls][입찰안_xls]B109"/>
      <sheetName val="[입찰안_xls][입찰안_xls][입찰안_xls]B110"/>
      <sheetName val="[입찰안_xls][입찰안_xls][입찰안_xls]B111"/>
      <sheetName val="[입찰안_xls][입찰안_xls][입찰안_xls]B112"/>
      <sheetName val="[입찰안_xls][입찰안_xls][입찰안_xls]B113"/>
      <sheetName val="[입찰안_xls][입찰안_xls][입찰안_xls]B114"/>
      <sheetName val="[입찰안_xls][입찰안_xls][입찰안_xls]B115"/>
      <sheetName val="[입찰안_xls][입찰안_xls][입찰안_xls]B116"/>
      <sheetName val="[입찰안_xls][입찰안_xls][입찰안_xls]B117"/>
      <sheetName val="So_sanh3"/>
      <sheetName val="[입찰안_xls][입찰안_xls][입찰안_xls]B118"/>
      <sheetName val="[입찰안_xls][입찰안_xls][입찰안_xls]B119"/>
      <sheetName val="[입찰안_xls][입찰안_xls][입찰안_xls]B120"/>
      <sheetName val="[입찰안_xls][입찰안_xls][입찰안_xls]B121"/>
      <sheetName val="[입찰안_xls][입찰안_xls][입찰안_xls]B122"/>
      <sheetName val="[입찰안_xls][입찰안_xls][입찰안_xls]B123"/>
      <sheetName val="[입찰안_xls][입찰안_xls][입찰안_xls]B124"/>
      <sheetName val="[입찰안_xls][입찰안_xls][입찰안_xls]B125"/>
      <sheetName val="[입찰안_xls][입찰안_xls][입찰안_xls]B126"/>
      <sheetName val="[입찰안_xls][입찰안_xls][입찰안_xls]B127"/>
      <sheetName val="[입찰안_xls][입찰안_xls][입찰안_xls]B128"/>
      <sheetName val="PROJ__DATA3"/>
      <sheetName val="_Beams_Sched_3"/>
      <sheetName val="[입찰안_xls][입찰안_xls][입찰안_xls]___6"/>
      <sheetName val="[입찰안_xls][입찰안_xls][입찰안_xls]___7"/>
      <sheetName val="견적비교표_(2)1"/>
      <sheetName val="결재방(지우지_마세요)1"/>
      <sheetName val="EXCHANGE_RATE1"/>
      <sheetName val="중강당_내역1"/>
      <sheetName val="[입찰안_xls][입찰안_xls][입찰안_xls]B129"/>
      <sheetName val="[입찰안_xls][입찰안_xls][입찰안_xls]B130"/>
      <sheetName val="[입찰안_xls][입찰안_xls][입찰안_xls]B131"/>
      <sheetName val="[입찰안_xls][입찰안_xls][입찰안_xls]B132"/>
      <sheetName val="[입찰안_xls][입찰안_xls][입찰안_xls]B133"/>
      <sheetName val="[입찰안_xls][입찰안_xls][입찰안_xls]B134"/>
      <sheetName val="[입찰안_xls][입찰안_xls][입찰안_xls]B135"/>
      <sheetName val="[입찰안_xls][입찰안_xls][입찰안_xls]B136"/>
      <sheetName val="[입찰안_xls][입찰안_xls][입찰안_xls]B137"/>
      <sheetName val="[입찰안_xls][입찰안_xls][입찰안_xls]B138"/>
      <sheetName val="[입찰안_xls][입찰안_xls][입찰안_xls]B139"/>
      <sheetName val="[입찰안_xls][입찰안_xls][입찰안_xls]B140"/>
      <sheetName val="[입찰안_xls][입찰안_xls][입찰안_xls]B141"/>
      <sheetName val="[입찰안_xls][입찰안_xls][입찰안_xls]B142"/>
      <sheetName val="[입찰안_xls][입찰안_xls][입찰안_xls]B143"/>
      <sheetName val="[입찰안_xls][입찰안_xls][입찰안_xls]B144"/>
      <sheetName val="[입찰안_xls][입찰안_xls][입찰안_xls]B145"/>
      <sheetName val="[입찰안_xls][입찰안_xls][입찰안_xls]B146"/>
      <sheetName val="[입찰안_xls][입찰안_xls][입찰안_xls]B147"/>
      <sheetName val="[입찰안_xls][입찰안_xls][입찰안_xls]B148"/>
      <sheetName val="[입찰안_xls][입찰안_xls][입찰안_xls]B149"/>
      <sheetName val="[입찰안_xls][입찰안_xls][입찰안_xls]B150"/>
      <sheetName val="[입찰안_xls][입찰안_xls][입찰안_xls]B151"/>
      <sheetName val="[입찰안_xls][입찰안_xls][입찰안_xls]B152"/>
      <sheetName val="[입찰안_xls][입찰안_xls][입찰안_xls]B153"/>
      <sheetName val="[입찰안_xls][입찰안_xls][입찰안_xls]B154"/>
      <sheetName val="[입찰안_xls][입찰안_xls][입찰안_xls]B155"/>
      <sheetName val="[입찰안_xls][입찰안_xls][입찰안_xls]B156"/>
      <sheetName val="[입찰안_xls][입찰안_xls][입찰안_xls]B157"/>
      <sheetName val="[입찰안_xls][입찰안_xls][입찰안_xls]B158"/>
      <sheetName val="[입찰안_xls][입찰안_xls][입찰안_xls]B159"/>
      <sheetName val="[입찰안_xls][입찰안_xls][입찰안_xls]B160"/>
      <sheetName val="[입찰안_xls][입찰안_xls][입찰안_xls]B161"/>
      <sheetName val="6-1_보오링(1)1"/>
      <sheetName val="실행내역서_1"/>
      <sheetName val="[입찰안_xls][입찰안_xls][입찰안_xls]_104"/>
      <sheetName val="[입찰안_xls][입찰안_xls][입찰안_xls]B162"/>
      <sheetName val="[입찰안_xls][입찰안_xls][입찰안_xls]B163"/>
      <sheetName val="[입찰안_xls][입찰안_xls][입찰안_xls]B164"/>
      <sheetName val="[입찰안_xls][입찰안_xls][입찰안_xls]B165"/>
      <sheetName val="[입찰안_xls][입찰안_xls][입찰안_xls]B166"/>
      <sheetName val="[입찰안_xls][입찰안_xls][입찰안_xls]B167"/>
      <sheetName val="[입찰안_xls][입찰안_xls][입찰안_xls]B168"/>
      <sheetName val="[입찰안_xls][입찰안_xls][입찰안_xls]B169"/>
      <sheetName val="[입찰안_xls][입찰안_xls][입찰안_xls]B170"/>
      <sheetName val="[입찰안_xls][입찰안_xls][입찰안_xls]B171"/>
      <sheetName val="[입찰안_xls][입찰안_xls][입찰안_xls]B172"/>
      <sheetName val="[입찰안_xls][입찰안_xls][입찰안_xls]B173"/>
      <sheetName val="[입찰안_xls][입찰안_xls][입찰안_xls]B174"/>
      <sheetName val="[입찰안_xls][입찰안_xls][입찰안_xls]B175"/>
      <sheetName val="[입찰안_xls][입찰안_xls][입찰안_xls]B176"/>
      <sheetName val="[입찰안_xls][입찰안_xls][입찰안_xls]B177"/>
      <sheetName val="[입찰안_xls][입찰안_xls][입찰안_xls]B178"/>
      <sheetName val="[입찰안_xls][입찰안_xls][입찰안_xls]B179"/>
      <sheetName val="[입찰안_xls][입찰안_xls][입찰안_xls]B180"/>
      <sheetName val="[입찰안_xls][입찰안_xls][입찰안_xls]B181"/>
      <sheetName val="[입찰안_xls][입찰안_xls][입찰안_xls]B182"/>
      <sheetName val="[입찰안_xls][입찰안_xls][입찰안_xls]B183"/>
      <sheetName val="[입찰안_xls][입찰안_xls][입찰안_xls]B184"/>
      <sheetName val="[입찰안_xls][입찰안_xls][입찰안_xls]B185"/>
      <sheetName val="[입찰안_xls][입찰안_xls][입찰안_xls]B186"/>
      <sheetName val="[입찰안_xls][입찰안_xls][입찰안_xls]B187"/>
      <sheetName val="[입찰안_xls][입찰안_xls][입찰안_xls]B188"/>
      <sheetName val="[입찰안_xls][입찰안_xls][입찰안_xls]B189"/>
      <sheetName val="[입찰안_xls][입찰안_xls][입찰안_xls]B190"/>
      <sheetName val="[입찰안_xls][입찰안_xls][입찰안_xls]B191"/>
      <sheetName val="[입찰안_xls][입찰안_xls][입찰안_xls]B192"/>
      <sheetName val="[입찰안_xls][입찰안_xls][입찰안_xls]B193"/>
      <sheetName val="[입찰안_xls][입찰안_xls][입찰안_xls]B194"/>
      <sheetName val="[입찰안_xls][입찰안_xls][입찰안_xls]B195"/>
      <sheetName val="[입찰안_xls][입찰안_xls][입찰안_xls]B196"/>
      <sheetName val="[입찰안_xls][입찰안_xls][입찰안_xls]B197"/>
      <sheetName val="[입찰안_xls][입찰안_xls][입찰안_xls]B198"/>
      <sheetName val="[입찰안_xls][입찰안_xls][입찰안_xls]B199"/>
      <sheetName val="[입찰안_xls][입찰안_xls][입찰안_xls]_105"/>
      <sheetName val="[입찰안_xls][입찰안_xls][입찰안_xls]B200"/>
      <sheetName val="[입찰안_xls][입찰안_xls][입찰안_xls]_106"/>
      <sheetName val="[입찰안_xls][입찰안_xls][입찰안_xls]_107"/>
      <sheetName val="Requirement(Work_Crew)"/>
      <sheetName val="TOWER_12TON1"/>
      <sheetName val="노_표-조"/>
      <sheetName val="공사투입계획(변경결의)19_91"/>
      <sheetName val="노무비_월별지급현황19_91"/>
      <sheetName val="갑지(외주기성)19_91"/>
      <sheetName val="노임단가_및_기계경비1"/>
      <sheetName val="[입찰안_xls][입찰안_xls][입찰안_xls]_155"/>
      <sheetName val="[입찰안_xls][입찰안_xls][입찰안_xls]_152"/>
      <sheetName val="[입찰안_xls][입찰안_xls][입찰안_xls]_150"/>
      <sheetName val="plan&amp;section_of勉Ԁ"/>
      <sheetName val="[입찰안_xls][입찰안_xls][입찰안_xls]_108"/>
      <sheetName val="[입찰안_xls][입찰안_xls][입찰안_xls]_109"/>
      <sheetName val="[입찰안_xls][입찰안_xls][입찰안_xls]_110"/>
      <sheetName val="[입찰안_xls][입찰안_xls][입찰안_xls]_111"/>
      <sheetName val="[입찰안_xls][입찰안_xls][입찰안_xls]___8"/>
      <sheetName val="[입찰안_xls][입찰안_xls][입찰안_xls]_112"/>
      <sheetName val="[입찰안_xls][입찰안_xls][입찰안_xls]_113"/>
      <sheetName val="[입찰안_xls][입찰안_xls][입찰안_xls]_114"/>
      <sheetName val="[입찰안_xls][입찰안_xls][입찰안_xls]_115"/>
      <sheetName val="[입찰안_xls][입찰안_xls][입찰안_xls]_116"/>
      <sheetName val="[입찰안_xls][입찰안_xls][입찰안_xls]_117"/>
      <sheetName val="[입찰안_xls][입찰안_xls][입찰안_xls]_118"/>
      <sheetName val="[입찰안_xls][입찰안_xls][입찰안_xls]_119"/>
      <sheetName val="사__업__비__수__지__예__산__서"/>
      <sheetName val="[입찰안_xls][입찰안_xls][입찰안_xls]_148"/>
      <sheetName val="General_Data"/>
      <sheetName val="[입찰안_xls][입찰안_xls][입찰안_xls]_120"/>
      <sheetName val="[입찰안_xls][입찰안_xls][입찰안_xls]_121"/>
      <sheetName val="[입찰안_xls][입찰안_xls][입찰안_xls]_122"/>
      <sheetName val="[입찰안_xls][입찰안_xls][입찰안_xls]_123"/>
      <sheetName val="[입찰안_xls][입찰안_xls][입찰안_xls]_124"/>
      <sheetName val="[입찰안_xls][입찰안_xls][입찰안_xls]_125"/>
      <sheetName val="[입찰안_xls][입찰안_xls][입찰안_xls]_126"/>
      <sheetName val="[입찰안_xls][입찰안_xls][입찰안_xls]_132"/>
      <sheetName val="[입찰안_xls][입찰안_xls][입찰안_xls]_127"/>
      <sheetName val="[입찰안_xls][입찰안_xls][입찰안_xls]_128"/>
      <sheetName val="[입찰안_xls][입찰안_xls][입찰안_xls]_129"/>
      <sheetName val="[입찰안_xls][입찰안_xls][입찰안_xls]_130"/>
      <sheetName val="[입찰안_xls][입찰안_xls][입찰안_xls]_131"/>
      <sheetName val="[입찰안_xls][입찰안_xls][입찰안_xls]_133"/>
      <sheetName val="[입찰안_xls][입찰안_xls][입찰안_xls]_134"/>
      <sheetName val="[입찰안_xls][입찰안_xls][입찰안_xls]_135"/>
      <sheetName val="[입찰안_xls][입찰안_xls][입찰안_xls]_136"/>
      <sheetName val="[입찰안_xls][입찰안_xls][입찰안_xls]_137"/>
      <sheetName val="[입찰안_xls][입찰안_xls][입찰안_xls]_138"/>
      <sheetName val="[입찰안_xls][입찰안_xls][입찰안_xls]_139"/>
      <sheetName val="[입찰안_xls][입찰안_xls][입찰안_xls]_140"/>
      <sheetName val="[입찰안_xls][입찰안_xls][입찰안_xls]_141"/>
      <sheetName val="[입찰안_xls][입찰안_xls][입찰안_xls]_142"/>
      <sheetName val="[입찰안_xls][입찰안_xls][입찰안_xls]_143"/>
      <sheetName val="[입찰안_xls][입찰안_xls][입찰안_xls]_144"/>
      <sheetName val="[입찰안_xls][입찰안_xls][입찰안_xls]_145"/>
      <sheetName val="[입찰안_xls][입찰안_xls][입찰안_xls]_146"/>
      <sheetName val="[입찰안_xls][입찰안_xls][입찰안_xls]_147"/>
      <sheetName val="[입찰안_xls][입찰안_xls][입찰안_xls]_149"/>
      <sheetName val="[입찰안_xls][입찰안_xls][입찰안_xls]_151"/>
      <sheetName val="[입찰안_xls][입찰안_xls][입찰안_xls]_153"/>
      <sheetName val="[입찰안_xls][입찰안_xls][입찰안_xls]_154"/>
      <sheetName val="[입찰안_xls][입찰안_xls][입찰안_xls]_156"/>
      <sheetName val="[입찰안_xls][입찰안_xls][입찰안_xls]_157"/>
      <sheetName val="[입찰안_xls][입찰안_xls][입찰안_xls]_158"/>
      <sheetName val="[입찰안_xls][입찰안_xls][입찰안_xls]_159"/>
      <sheetName val="[입찰안_xls][입찰안_xls][입찰안_xls]_160"/>
      <sheetName val="[입찰안_xls][입찰안_xls][입찰안_xls]_161"/>
      <sheetName val="[입찰안_xls][입찰안_xls][입찰안_xls]_162"/>
      <sheetName val="[입찰안_xls][입찰안_xls][입찰안_xls]_163"/>
      <sheetName val="[입찰안_xls][입찰안_xls][입찰안_xls]_164"/>
      <sheetName val="[입찰안_xls][입찰안_xls][입찰안_xls]_165"/>
      <sheetName val="[입찰안_xls][입찰안_xls][입찰안_xls]_166"/>
      <sheetName val="[입찰안_xls][입찰안_xls][입찰안_xls]_167"/>
      <sheetName val="[입찰안_xls][입찰안_xls][입찰안_xls]_168"/>
      <sheetName val="[입찰안_xls][입찰안_xls][입찰안_xls]_169"/>
      <sheetName val="[입찰안_xls][입찰안_xls][입찰안_xls]_170"/>
      <sheetName val="[입찰안_xls][입찰안_xls][입찰안_xls]_171"/>
      <sheetName val="[입찰안_xls][입찰안_xls][입찰안_xls]_172"/>
      <sheetName val="[입찰안_xls][입찰안_xls][입찰안_xls]_173"/>
      <sheetName val="[입찰안_xls][입찰안_xls][입찰안_xls]_174"/>
      <sheetName val="[입찰안_xls][입찰안_xls][입찰안_xls]_175"/>
      <sheetName val="[입찰안_xls][입찰안_xls][입찰안_xls]_176"/>
      <sheetName val="[입찰안_xls][입찰안_xls][입찰안_xls]_177"/>
      <sheetName val="[입찰안_xls][입찰안_xls][입찰안_xls]_178"/>
      <sheetName val="[입찰안_xls][입찰안_xls][입찰안_xls]_179"/>
      <sheetName val="[입찰안_xls][입찰안_xls][입찰안_xls]_180"/>
      <sheetName val="[입찰안_xls][입찰안_xls][입찰안_xls]_184"/>
      <sheetName val="[입찰안_xls][입찰안_xls][입찰안_xls]_181"/>
      <sheetName val="[입찰안_xls][입찰안_xls][입찰안_xls]_182"/>
      <sheetName val="[입찰안_xls][입찰안_xls][입찰안_xls]_183"/>
      <sheetName val="[입찰안_xls][입찰안_xls][입찰안_xls]_185"/>
      <sheetName val="[입찰안_xls][입찰안_xls][입찰안_xls]_186"/>
      <sheetName val="[입찰안_xls][입찰안_xls][입찰안_xls]_187"/>
      <sheetName val="[입찰안_xls][입찰안_xls][입찰안_xls]_188"/>
      <sheetName val="[입찰안_xls][입찰안_xls][입찰안_xls]_189"/>
      <sheetName val="[입찰안_xls][입찰안_xls][입찰안_xls]_190"/>
      <sheetName val="[입찰안_xls][입찰안_xls][입찰안_xls]_191"/>
      <sheetName val="[입찰안_xls][입찰안_xls][입찰안_xls]_193"/>
      <sheetName val="[입찰안_xls][입찰안_xls][입찰안_xls]_192"/>
      <sheetName val="[입찰안_xls][입찰안_xls][입찰안_xls]_195"/>
      <sheetName val="[입찰안_xls][입찰안_xls][입찰안_xls]_196"/>
      <sheetName val="[입찰안_xls][입찰안_xls][입찰안_xls]_194"/>
      <sheetName val="[입찰안_xls][입찰안_xls][입찰안_xls]_197"/>
      <sheetName val="[입찰안_xls][입찰안_xls][입찰안_xls]_198"/>
      <sheetName val="[입찰안_xls][입찰안_xls][입찰안_xls]_199"/>
      <sheetName val="[입찰안_xls][입찰안_xls][입찰안_xls]_200"/>
      <sheetName val="[입찰안_xls][입찰안_xls][입찰안_xls]_201"/>
      <sheetName val="[입찰안_xls][입찰안_xls][입찰안_xls]_202"/>
      <sheetName val="[입찰안_xls][입찰안_xls][입찰안_xls]_203"/>
      <sheetName val="[입찰안_xls][입찰안_xls][입찰안_xls]_204"/>
      <sheetName val="[입찰안_xls][입찰안_xls][입찰안_xls]_205"/>
      <sheetName val="[입찰안_xls][입찰안_xls][입찰안_xls]_206"/>
      <sheetName val="[입찰안_xls][입찰안_xls][입찰안_xls]_207"/>
      <sheetName val="[입찰안_xls][입찰안_xls][입찰안_xls]_208"/>
      <sheetName val="[입찰안_xls][입찰안_xls][입찰안_xls]_209"/>
      <sheetName val="[입찰안_xls][입찰안_xls][입찰안_xls]_210"/>
      <sheetName val="[입찰안_xls][입찰안_xls][입찰안_xls]_211"/>
      <sheetName val="[입찰안_xls][입찰안_xls][입찰안_xls]_212"/>
      <sheetName val="[입찰안_xls][입찰안_xls][입찰안_xls]_213"/>
      <sheetName val="stability䘢䠂檱䠛檳"/>
      <sheetName val="[입찰안_xls][입찰안_xls][입찰안_xls]_214"/>
      <sheetName val="Sheet2_(2)"/>
      <sheetName val="[입찰안_xls][입찰안_xls][입찰안_xls]_215"/>
      <sheetName val="[입찰안_xls][입찰안_xls][입찰안_xls]_216"/>
      <sheetName val="[입찰안_xls][입찰안_xls][입찰안_xls]_217"/>
      <sheetName val="[입찰안_xls][입찰안_xls][입찰안_xls]_218"/>
      <sheetName val="[입찰안_xls][입찰안_xls][입찰안_xls]_219"/>
      <sheetName val="[입찰안_xls][입찰안_xls][입찰안_xls]_220"/>
      <sheetName val="[입찰안_xls][입찰안_xls][입찰안_xls]_221"/>
      <sheetName val="[입찰안_xls][입찰안_xls][입찰안_xls]_222"/>
      <sheetName val="[입찰안_xls][입찰안_xls][입찰안_xls]_223"/>
      <sheetName val="수량산출서집²_x0000_㘀_x0000__x0000__x0000__x0000_"/>
      <sheetName val="[입찰안.xls][입찰안.xls][입찰안.xls]_837"/>
      <sheetName val="중뀀"/>
      <sheetName val="일위대¼_x0000__x0000__x0000__x0000_"/>
      <sheetName val="[입찰안.xls][입찰안.xls][입찰안.xls]_841"/>
      <sheetName val="[입찰안.xls][입찰안.xls][입찰안.xls]_838"/>
      <sheetName val="[입찰안.xls][입찰안.xls][입찰안.xls]_839"/>
      <sheetName val="[입찰안.xls][입찰안.xls][입찰안.xls]_840"/>
      <sheetName val="[입찰안.xls][입찰안.xls][입찰안.xls]_842"/>
      <sheetName val="[입찰안.xls][입찰안.xls][입찰안.xls]_845"/>
      <sheetName val="[입찰안.xls][입찰안.xls][입찰안.xls]_843"/>
      <sheetName val="[입찰안.xls][입찰안.xls][입찰안.xls]_844"/>
      <sheetName val="[입찰안.xls][입찰안.xls][입찰안.xls]_847"/>
      <sheetName val="[입찰안.xls][입찰안.xls][입찰안.xls]_846"/>
      <sheetName val="[입찰안.xls][입찰안.xls][입찰안.xls]_848"/>
      <sheetName val="[입찰안.xls][입찰안.xls][입찰안.xls]_849"/>
      <sheetName val="[입찰안.xls][입찰안.xls][입찰안.xls]_850"/>
      <sheetName val="[입찰안.xls][입찰안.xls][입찰안.xls]_851"/>
      <sheetName val="[입찰안.xls][입찰안.xls][입찰안.xls]_853"/>
      <sheetName val="[입찰안.xls][입찰안.xls][입찰안.xls]_852"/>
      <sheetName val="제잡비 산출내역(실적공사비)"/>
      <sheetName val="XXXXXX"/>
      <sheetName val="시중노羄9臈"/>
      <sheetName val="시중노忕き_x0005_"/>
      <sheetName val="[입찰안.xls][입찰안.xls][입찰안.xls]_859"/>
      <sheetName val="[입찰안.xls][입찰안.xls][입찰안.xls]_860"/>
      <sheetName val="[입찰안.xls][입찰안.xls][입찰안.xls]_858"/>
      <sheetName val="[입찰안.xls][입찰안.xls][입찰안.xls]_854"/>
      <sheetName val="[입찰안.xls][입찰안.xls][입찰안.xls]_855"/>
      <sheetName val="[입찰안.xls][입찰안.xls][입찰안.xls]_856"/>
      <sheetName val="[입찰안.xls][입찰안.xls][입찰안.xls]_857"/>
      <sheetName val="[입찰안.xls][입찰안.xls][입찰안.xls]_861"/>
      <sheetName val="[입찰안.xls][입찰안.xls][입찰안.xls]_862"/>
      <sheetName val="[입찰안.xls][입찰안.xls][입찰안.xls]_865"/>
      <sheetName val="[입찰안.xls][입찰안.xls][입찰안.xls]_866"/>
      <sheetName val="[입찰안.xls][입찰안.xls][입찰안.xls]_863"/>
      <sheetName val="[입찰안.xls][입찰안.xls][입찰안.xls]_867"/>
      <sheetName val="[입찰안.xls][입찰안.xls][입찰안.xls]_864"/>
      <sheetName val="[입찰안.xls][입찰안.xls][입찰안.xls]_868"/>
      <sheetName val="[입찰안.xls][입찰안.xls][입찰안.xls]_869"/>
      <sheetName val="[입찰안.xls][입찰안.xls]_____xls_1273"/>
      <sheetName val="[입찰안.xls][입찰안.xls]_____xls_1268"/>
      <sheetName val="[입찰안.xls][입찰안.xls]_____xls_1271"/>
      <sheetName val="이름표"/>
      <sheetName val="물건조서"/>
      <sheetName val="콤보박스와 리스트박스의 연결"/>
      <sheetName val="[입찰안.xls][입찰안.xls]_____xls_1263"/>
      <sheetName val="[입찰안.xls][입찰안.xls]_____xls_1265"/>
      <sheetName val="[입찰안.xls][입찰안.xls]_____xls_1264"/>
      <sheetName val="6__안전_x0000_䶁_x0000_"/>
      <sheetName val="수문일위1"/>
      <sheetName val="집계장(Â_x0000_Ԁ_x0000_怀㲨"/>
      <sheetName val="내역서을"/>
      <sheetName val="Cash"/>
      <sheetName val="6-1.Summary Of Cost"/>
      <sheetName val="6-2.In-Direct Cost"/>
      <sheetName val="6-3.EQ Cost"/>
      <sheetName val="6-4-1.MP Status(107,125,12)"/>
      <sheetName val="6-4-2.MP Status(144)"/>
      <sheetName val="6-5-1.EQ Status(107,125,12)"/>
      <sheetName val="6-5-2.EQ Status(144)"/>
      <sheetName val="6-6.Agree.Other&amp;Expanse.(Att.1)"/>
      <sheetName val="6-7.EQ Apply"/>
      <sheetName val="제출&lt;--------&gt;참조"/>
      <sheetName val="MP U107,125,12"/>
      <sheetName val="MP U144"/>
      <sheetName val="EQ U107,125,12"/>
      <sheetName val="EQ U144"/>
      <sheetName val="Agrement Day W.Cost"/>
      <sheetName val="Agrement Day EQ Cost"/>
      <sheetName val="Indirect Cost"/>
      <sheetName val="공종코드"/>
      <sheetName val="BD"/>
      <sheetName val="로더"/>
      <sheetName val="그레이더"/>
      <sheetName val="제요율표"/>
      <sheetName val="DT"/>
      <sheetName val="롤러"/>
      <sheetName val="BH"/>
      <sheetName val="BD운반거리"/>
      <sheetName val="디젤파일해머"/>
      <sheetName val="인력터파기품"/>
      <sheetName val="+-"/>
      <sheetName val="원가집계"/>
      <sheetName val="협가표"/>
      <sheetName val="CF"/>
      <sheetName val="음료실행"/>
      <sheetName val="견적을지"/>
      <sheetName val="제조원가"/>
      <sheetName val="Khoi_luong"/>
      <sheetName val="_입찰안_xls__입찰안_xls__입찰안_xls____2"/>
      <sheetName val="_입찰안_xls__입찰안_xls__입찰안_xls____3"/>
      <sheetName val="DTICH_(Full)"/>
      <sheetName val="sh1"/>
      <sheetName val="TONG HOP GIA TRI"/>
      <sheetName val="CHITIET VL-NC-TT -1p"/>
      <sheetName val="CHITIET VL-NC-TT-3p"/>
      <sheetName val="TONG HOP VL-NC TT"/>
      <sheetName val="TDTKP1"/>
      <sheetName val="KPVC-BD "/>
      <sheetName val="GIAVLIEU"/>
      <sheetName val="[입찰안.xls][입찰안.xls]_____xls_1221"/>
      <sheetName val="[입찰안.xls][입찰안.xls]_____xls_1054"/>
      <sheetName val="[입찰안.xls][입찰안.xls]_____xls_1056"/>
      <sheetName val="[입찰안.xls][입찰안.xls]_____xls_1055"/>
      <sheetName val="[입찰안.xls][입찰안.xls][입찰안.xls]_886"/>
      <sheetName val="[입찰안.xls][입찰안.xls][입찰안.xls]_870"/>
      <sheetName val="[입찰안.xls][입찰안.xls][입찰안.xls]_871"/>
      <sheetName val="[입찰안.xls][입찰안.xls][입찰안.xls]_872"/>
      <sheetName val="[입찰안.xls][입찰안.xls][입찰안.xls]_873"/>
      <sheetName val="[입찰안.xls][입찰안.xls][입찰안.xls]_874"/>
      <sheetName val="[입찰안.xls][입찰안.xls][입찰안.xls]_895"/>
      <sheetName val="[입찰안.xls][입찰안.xls][입찰안.xls]_894"/>
      <sheetName val="[입찰안.xls][입찰안.xls][입찰안.xls]_875"/>
      <sheetName val="[입찰안.xls][입찰안.xls][입찰안.xls]_876"/>
      <sheetName val="[입찰안.xls][입찰안.xls][입찰안.xls]_877"/>
      <sheetName val="[입찰안.xls][입찰안.xls][입찰안.xls]_878"/>
      <sheetName val="[입찰안.xls][입찰안.xls][입찰안.xls]_879"/>
      <sheetName val="[입찰안.xls][입찰안.xls][입찰안.xls]_880"/>
      <sheetName val="[입찰안.xls][입찰안.xls][입찰안.xls]_881"/>
      <sheetName val="[입찰안.xls][입찰안.xls][입찰안.xls]_882"/>
      <sheetName val="[입찰안.xls][입찰안.xls][입찰안.xls]_883"/>
      <sheetName val="[입찰안.xls][입찰안.xls][입찰안.xls]_884"/>
      <sheetName val="[입찰안.xls][입찰안.xls][입찰안.xls]_885"/>
      <sheetName val="[입찰안.xls][입찰안.xls][입찰안.xls]_887"/>
      <sheetName val="[입찰안.xls][입찰안.xls][입찰안.xls]_889"/>
      <sheetName val="[입찰안.xls][입찰안.xls][입찰안.xls]_888"/>
      <sheetName val="[입찰안.xls][입찰안.xls][입찰안.xls]_890"/>
      <sheetName val="[입찰안.xls][입찰안.xls][입찰안.xls]_891"/>
      <sheetName val="[입찰안.xls][입찰안.xls][입찰안.xls]_892"/>
      <sheetName val="[입찰안.xls][입찰안.xls][입찰안.xls]_893"/>
      <sheetName val="[입찰안.xls][입찰안.xls][입찰안.xls]_908"/>
      <sheetName val="[입찰안.xls][입찰안.xls][입찰안.xls]_899"/>
      <sheetName val="[입찰안.xls][입찰안.xls][입찰안.xls]_896"/>
      <sheetName val="[입찰안.xls][입찰안.xls][입찰안.xls]_897"/>
      <sheetName val="[입찰안.xls][입찰안.xls][입찰안.xls]_898"/>
      <sheetName val="[입찰안.xls][입찰안.xls][입찰안.xls]_959"/>
      <sheetName val="[입찰안.xls][입찰안.xls][입찰안.xls]_950"/>
      <sheetName val="[입찰안.xls][입찰안.xls][입찰안.xls]_900"/>
      <sheetName val="[입찰안.xls][입찰안.xls][입찰안.xls]_902"/>
      <sheetName val="[입찰안.xls][입찰안.xls][입찰안.xls]_901"/>
      <sheetName val="[입찰안.xls][입찰안.xls][입찰안.xls]_906"/>
      <sheetName val="[입찰안.xls][입찰안.xls][입찰안.xls]_905"/>
      <sheetName val="[입찰안.xls][입찰안.xls][입찰안.xls]_903"/>
      <sheetName val="[입찰안.xls][입찰안.xls][입찰안.xls]_904"/>
      <sheetName val="[입찰안.xls][입찰안.xls][입찰안.xls]_907"/>
      <sheetName val="[입찰안.xls][입찰안.xls][입찰안.xls]_939"/>
      <sheetName val="[입찰안.xls][입찰안.xls][입찰안.xls]_921"/>
      <sheetName val="[입찰안.xls][입찰안.xls][입찰안.xls]_912"/>
      <sheetName val="[입찰안.xls][입찰안.xls][입찰안.xls]_911"/>
      <sheetName val="[입찰안.xls][입찰안.xls][입찰안.xls]_909"/>
      <sheetName val="[입찰안.xls][입찰안.xls][입찰안.xls]_910"/>
      <sheetName val="[입찰안.xls][입찰안.xls][입찰안.xls]_914"/>
      <sheetName val="[입찰안.xls][입찰안.xls][입찰안.xls]_913"/>
      <sheetName val="[입찰안.xls][입찰안.xls][입찰안.xls]_915"/>
      <sheetName val="[입찰안.xls][입찰안.xls][입찰안.xls]_916"/>
      <sheetName val="[입찰안.xls][입찰안.xls][입찰안.xls]_917"/>
      <sheetName val="[입찰안.xls][입찰안.xls][입찰안.xls]_918"/>
      <sheetName val="[입찰안.xls][입찰안.xls][입찰안.xls]_919"/>
      <sheetName val="[입찰안.xls][입찰안.xls][입찰안.xls]_920"/>
      <sheetName val="[입찰안.xls][입찰안.xls][입찰안.xls]_922"/>
      <sheetName val="[입찰안.xls][입찰안.xls][입찰안.xls]_928"/>
      <sheetName val="[입찰안.xls][입찰안.xls][입찰안.xls]_926"/>
      <sheetName val="[입찰안.xls][입찰안.xls][입찰안.xls]_924"/>
      <sheetName val="[입찰안.xls][입찰안.xls][입찰안.xls]_923"/>
      <sheetName val="[입찰안.xls][입찰안.xls][입찰안.xls]_925"/>
      <sheetName val="[입찰안.xls][입찰안.xls][입찰안.xls]_927"/>
      <sheetName val="[입찰안.xls][입찰안.xls][입찰안.xls]_929"/>
      <sheetName val="[입찰안.xls][입찰안.xls][입찰안.xls]_930"/>
      <sheetName val="[입찰안.xls][입찰안.xls][입찰안.xls]_933"/>
      <sheetName val="[입찰안.xls][입찰안.xls][입찰안.xls]_931"/>
      <sheetName val="[입찰안.xls][입찰안.xls][입찰안.xls]_932"/>
      <sheetName val="[입찰안.xls][입찰안.xls][입찰안.xls]_934"/>
      <sheetName val="[입찰안.xls][입찰안.xls][입찰안.xls]_937"/>
      <sheetName val="[입찰안.xls][입찰안.xls][입찰안.xls]_935"/>
      <sheetName val="[입찰안.xls][입찰안.xls][입찰안.xls]_936"/>
      <sheetName val="[입찰안.xls][입찰안.xls][입찰안.xls]_938"/>
      <sheetName val="[입찰안.xls][입찰안.xls][입찰안.xls]_940"/>
      <sheetName val="[입찰안.xls][입찰안.xls][입찰안.xls]_941"/>
      <sheetName val="[입찰안.xls][입찰안.xls][입찰안.xls]_942"/>
      <sheetName val="[입찰안.xls][입찰안.xls][입찰안.xls]_944"/>
      <sheetName val="[입찰안.xls][입찰안.xls][입찰안.xls]_943"/>
      <sheetName val="[입찰안.xls][입찰안.xls][입찰안.xls]_945"/>
      <sheetName val="[입찰안.xls][입찰안.xls][입찰안.xls]_946"/>
      <sheetName val="[입찰안.xls][입찰안.xls][입찰안.xls]_947"/>
      <sheetName val="[입찰안.xls][입찰안.xls][입찰안.xls]_948"/>
      <sheetName val="[입찰안.xls][입찰안.xls][입찰안.xls]_949"/>
      <sheetName val="[입찰안.xls][입찰안.xls][입찰안.xls]_954"/>
      <sheetName val="[입찰안.xls][입찰안.xls][입찰안.xls]_953"/>
      <sheetName val="[입찰안.xls][입찰안.xls][입찰안.xls]_952"/>
      <sheetName val="[입찰안.xls][입찰안.xls][입찰안.xls]_951"/>
      <sheetName val="[입찰안.xls][입찰안.xls][입찰안.xls]_956"/>
      <sheetName val="[입찰안.xls][입찰안.xls][입찰안.xls]_955"/>
      <sheetName val="[입찰안.xls][입찰안.xls][입찰안.xls]_957"/>
      <sheetName val="[입찰안.xls][입찰안.xls][입찰안.xls]_958"/>
      <sheetName val="[입찰안.xls][입찰안.xls][입찰안.xls]_962"/>
      <sheetName val="[입찰안.xls][입찰안.xls][입찰안.xls]_969"/>
      <sheetName val="[입찰안.xls][입찰안.xls][입찰안.xls]_960"/>
      <sheetName val="[입찰안.xls][입찰안.xls][입찰안.xls]_961"/>
      <sheetName val="[입찰안.xls][입찰안.xls][입찰안.xls]_963"/>
      <sheetName val="[입찰안.xls][입찰안.xls][입찰안.xls]_972"/>
      <sheetName val="[입찰안.xls][입찰안.xls][입찰안.xls]_964"/>
      <sheetName val="[입찰안.xls][입찰안.xls][입찰안.xls]_965"/>
      <sheetName val="[입찰안.xls][입찰안.xls][입찰안.xls]_967"/>
      <sheetName val="[입찰안.xls][입찰안.xls][입찰안.xls]_966"/>
      <sheetName val="[입찰안.xls][입찰안.xls][입찰안.xls]_968"/>
      <sheetName val="[입찰안.xls][입찰안.xls][입찰안.xls]_975"/>
      <sheetName val="[입찰안.xls][입찰안.xls][입찰안.xls]_976"/>
      <sheetName val="[입찰안.xls][입찰안.xls][입찰안.xls]_970"/>
      <sheetName val="[입찰안.xls][입찰안.xls][입찰안.xls]_971"/>
      <sheetName val="[입찰안.xls][입찰안.xls][입찰안.xls]_973"/>
      <sheetName val="[입찰안.xls][입찰안.xls][입찰안.xls]_974"/>
      <sheetName val="[입찰안.xls][입찰안.xls][입찰안.xls]_978"/>
      <sheetName val="[입찰안.xls][입찰안.xls][입찰안.xls]_977"/>
      <sheetName val="[입찰안.xls][입찰안.xls][입찰안.xls]_985"/>
      <sheetName val="[입찰안.xls][입찰안.xls][입찰안.xls]_979"/>
      <sheetName val="[입찰안.xls][입찰안.xls][입찰안.xls]_997"/>
      <sheetName val="[입찰안.xls][입찰안.xls][입찰안.xls]_980"/>
      <sheetName val="[입찰안.xls][입찰안.xls][입찰안.xls]_981"/>
      <sheetName val="[입찰안.xls][입찰안.xls][입찰안.xls]_982"/>
      <sheetName val="[입찰안.xls][입찰안.xls][입찰안.xls]_983"/>
      <sheetName val="[입찰안.xls][입찰안.xls][입찰안.xls]_984"/>
      <sheetName val="[입찰안.xls][입찰안.xls][입찰안.xls]_986"/>
      <sheetName val="[입찰안.xls][입찰안.xls][입찰안.xls]_987"/>
      <sheetName val="[입찰안.xls][입찰안.xls][입찰안.xls]_988"/>
      <sheetName val="[입찰안.xls][입찰안.xls][입찰안.xls]_989"/>
      <sheetName val="[입찰안.xls][입찰안.xls]_____xls_1006"/>
      <sheetName val="[입찰안.xls][입찰안.xls][입찰안.xls]_990"/>
      <sheetName val="[입찰안.xls][입찰안.xls][입찰안.xls]_991"/>
      <sheetName val="[입찰안.xls][입찰안.xls][입찰안.xls]_992"/>
      <sheetName val="[입찰안.xls][입찰안.xls][입찰안.xls]_994"/>
      <sheetName val="[입찰안.xls][입찰안.xls][입찰안.xls]_993"/>
      <sheetName val="[입찰안.xls][입찰안.xls][입찰안.xls]_995"/>
      <sheetName val="[입찰안.xls][입찰안.xls][입찰안.xls]_996"/>
      <sheetName val="[입찰안.xls][입찰안.xls]_____xls_1001"/>
      <sheetName val="[입찰안.xls][입찰안.xls][입찰안.xls]_998"/>
      <sheetName val="[입찰안.xls][입찰안.xls][입찰안.xls]_999"/>
      <sheetName val="[입찰안.xls][입찰안.xls]_____xls_1000"/>
      <sheetName val="[입찰안.xls][입찰안.xls]_____xls_1005"/>
      <sheetName val="[입찰안.xls][입찰안.xls]_____xls_1002"/>
      <sheetName val="[입찰안.xls][입찰안.xls]_____xls_1003"/>
      <sheetName val="[입찰안.xls][입찰안.xls]_____xls_1004"/>
      <sheetName val="[입찰안.xls][입찰안.xls]_____xls_1024"/>
      <sheetName val="[입찰안.xls][입찰안.xls]_____xls_1007"/>
      <sheetName val="[입찰안.xls][입찰안.xls]_____xls_1016"/>
      <sheetName val="[입찰안.xls][입찰안.xls]_____xls_1008"/>
      <sheetName val="[입찰안.xls][입찰안.xls]_____xls_1019"/>
      <sheetName val="[입찰안.xls][입찰안.xls]_____xls_1009"/>
      <sheetName val="[입찰안.xls][입찰안.xls]_____xls_1010"/>
      <sheetName val="[입찰안.xls][입찰안.xls]_____xls_1015"/>
      <sheetName val="[입찰안.xls][입찰안.xls]_____xls_1012"/>
      <sheetName val="[입찰안.xls][입찰안.xls]_____xls_1011"/>
      <sheetName val="[입찰안.xls][입찰안.xls]_____xls_1014"/>
      <sheetName val="[입찰안.xls][입찰안.xls]_____xls_1013"/>
      <sheetName val="[입찰안.xls][입찰안.xls]_____xls_1017"/>
      <sheetName val="[입찰안.xls][입찰안.xls]_____xls_1018"/>
      <sheetName val="[입찰안.xls][입찰안.xls]_____xls_1023"/>
      <sheetName val="[입찰안.xls][입찰안.xls]_____xls_1020"/>
      <sheetName val="[입찰안.xls][입찰안.xls]_____xls_1021"/>
      <sheetName val="[입찰안.xls][입찰안.xls]_____xls_1022"/>
      <sheetName val="[입찰안.xls][입찰안.xls]_____xls_1025"/>
      <sheetName val="[입찰안.xls][입찰안.xls]_____xls_1031"/>
      <sheetName val="[입찰안.xls][입찰안.xls]_____xls_1032"/>
      <sheetName val="[입찰안.xls][입찰안.xls]_____xls_1026"/>
      <sheetName val="[입찰안.xls][입찰안.xls]_____xls_1028"/>
      <sheetName val="[입찰안.xls][입찰안.xls]_____xls_1027"/>
      <sheetName val="[입찰안.xls][입찰안.xls]_____xls_1030"/>
      <sheetName val="[입찰안.xls][입찰안.xls]_____xls_1029"/>
      <sheetName val="[입찰안.xls][입찰안.xls]_____xls_1037"/>
      <sheetName val="[입찰안.xls][입찰안.xls]_____xls_1033"/>
      <sheetName val="[입찰안.xls][입찰안.xls]_____xls_1036"/>
      <sheetName val="[입찰안.xls][입찰안.xls]_____xls_1034"/>
      <sheetName val="[입찰안.xls][입찰안.xls]_____xls_1035"/>
      <sheetName val="[입찰안.xls][입찰안.xls]_____xls_1049"/>
      <sheetName val="[입찰안.xls][입찰안.xls]_____xls_1038"/>
      <sheetName val="[입찰안.xls][입찰안.xls]_____xls_1050"/>
      <sheetName val="[입찰안.xls][입찰안.xls]_____xls_1039"/>
      <sheetName val="[입찰안.xls][입찰안.xls]_____xls_1042"/>
      <sheetName val="[입찰안.xls][입찰안.xls]_____xls_1040"/>
      <sheetName val="[입찰안.xls][입찰안.xls]_____xls_1041"/>
      <sheetName val="[입찰안.xls][입찰안.xls]_____xls_1045"/>
      <sheetName val="[입찰안.xls][입찰안.xls]_____xls_1043"/>
      <sheetName val="[입찰안.xls][입찰안.xls]_____xls_1044"/>
      <sheetName val="[입찰안.xls][입찰안.xls]_____xls_1046"/>
      <sheetName val="[입찰안.xls][입찰안.xls]_____xls_1047"/>
      <sheetName val="[입찰안.xls][입찰안.xls]_____xls_1048"/>
      <sheetName val="[입찰안.xls][입찰안.xls]_____xls_1053"/>
      <sheetName val="[입찰안.xls][입찰안.xls]_____xls_1052"/>
      <sheetName val="[입찰안.xls][입찰안.xls]_____xls_1051"/>
      <sheetName val="[입찰안.xls][입찰안.xls]_____xls_1058"/>
      <sheetName val="[입찰안.xls][입찰안.xls]_____xls_1060"/>
      <sheetName val="[입찰안.xls][입찰안.xls]_____xls_1059"/>
      <sheetName val="[입찰안.xls][입찰안.xls]_____xls_1057"/>
      <sheetName val="[입찰안.xls][입찰안.xls]_____xls_1061"/>
      <sheetName val="[입찰안.xls][입찰안.xls]_____xls_1216"/>
      <sheetName val="[입찰안.xls][입찰안.xls]_____xls_1218"/>
      <sheetName val="[입찰안.xls][입찰안.xls]_____xls_1217"/>
      <sheetName val="[입찰안.xls][입찰안.xls]_____xls_1063"/>
      <sheetName val="[입찰안.xls][입찰안.xls]_____xls_1062"/>
      <sheetName val="[입찰안.xls][입찰안.xls]_____xls_1066"/>
      <sheetName val="[입찰안.xls][입찰안.xls]_____xls_1064"/>
      <sheetName val="[입찰안.xls][입찰안.xls]_____xls_1065"/>
      <sheetName val="[입찰안.xls][입찰안.xls]_____xls_1068"/>
      <sheetName val="[입찰안.xls][입찰안.xls]_____xls_1094"/>
      <sheetName val="[입찰안.xls][입찰안.xls]_____xls_1067"/>
      <sheetName val="[입찰안.xls][입찰안.xls]_____xls_1069"/>
      <sheetName val="[입찰안.xls][입찰안.xls]_____xls_1072"/>
      <sheetName val="[입찰안.xls][입찰안.xls]_____xls_1071"/>
      <sheetName val="[입찰안.xls][입찰안.xls]_____xls_1070"/>
      <sheetName val="[입찰안.xls][입찰안.xls]_____xls_1074"/>
      <sheetName val="[입찰안.xls][입찰안.xls]_____xls_1073"/>
      <sheetName val="[입찰안.xls][입찰안.xls]_____xls_1075"/>
      <sheetName val="[입찰안.xls][입찰안.xls]_____xls_1076"/>
      <sheetName val="[입찰안.xls][입찰안.xls]_____xls_1079"/>
      <sheetName val="[입찰안.xls][입찰안.xls]_____xls_1078"/>
      <sheetName val="[입찰안.xls][입찰안.xls]_____xls_1077"/>
      <sheetName val="[입찰안.xls][입찰안.xls]_____xls_1080"/>
      <sheetName val="[입찰안.xls][입찰안.xls]_____xls_1081"/>
      <sheetName val="[입찰안.xls][입찰안.xls]_____xls_1083"/>
      <sheetName val="[입찰안.xls][입찰안.xls]_____xls_1082"/>
      <sheetName val="[입찰안.xls][입찰안.xls]_____xls_1086"/>
      <sheetName val="[입찰안.xls][입찰안.xls]_____xls_1084"/>
      <sheetName val="[입찰안.xls][입찰안.xls]_____xls_1085"/>
      <sheetName val="[입찰안.xls][입찰안.xls]_____xls_1088"/>
      <sheetName val="[입찰안.xls][입찰안.xls]_____xls_1089"/>
      <sheetName val="[입찰안.xls][입찰안.xls]_____xls_1087"/>
      <sheetName val="[입찰안.xls][입찰안.xls]_____xls_1095"/>
      <sheetName val="[입찰안.xls][입찰안.xls]_____xls_1090"/>
      <sheetName val="[입찰안.xls][입찰안.xls]_____xls_1091"/>
      <sheetName val="[입찰안.xls][입찰안.xls]_____xls_1092"/>
      <sheetName val="[입찰안.xls][입찰안.xls]_____xls_1093"/>
      <sheetName val="[입찰안.xls][입찰안.xls]_____xls_1115"/>
      <sheetName val="[입찰안.xls][입찰안.xls]_____xls_1096"/>
      <sheetName val="[입찰안.xls][입찰안.xls]_____xls_1097"/>
      <sheetName val="[입찰안.xls][입찰안.xls]_____xls_1098"/>
      <sheetName val="[입찰안.xls][입찰안.xls]_____xls_1099"/>
      <sheetName val="[입찰안.xls][입찰안.xls]_____xls_1100"/>
      <sheetName val="[입찰안.xls][입찰안.xls]_____xls_1101"/>
      <sheetName val="[입찰안.xls][입찰안.xls]_____xls_1102"/>
      <sheetName val="[입찰안.xls][입찰안.xls]_____xls_1103"/>
      <sheetName val="[입찰안.xls][입찰안.xls]_____xls_1104"/>
      <sheetName val="[입찰안.xls][입찰안.xls]_____xls_1105"/>
      <sheetName val="[입찰안.xls][입찰안.xls]_____xls_1106"/>
      <sheetName val="[입찰안.xls][입찰안.xls]_____xls_1107"/>
      <sheetName val="[입찰안.xls][입찰안.xls]_____xls_1112"/>
      <sheetName val="[입찰안.xls][입찰안.xls]_____xls_1108"/>
      <sheetName val="[입찰안.xls][입찰안.xls]_____xls_1110"/>
      <sheetName val="[입찰안.xls][입찰안.xls]_____xls_1109"/>
      <sheetName val="[입찰안.xls][입찰안.xls]_____xls_1111"/>
      <sheetName val="[입찰안.xls][입찰안.xls]_____xls_1113"/>
      <sheetName val="[입찰안.xls][입찰안.xls]_____xls_1114"/>
      <sheetName val="[입찰안.xls][입찰안.xls]_____xls_1147"/>
      <sheetName val="[입찰안.xls][입찰안.xls]_____xls_1135"/>
      <sheetName val="[입찰안.xls][입찰안.xls]_____xls_1130"/>
      <sheetName val="[입찰안.xls][입찰안.xls]_____xls_1118"/>
      <sheetName val="[입찰안.xls][입찰안.xls]_____xls_1116"/>
      <sheetName val="[입찰안.xls][입찰안.xls]_____xls_1117"/>
      <sheetName val="[입찰안.xls][입찰안.xls]_____xls_1119"/>
      <sheetName val="[입찰안.xls][입찰안.xls]_____xls_1120"/>
      <sheetName val="[입찰안.xls][입찰안.xls]_____xls_1121"/>
      <sheetName val="[입찰안.xls][입찰안.xls]_____xls_1122"/>
      <sheetName val="[입찰안.xls][입찰안.xls]_____xls_1123"/>
      <sheetName val="[입찰안.xls][입찰안.xls]_____xls_1124"/>
      <sheetName val="[입찰안.xls][입찰안.xls]_____xls_1125"/>
      <sheetName val="[입찰안.xls][입찰안.xls]_____xls_1126"/>
      <sheetName val="[입찰안.xls][입찰안.xls]_____xls_1127"/>
      <sheetName val="[입찰안.xls][입찰안.xls]_____xls_1128"/>
      <sheetName val="[입찰안.xls][입찰안.xls]_____xls_1129"/>
      <sheetName val="[입찰안.xls][입찰안.xls]_____xls_1131"/>
      <sheetName val="[입찰안.xls][입찰안.xls]_____xls_1132"/>
      <sheetName val="[입찰안.xls][입찰안.xls]_____xls_1134"/>
      <sheetName val="[입찰안.xls][입찰안.xls]_____xls_1133"/>
      <sheetName val="[입찰안.xls][입찰안.xls]_____xls_1146"/>
      <sheetName val="[입찰안.xls][입찰안.xls]_____xls_1140"/>
      <sheetName val="[입찰안.xls][입찰안.xls]_____xls_1136"/>
      <sheetName val="[입찰안.xls][입찰안.xls]_____xls_1137"/>
      <sheetName val="[입찰안.xls][입찰안.xls]_____xls_1138"/>
      <sheetName val="[입찰안.xls][입찰안.xls]_____xls_1139"/>
      <sheetName val="[입찰안.xls][입찰안.xls]_____xls_1141"/>
      <sheetName val="[입찰안.xls][입찰안.xls]_____xls_1142"/>
      <sheetName val="[입찰안.xls][입찰안.xls]_____xls_1143"/>
      <sheetName val="[입찰안.xls][입찰안.xls]_____xls_1144"/>
      <sheetName val="[입찰안.xls][입찰안.xls]_____xls_1145"/>
      <sheetName val="[입찰안.xls][입찰안.xls]_____xls_1166"/>
      <sheetName val="[입찰안.xls][입찰안.xls]_____xls_1149"/>
      <sheetName val="[입찰안.xls][입찰안.xls]_____xls_1148"/>
      <sheetName val="[입찰안.xls][입찰안.xls]_____xls_1154"/>
      <sheetName val="[입찰안.xls][입찰안.xls]_____xls_1150"/>
      <sheetName val="[입찰안.xls][입찰안.xls]_____xls_1152"/>
      <sheetName val="[입찰안.xls][입찰안.xls]_____xls_1151"/>
      <sheetName val="[입찰안.xls][입찰안.xls]_____xls_1153"/>
      <sheetName val="[입찰안.xls][입찰안.xls]_____xls_1155"/>
      <sheetName val="[입찰안.xls][입찰안.xls]_____xls_1156"/>
      <sheetName val="[입찰안.xls][입찰안.xls]_____xls_1157"/>
      <sheetName val="[입찰안.xls][입찰안.xls]_____xls_1158"/>
      <sheetName val="[입찰안.xls][입찰안.xls]_____xls_1159"/>
      <sheetName val="[입찰안.xls][입찰안.xls]_____xls_1162"/>
      <sheetName val="[입찰안.xls][입찰안.xls]_____xls_1160"/>
      <sheetName val="[입찰안.xls][입찰안.xls]_____xls_1161"/>
      <sheetName val="[입찰안.xls][입찰안.xls]_____xls_1165"/>
      <sheetName val="[입찰안.xls][입찰안.xls]_____xls_1163"/>
      <sheetName val="[입찰안.xls][입찰안.xls]_____xls_1164"/>
      <sheetName val="[입찰안.xls][입찰안.xls]_____xls_1184"/>
      <sheetName val="[입찰안.xls][입찰안.xls]_____xls_1168"/>
      <sheetName val="[입찰안.xls][입찰안.xls]_____xls_1167"/>
      <sheetName val="[입찰안.xls][입찰안.xls]_____xls_1169"/>
      <sheetName val="[입찰안.xls][입찰안.xls]_____xls_1170"/>
      <sheetName val="[입찰안.xls][입찰안.xls]_____xls_1171"/>
      <sheetName val="[입찰안.xls][입찰안.xls]_____xls_1176"/>
      <sheetName val="[입찰안.xls][입찰안.xls]_____xls_1172"/>
      <sheetName val="[입찰안.xls][입찰안.xls]_____xls_1173"/>
      <sheetName val="[입찰안.xls][입찰안.xls]_____xls_1174"/>
      <sheetName val="[입찰안.xls][입찰안.xls]_____xls_1175"/>
      <sheetName val="[입찰안.xls][입찰안.xls]_____xls_1177"/>
      <sheetName val="[입찰안.xls][입찰안.xls]_____xls_1179"/>
      <sheetName val="[입찰안.xls][입찰안.xls]_____xls_1178"/>
      <sheetName val="[입찰안.xls][입찰안.xls]_____xls_1191"/>
      <sheetName val="[입찰안.xls][입찰안.xls]_____xls_1182"/>
      <sheetName val="[입찰안.xls][입찰안.xls]_____xls_1180"/>
      <sheetName val="[입찰안.xls][입찰안.xls]_____xls_1181"/>
      <sheetName val="[입찰안.xls][입찰안.xls]_____xls_1183"/>
      <sheetName val="[입찰안.xls][입찰안.xls]_____xls_1185"/>
      <sheetName val="[입찰안.xls][입찰안.xls]_____xls_1186"/>
      <sheetName val="[입찰안.xls][입찰안.xls]_____xls_1187"/>
      <sheetName val="[입찰안.xls][입찰안.xls]_____xls_1190"/>
      <sheetName val="[입찰안.xls][입찰안.xls]_____xls_1188"/>
      <sheetName val="[입찰안.xls][입찰안.xls]_____xls_1189"/>
      <sheetName val="[입찰안.xls][입찰안.xls]_____xls_1195"/>
      <sheetName val="[입찰안.xls][입찰안.xls]_____xls_1194"/>
      <sheetName val="[입찰안.xls][입찰안.xls]_____xls_1192"/>
      <sheetName val="[입찰안.xls][입찰안.xls]_____xls_1193"/>
      <sheetName val="[입찰안.xls][입찰안.xls]_____xls_1196"/>
      <sheetName val="[입찰안.xls][입찰안.xls]_____xls_1200"/>
      <sheetName val="[입찰안.xls][입찰안.xls]_____xls_1199"/>
      <sheetName val="[입찰안.xls][입찰안.xls]_____xls_1197"/>
      <sheetName val="[입찰안.xls][입찰안.xls]_____xls_1198"/>
      <sheetName val="[입찰안.xls][입찰안.xls]_____xls_1206"/>
      <sheetName val="[입찰안.xls][입찰안.xls]_____xls_1203"/>
      <sheetName val="[입찰안.xls][입찰안.xls]_____xls_1201"/>
      <sheetName val="[입찰안.xls][입찰안.xls]_____xls_1202"/>
      <sheetName val="[입찰안.xls][입찰안.xls]_____xls_1204"/>
      <sheetName val="[입찰안.xls][입찰안.xls]_____xls_1205"/>
      <sheetName val="[입찰안.xls][입찰안.xls]_____xls_1214"/>
      <sheetName val="[입찰안.xls][입찰안.xls]_____xls_1209"/>
      <sheetName val="[입찰안.xls][입찰안.xls]_____xls_1207"/>
      <sheetName val="[입찰안.xls][입찰안.xls]_____xls_1208"/>
      <sheetName val="[입찰안.xls][입찰안.xls]_____xls_1210"/>
      <sheetName val="[입찰안.xls][입찰안.xls]_____xls_1211"/>
      <sheetName val="[입찰안.xls][입찰안.xls]_____xls_1212"/>
      <sheetName val="[입찰안.xls][입찰안.xls]_____xls_1213"/>
      <sheetName val="[입찰안.xls][입찰안.xls]_____xls_1215"/>
      <sheetName val="[입찰안.xls][입찰안.xls]_____xls_1219"/>
      <sheetName val="[입찰안.xls][입찰안.xls]_____xls_1220"/>
      <sheetName val="[입찰안.xls][입찰안.xls]_____xls_1227"/>
      <sheetName val="[입찰안.xls][입찰안.xls]_____xls_1225"/>
      <sheetName val="[입찰안.xls][입찰안.xls]_____xls_1226"/>
      <sheetName val="[입찰안.xls][입찰안.xls]_____xls_1224"/>
      <sheetName val="[입찰안.xls][입찰안.xls]_____xls_1222"/>
      <sheetName val="[입찰안.xls][입찰안.xls]_____xls_1223"/>
      <sheetName val="[입찰안.xls][입찰안.xls]_____xls_1232"/>
      <sheetName val="[입찰안.xls][입찰안.xls]_____xls_1230"/>
      <sheetName val="[입찰안.xls][입찰안.xls]_____xls_1231"/>
      <sheetName val="[입찰안.xls][입찰안.xls]_____xls_1229"/>
      <sheetName val="[입찰안.xls][입찰안.xls]_____xls_1228"/>
      <sheetName val="[입찰안.xls][입찰안.xls]_____xls_1234"/>
      <sheetName val="[입찰안.xls][입찰안.xls]_____xls_1235"/>
      <sheetName val="[입찰안.xls][입찰안.xls]_____xls_1233"/>
      <sheetName val="[입찰안.xls][입찰안.xls]_____xls_1237"/>
      <sheetName val="[입찰안.xls][입찰안.xls]_____xls_1236"/>
      <sheetName val="[입찰안.xls][입찰안.xls]_____xls_1262"/>
      <sheetName val="[입찰안.xls][입찰안.xls]_____xls_1255"/>
      <sheetName val="[입찰안.xls][입찰안.xls]_____xls_1254"/>
      <sheetName val="[입찰안.xls][입찰안.xls]_____xls_1256"/>
      <sheetName val="산출서"/>
      <sheetName val="위치도"/>
      <sheetName val="토공집계(rp)"/>
      <sheetName val="[입찰안.xls][입찰안.xls]_____xls_1245"/>
      <sheetName val="[입찰안.xls][입찰안.xls]_____xls_1247"/>
      <sheetName val="[입찰안.xls][입찰안.xls]_____xls_1246"/>
      <sheetName val="DM_BBNT"/>
      <sheetName val="TCVN"/>
      <sheetName val="[입찰안.xls]B_17"/>
      <sheetName val="[입찰안.xls]B__5"/>
      <sheetName val="[입찰안.xls]B__4"/>
      <sheetName val="[입찰안.xls]B__8"/>
      <sheetName val="[입찰안.xls]B__6"/>
      <sheetName val="[입찰안.xls]B_23"/>
      <sheetName val="[입찰안.xls]B__7"/>
      <sheetName val="[입찰안.xls]B__9"/>
      <sheetName val="[입찰안.xls]B_10"/>
      <sheetName val="[입찰안.xls]B_11"/>
      <sheetName val="[입찰안.xls]B_12"/>
      <sheetName val="[입찰안.xls]B_13"/>
      <sheetName val="[입찰안.xls]B_14"/>
      <sheetName val="[입찰안.xls]B_15"/>
      <sheetName val="[입찰안.xls]B_16"/>
      <sheetName val="[입찰안.xls]B_18"/>
      <sheetName val="[입찰안.xls]B_19"/>
      <sheetName val="[입찰안.xls]B_20"/>
      <sheetName val="[입찰안.xls]B_21"/>
      <sheetName val="[입찰안.xls]B_22"/>
      <sheetName val="[입찰안.xls]B_25"/>
      <sheetName val="[입찰안.xls]B_24"/>
      <sheetName val="[입찰안.xls]B_26"/>
      <sheetName val="[입찰안.xls]B_27"/>
      <sheetName val="[입찰안_xls]___2"/>
      <sheetName val="[입찰안_xls]___1"/>
      <sheetName val="[입찰안_xls]B__2"/>
      <sheetName val="[입찰안_xls]B__3"/>
      <sheetName val="[입찰안_xls]___3"/>
      <sheetName val="[입찰안_xls]B__1"/>
      <sheetName val="[입찰안_xls]B__4"/>
      <sheetName val="[입찰안.xls]B_28"/>
      <sheetName val="[입찰안.xls]B_46"/>
      <sheetName val="[입찰안.xls]B_45"/>
      <sheetName val="[입찰안.xls]B_44"/>
      <sheetName val="[입찰안.xls]B_33"/>
      <sheetName val="[입찰안.xls]B_31"/>
      <sheetName val="[입찰안.xls]B_30"/>
      <sheetName val="[입찰안.xls]B_29"/>
      <sheetName val="[입찰안.xls]B_35"/>
      <sheetName val="[입찰안.xls]B_32"/>
      <sheetName val="[입찰안.xls]B_40"/>
      <sheetName val="[입찰안.xls]B_34"/>
      <sheetName val="[입찰안.xls]B_41"/>
      <sheetName val="[입찰안.xls]B_36"/>
      <sheetName val="[입찰안.xls]B_37"/>
      <sheetName val="[입찰안.xls]B_42"/>
      <sheetName val="[입찰안.xls]B_38"/>
      <sheetName val="[입찰안.xls]B_39"/>
      <sheetName val="[입찰안.xls]B_43"/>
      <sheetName val="[입찰안.xls]B_54"/>
      <sheetName val="[입찰안.xls]B_53"/>
      <sheetName val="[입찰안.xls]B_47"/>
      <sheetName val="[입찰안.xls]B_48"/>
      <sheetName val="[입찰안.xls]B_51"/>
      <sheetName val="[입찰안.xls]B_50"/>
      <sheetName val="[입찰안.xls]B_49"/>
      <sheetName val="[입찰안.xls]B_52"/>
      <sheetName val="[입찰안.xls]B_55"/>
      <sheetName val="[입찰안.xls]B_56"/>
      <sheetName val="[입찰안.xls]B_57"/>
      <sheetName val="[입찰안.xls]B_60"/>
      <sheetName val="[입찰안.xls]B_59"/>
      <sheetName val="[입찰안.xls]B_58"/>
      <sheetName val="(1)본선수량집ው"/>
      <sheetName val="[입찰안.xls][입찰안.xls]_____xls_1238"/>
      <sheetName val="[입찰안.xls][입찰안.xls]_____xls_1239"/>
      <sheetName val="[입찰안.xls][입찰안.xls]_____xls_1244"/>
      <sheetName val="[입찰안.xls][입찰안.xls]_____xls_1240"/>
      <sheetName val="[입찰안.xls][입찰안.xls]_____xls_1241"/>
      <sheetName val="[입찰안.xls][입찰안.xls]_____xls_1242"/>
      <sheetName val="[입찰안.xls][입찰안.xls]_____xls_1243"/>
      <sheetName val="[입찰안.xls][입찰안.xls]_____xls_1249"/>
      <sheetName val="[입찰안.xls][입찰안.xls]_____xls_1248"/>
      <sheetName val="[입찰안.xls][입찰안.xls]_____xls_1250"/>
      <sheetName val="[입찰안.xls][입찰안.xls]_____xls_1252"/>
      <sheetName val="[입찰안.xls][입찰안.xls]_____xls_1251"/>
      <sheetName val="[입찰안.xls][입찰안.xls]_____xls_1253"/>
      <sheetName val="[입찰안.xls][입찰안.xls]_____xls_1257"/>
      <sheetName val="[입찰안.xls][입찰안.xls]_____xls_1258"/>
      <sheetName val="세부내역(직접인건비)"/>
      <sheetName val="세부내역(직접경비)"/>
      <sheetName val="조건표 (2)"/>
      <sheetName val="코_x005f_x0000_"/>
      <sheetName val="7_산출(⠀榅弁䘿_x005f_x0000_"/>
      <sheetName val="10공-_x005f_x0000_Ԁ"/>
      <sheetName val="1,2,3,4_x005f_x0000__x005f_x0000_界Þ多⽬"/>
      <sheetName val="[입찰안.xls][입찰안.xls]_____xls_1259"/>
      <sheetName val="[입찰안.xls][입찰안.xls]_____xls_1261"/>
      <sheetName val="[입찰안.xls][입찰안.xls]_____xls_1260"/>
      <sheetName val="기초데이타"/>
      <sheetName val="장비코드표_0506015"/>
      <sheetName val="2007년_생산1부장비5"/>
      <sheetName val="2008년_생산부전장비코드5"/>
      <sheetName val="DDB부_장비_관리현황5"/>
      <sheetName val="Xunit_(단위환산)5"/>
      <sheetName val="01__DATA4"/>
      <sheetName val="SCOPE_OF_WORK4"/>
      <sheetName val="DGCT_(01)4"/>
      <sheetName val="Chi_tiet4"/>
      <sheetName val="nhôm_1,2mm4"/>
      <sheetName val="nhôm_1,4mm4"/>
      <sheetName val="Phan_tich_ca_may3"/>
      <sheetName val="Chenh_lech_ca_may3"/>
      <sheetName val="TLg_CN&amp;Laixe3"/>
      <sheetName val="TLg_CN&amp;Laixe_(2)3"/>
      <sheetName val="TLg_Laitau3"/>
      <sheetName val="TLg_Laitau_(2)3"/>
      <sheetName val="Cọc_nhồi3"/>
      <sheetName val="Gia_VLNCMTC3"/>
      <sheetName val="Dầm_13"/>
      <sheetName val="Chiet_tinh_don_gia_CM3"/>
      <sheetName val="Sàn_T13"/>
      <sheetName val="Lỗ_thông_gió3"/>
      <sheetName val="Sàn_tầng_01_(_old_)3"/>
      <sheetName val="Measure_13063"/>
      <sheetName val="EE_(3)3"/>
      <sheetName val="Div26_-_Elect2"/>
      <sheetName val="RAB_AR&amp;STR2"/>
      <sheetName val="Isolasi_Luar_Dalam2"/>
      <sheetName val="Isolasi_Luar2"/>
      <sheetName val="U_P_Breakdown2"/>
      <sheetName val="할증_2"/>
      <sheetName val="간접비_총괄표2"/>
      <sheetName val="B:\입찰안_xls"/>
      <sheetName val="[입찰안_xls][입찰안_xls]B:\입찰안_xls"/>
      <sheetName val="[입찰안_xls]B:\입찰안_xls"/>
      <sheetName val="1_R18_BF2"/>
      <sheetName val="6_External_works-R182"/>
      <sheetName val="Bill_01_-_CTN2"/>
      <sheetName val="020_235_23632"/>
      <sheetName val="CHITIET_VL-NC-TT1p2"/>
      <sheetName val="Project_Infor2"/>
      <sheetName val="Data_input2"/>
      <sheetName val="_입찰안_xls_직접뀀鞖_2"/>
      <sheetName val="_입찰안_xls__입찰안_xls_직접뀀鞖_2"/>
      <sheetName val="bang_TH2"/>
      <sheetName val="[입찰안_xls][입찰안_xls][입찰안_xls]___9"/>
      <sheetName val="[입찰안_xls][입찰안_xls][입찰안_xls]__10"/>
      <sheetName val="[입찰안_xls][입찰안_xls]직접뀀鞖/3"/>
      <sheetName val="[입찰안_xls][입찰안_xls][입찰안_xls]__11"/>
      <sheetName val="A_LINE"/>
      <sheetName val="[입찰안_xls][입찰안_xls][입찰안_xls]_256"/>
      <sheetName val="[입찰안_xls][입찰안_xls][입찰안_xls]_257"/>
      <sheetName val="[입찰안_xls][입찰안_xls][입찰안_xls]_224"/>
      <sheetName val="[입찰안_xls][입찰안_xls][입찰안_xls]_225"/>
      <sheetName val="[입찰안_xls][입찰안_xls][입찰안_xls]_226"/>
      <sheetName val="[입찰안_xls][입찰안_xls][입찰안_xls]_227"/>
      <sheetName val="[입찰안_xls][입찰안_xls][입찰안_xls]_228"/>
      <sheetName val="[입찰안_xls][입찰안_xls][입찰안_xls]_229"/>
      <sheetName val="[입찰안_xls][입찰안_xls][입찰안_xls]_230"/>
      <sheetName val="[입찰안_xls][입찰안_xls][입찰안_xls]_231"/>
      <sheetName val="[입찰안_xls][입찰안_xls][입찰안_xls]_232"/>
      <sheetName val="[입찰안_xls][입찰안_xls][입찰안_xls]_233"/>
      <sheetName val="[입찰안_xls][입찰안_xls][입찰안_xls]_234"/>
      <sheetName val="[입찰안_xls][입찰안_xls][입찰안_xls]_235"/>
      <sheetName val="[입찰안_xls][입찰안_xls][입찰안_xls]_236"/>
      <sheetName val="[입찰안_xls][입찰안_xls][입찰안_xls]_237"/>
      <sheetName val="[입찰안_xls][입찰안_xls][입찰안_xls]_238"/>
      <sheetName val="[입찰안_xls][입찰안_xls][입찰안_xls]_239"/>
      <sheetName val="[입찰안_xls][입찰안_xls][입찰안_xls]_240"/>
      <sheetName val="[입찰안_xls][입찰안_xls][입찰안_xls]_241"/>
      <sheetName val="[입찰안_xls][입찰안_xls][입찰안_xls]_242"/>
      <sheetName val="[입찰안_xls][입찰안_xls][입찰안_xls]_243"/>
      <sheetName val="[입찰안_xls][입찰안_xls][입찰안_xls]_244"/>
      <sheetName val="[입찰안_xls][입찰안_xls][입찰안_xls]_245"/>
      <sheetName val="[입찰안_xls][입찰안_xls][입찰안_xls]_246"/>
      <sheetName val="[입찰안_xls][입찰안_xls][입찰안_xls]_247"/>
      <sheetName val="[입찰안_xls][입찰안_xls][입찰안_xls]_248"/>
      <sheetName val="[입찰안_xls][입찰안_xls][입찰안_xls]_249"/>
      <sheetName val="[입찰안_xls][입찰안_xls][입찰안_xls]_250"/>
      <sheetName val="[입찰안_xls][입찰안_xls][입찰안_xls]_251"/>
      <sheetName val="[입찰안_xls][입찰안_xls][입찰안_xls]_252"/>
      <sheetName val="[입찰안_xls][입찰안_xls][입찰안_xls]_253"/>
      <sheetName val="[입찰안_xls][입찰안_xls][입찰안_xls]_254"/>
      <sheetName val="[입찰안_xls][입찰안_xls][입찰안_xls]_255"/>
      <sheetName val="[입찰안_xls][입찰안_xls][입찰안_xls]_258"/>
      <sheetName val="[입찰안_xls][입찰안_xls][입찰안_xls]_259"/>
      <sheetName val="[입찰안_xls][입찰안_xls][입찰안_xls]_260"/>
      <sheetName val="[입찰안_xls][입찰안_xls][입찰안_xls]_261"/>
      <sheetName val="[입찰안_xls][입찰안_xls][입찰안_xls]_262"/>
      <sheetName val="[입찰안_xls][입찰안_xls][입찰안_xls]_263"/>
      <sheetName val="[입찰안_xls][입찰안_xls][입찰안_xls]_264"/>
      <sheetName val="Phan_tho2"/>
      <sheetName val="Tien_Thuong2"/>
      <sheetName val="NC_XL_6T_cuoi_01_CTy2"/>
      <sheetName val="Data_-6T_dau2"/>
      <sheetName val="Cong_6T2"/>
      <sheetName val="[입찰안_xls][입찰안_xls][입찰안_xls]_265"/>
      <sheetName val="[입찰안_xls][입찰안_xls][입찰안_xls]_266"/>
      <sheetName val="[입찰안_xls][입찰안_xls][입찰안_xls]_267"/>
      <sheetName val="[입찰안_xls][입찰안_xls][입찰안_xls]_268"/>
      <sheetName val="[입찰안_xls][입찰안_xls][입찰안_xls]_269"/>
      <sheetName val="[입찰안_xls][입찰안_xls][입찰안_xls]_270"/>
      <sheetName val="[입찰안_xls][입찰안_xls][입찰안_xls]_271"/>
      <sheetName val="[입찰안_xls][입찰안_xls][입찰안_xls]_272"/>
      <sheetName val="[입찰안_xls][입찰안_xls][입찰안_xls]_273"/>
      <sheetName val="[입찰안_xls][입찰안_xls][입찰안_xls]_274"/>
      <sheetName val="[입찰안_xls][입찰안_xls][입찰안_xls]_275"/>
      <sheetName val="[입찰안_xls][입찰안_xls][입찰안_xls]_276"/>
      <sheetName val="[입찰안_xls][입찰안_xls][입찰안_xls]_277"/>
      <sheetName val="[입찰안_xls][입찰안_xls][입찰안_xls]_291"/>
      <sheetName val="[입찰안_xls][입찰안_xls][입찰안_xls]_290"/>
      <sheetName val="_HIT__HMC_견ꉀ펔ɠ"/>
      <sheetName val="[입찰안_xls][입찰안_xls][입찰안_xls]_289"/>
      <sheetName val="새로이_설치할_정비기반시설_조서_나번_(2)"/>
      <sheetName val="정리계앀"/>
      <sheetName val="정리계"/>
      <sheetName val="plan&amp;section_of勉"/>
      <sheetName val="[입찰안_xls][입찰안_xls][입찰안_xls]_278"/>
      <sheetName val="[입찰안_xls][입찰안_xls][입찰안_xls]_279"/>
      <sheetName val="[입찰안_xls][입찰안_xls][입찰안_xls]_280"/>
      <sheetName val="[입찰안_xls][입찰안_xls][입찰안_xls]_288"/>
      <sheetName val="[입찰안_xls][입찰안_xls][입찰안_xls]_287"/>
      <sheetName val="[입찰안_xls][입찰안_xls][입찰안_xls]_286"/>
      <sheetName val="[입찰안_xls][입찰안_xls][입찰안_xls]_285"/>
      <sheetName val="[입찰안_xls][입찰안_xls][입찰안_xls]_284"/>
      <sheetName val="[입찰안_xls][입찰안_xls][입찰안_xls]_281"/>
      <sheetName val="[입찰안_xls][입찰안_xls][입찰안_xls]_282"/>
      <sheetName val="[입찰안_xls][입찰안_xls][입찰안_xls]_283"/>
      <sheetName val="[입찰안_xls][입찰안_xls][입찰안_xls]_292"/>
      <sheetName val="[입찰안_xls][입찰안_xls][입찰안_xls]_293"/>
      <sheetName val="[입찰안_xls][입찰안_xls][입찰안_xls]_294"/>
      <sheetName val="[입찰안_xls][입찰안_xls][입찰안_xls]_295"/>
      <sheetName val="co-no_2"/>
      <sheetName val="(1)2002년_매출목표_산출"/>
      <sheetName val="[입찰안_xls][입찰안_xls][입찰안_xls]_296"/>
      <sheetName val="[입찰안_xls][입찰안_xls][입찰안_xls]_297"/>
      <sheetName val="[입찰안_xls][입찰안_xls][입찰안_xls]_298"/>
      <sheetName val="[입찰안_xls][입찰안_xls][입찰안_xls]_299"/>
      <sheetName val="[입찰안_xls][입찰안_xls][입찰안_xls]_300"/>
      <sheetName val="[입찰안_xls][입찰안_xls][입찰안_xls]_301"/>
      <sheetName val="[입찰안_xls][입찰안_xls][입찰안_xls]_302"/>
      <sheetName val="[입찰안_xls][입찰안_xls][입찰안_xls]_303"/>
      <sheetName val="[입찰안_xls][입찰안_xls][입찰안_xls]_304"/>
      <sheetName val="[입찰안_xls][입찰안_xls][입찰안_xls]_305"/>
      <sheetName val="[입찰안_xls][입찰안_xls][입찰안_xls]_306"/>
      <sheetName val="[입찰안_xls][입찰안_xls][입찰안_xls]_307"/>
      <sheetName val="[입찰안_xls][입찰안_xls][입찰안_xls]_308"/>
      <sheetName val="[입찰안_xls][입찰안_xls][입찰안_xls]_309"/>
      <sheetName val="[입찰안_xls][입찰안_xls][입찰안_xls]_310"/>
      <sheetName val="[입찰안_xls][입찰안_xls][입찰안_xls]_311"/>
      <sheetName val="[입찰안_xls][입찰안_xls][입찰안_xls]_312"/>
      <sheetName val="[입찰안_xls][입찰안_xls][입찰안_xls]_347"/>
      <sheetName val="[입찰안_xls][입찰안_xls][입찰안_xls]_313"/>
      <sheetName val="[입찰안_xls][입찰안_xls][입찰안_xls]_314"/>
      <sheetName val="[입찰안_xls][입찰안_xls][입찰안_xls]_315"/>
      <sheetName val="[입찰안_xls][입찰안_xls][입찰안_xls]_316"/>
      <sheetName val="[입찰안_xls][입찰안_xls][입찰안_xls]_317"/>
      <sheetName val="[입찰안_xls][입찰안_xls][입찰안_xls]_318"/>
      <sheetName val="[입찰안_xls][입찰안_xls][입찰안_xls]_319"/>
      <sheetName val="[입찰안_xls][입찰안_xls][입찰안_xls]_320"/>
      <sheetName val="[입찰안_xls][입찰안_xls][입찰안_xls]_321"/>
      <sheetName val="[입찰안_xls][입찰안_xls][입찰안_xls]_322"/>
      <sheetName val="[입찰안_xls][입찰안_xls][입찰안_xls]_323"/>
      <sheetName val="[입찰안_xls][입찰안_xls][입찰안_xls]_324"/>
      <sheetName val="[입찰안_xls][입찰안_xls][입찰안_xls]_325"/>
      <sheetName val="[입찰안_xls][입찰안_xls][입찰안_xls]_326"/>
      <sheetName val="[입찰안_xls][입찰안_xls][입찰안_xls]_327"/>
      <sheetName val="[입찰안_xls][입찰안_xls][입찰안_xls]_328"/>
      <sheetName val="F_D_SEC__PROP"/>
      <sheetName val="[입찰안_xls][입찰안_xls][입찰안_xls]_329"/>
      <sheetName val="[입찰안_xls][입찰안_xls][입찰안_xls]_330"/>
      <sheetName val="[입찰안_xls][입찰안_xls][입찰안_xls]_331"/>
      <sheetName val="[입찰안_xls][입찰안_xls][입찰안_xls]_332"/>
      <sheetName val="[입찰안_xls][입찰안_xls][입찰안_xls]_333"/>
      <sheetName val="[입찰안_xls][입찰안_xls][입찰안_xls]_334"/>
      <sheetName val="[입찰안_xls][입찰안_xls][입찰안_xls]_335"/>
      <sheetName val="[입찰안_xls][입찰안_xls][입찰안_xls]_336"/>
      <sheetName val="[입찰안_xls][입찰안_xls][입찰안_xls]_337"/>
      <sheetName val="[입찰안_xls][입찰안_xls][입찰안_xls]_338"/>
      <sheetName val="[입찰안_xls][입찰안_xls][입찰안_xls]_339"/>
      <sheetName val="[입찰안_xls][입찰안_xls][입찰안_xls]_340"/>
      <sheetName val="[입찰안_xls][입찰안_xls][입찰안_xls]_341"/>
      <sheetName val="[입찰안_xls][입찰안_xls][입찰안_xls]_342"/>
      <sheetName val="[입찰안_xls][입찰안_xls][입찰안_xls]_343"/>
      <sheetName val="[입찰안_xls][입찰안_xls][입찰안_xls]_344"/>
      <sheetName val="[입찰안_xls][입찰안_xls][입찰안_xls]_345"/>
      <sheetName val="[입찰안_xls][입찰안_xls][입찰안_xls]_346"/>
      <sheetName val="[입찰안_xls][입찰안_xls][입찰안_xls]_348"/>
      <sheetName val="[입찰안_xls][입찰안_xls][입찰안_xls]_349"/>
      <sheetName val="[입찰안_xls][입찰안_xls][입찰안_xls]_350"/>
      <sheetName val="[입찰안_xls][입찰안_xls][입찰안_xls]_351"/>
      <sheetName val="[입찰안_xls][입찰안_xls][입찰안_xls]_352"/>
      <sheetName val="[입찰안_xls][입찰안_xls][입찰안_xls]_353"/>
      <sheetName val="GRAND_SUM"/>
      <sheetName val="[입찰안_xls][입찰안_xls][입찰안_xls]_354"/>
      <sheetName val="[입찰안_xls][입찰안_xls][입찰안_xls]_355"/>
      <sheetName val="[입찰안_xls][입찰안_xls][입찰안_xls]_356"/>
      <sheetName val="[입찰안_xls][입찰안_xls][입찰안_xls]_357"/>
      <sheetName val="[입찰안_xls][입찰안_xls][입찰안_xls]_395"/>
      <sheetName val="[입찰안_xls][입찰안_xls][입찰안_xls]_396"/>
      <sheetName val="[입찰안_xls][입찰안_xls][입찰안_xls]_397"/>
      <sheetName val="PA"/>
      <sheetName val="[입찰안_xls][입찰안_xls][입찰안_xls]_385"/>
      <sheetName val="[입찰안_xls][입찰안_xls][입찰안_xls]_386"/>
      <sheetName val="[입찰안_xls][입찰안_xls][입찰안_xls]_391"/>
      <sheetName val="[입찰안_xls][입찰안_xls][입찰안_xls]_361"/>
      <sheetName val="[입찰안_xls][입찰안_xls][입찰안_xls]_358"/>
      <sheetName val="[입찰안_xls][입찰안_xls][입찰안_xls]_359"/>
      <sheetName val="[입찰안_xls][입찰안_xls][입찰안_xls]_360"/>
      <sheetName val="[입찰안_xls][입찰안_xls][입찰안_xls]_362"/>
      <sheetName val="[입찰안_xls][입찰안_xls][입찰안_xls]_363"/>
      <sheetName val="[입찰안_xls][입찰안_xls][입찰안_xls]_364"/>
      <sheetName val="[입찰안_xls][입찰안_xls][입찰안_xls]_365"/>
      <sheetName val="[입찰안_xls][입찰안_xls][입찰안_xls]_366"/>
      <sheetName val="[입찰안_xls][입찰안_xls][입찰안_xls]_367"/>
      <sheetName val="[입찰안_xls][입찰안_xls][입찰안_xls]_368"/>
      <sheetName val="[입찰안_xls][입찰안_xls][입찰안_xls]_369"/>
      <sheetName val="[입찰안_xls][입찰안_xls][입찰안_xls]_370"/>
      <sheetName val="[입찰안_xls][입찰안_xls][입찰안_xls]_371"/>
      <sheetName val="[입찰안_xls][입찰안_xls][입찰안_xls]_372"/>
      <sheetName val="[입찰안_xls][입찰안_xls][입찰안_xls]_374"/>
      <sheetName val="[입찰안_xls][입찰안_xls][입찰안_xls]_373"/>
      <sheetName val="[입찰안_xls][입찰안_xls][입찰안_xls]_375"/>
      <sheetName val="[입찰안_xls][입찰안_xls][입찰안_xls]_376"/>
      <sheetName val="[입찰안_xls][입찰안_xls][입찰안_xls]_377"/>
      <sheetName val="[입찰안_xls][입찰안_xls][입찰안_xls]_378"/>
      <sheetName val="[입찰안_xls][입찰안_xls][입찰안_xls]_379"/>
      <sheetName val="[입찰안_xls][입찰안_xls][입찰안_xls]_380"/>
      <sheetName val="[입찰안_xls][입찰안_xls][입찰안_xls]_381"/>
      <sheetName val="[입찰안_xls][입찰안_xls][입찰안_xls]_382"/>
      <sheetName val="[입찰안_xls][입찰안_xls][입찰안_xls]_383"/>
      <sheetName val="[입찰안_xls][입찰안_xls][입찰안_xls]_384"/>
      <sheetName val="[입찰안_xls][입찰안_xls][입찰안_xls]_387"/>
      <sheetName val="[입찰안_xls][입찰안_xls][입찰안_xls]_388"/>
      <sheetName val="[입찰안_xls][입찰안_xls][입찰안_xls]_389"/>
      <sheetName val="[입찰안_xls][입찰안_xls][입찰안_xls]_390"/>
      <sheetName val="[입찰안_xls][입찰안_xls][입찰안_xls]_392"/>
      <sheetName val="[입찰안_xls][입찰안_xls][입찰안_xls]_393"/>
      <sheetName val="[입찰안_xls][입찰안_xls][입찰안_xls]_394"/>
      <sheetName val="[입찰안_xls][입찰안_xls][입찰안_xls]_398"/>
      <sheetName val="[입찰안_xls][입찰안_xls][입찰안_xls]_399"/>
      <sheetName val="[입찰안_xls][입찰안_xls][입찰안_xls]_400"/>
      <sheetName val="[입찰안_xls][입찰안_xls][입찰안_xls]_401"/>
      <sheetName val="[입찰안_xls][입찰안_xls][입찰안_xls]_402"/>
      <sheetName val="[입찰안_xls][입찰안_xls][입찰안_xls]_420"/>
      <sheetName val="[입찰안_xls][입찰안_xls][입찰안_xls]_413"/>
      <sheetName val="[입찰안_xls][입찰안_xls][입찰안_xls]_414"/>
      <sheetName val="[입찰안_xls][입찰안_xls][입찰안_xls]_410"/>
      <sheetName val="[입찰안_xls][입찰안_xls][입찰안_xls]_411"/>
      <sheetName val="[입찰안_xls][입찰안_xls][입찰안_xls]_407"/>
      <sheetName val="[입찰안_xls][입찰안_xls][입찰안_xls]_409"/>
      <sheetName val="[입찰안_xls][입찰안_xls][입찰안_xls]_408"/>
      <sheetName val="COST_SUMMARY"/>
      <sheetName val="Xuly_Data"/>
      <sheetName val="TL_rieng"/>
      <sheetName val="Thuc_thanh"/>
      <sheetName val="Cost_factor"/>
      <sheetName val="Item_list"/>
      <sheetName val="Sheet_Template_Empty"/>
      <sheetName val="[입찰안_xls][입찰안_xls][입찰안_xls]_403"/>
      <sheetName val="[입찰안_xls][입찰안_xls][입찰안_xls]_404"/>
      <sheetName val="[입찰안_xls][입찰안_xls][입찰안_xls]_405"/>
      <sheetName val="[입찰안_xls][입찰안_xls][입찰안_xls]_406"/>
      <sheetName val="[입찰안_xls][입찰안_xls][입찰안_xls]_412"/>
      <sheetName val="[입찰안_xls][입찰안_xls][입찰안_xls]_415"/>
      <sheetName val="[입찰안_xls][입찰안_xls][입찰안_xls]_416"/>
      <sheetName val="[입찰안_xls][입찰안_xls][입찰안_xls]_417"/>
      <sheetName val="[입찰안_xls][입찰안_xls][입찰안_xls]_418"/>
      <sheetName val="[입찰안_xls][입찰안_xls][입찰안_xls]_419"/>
      <sheetName val="[입찰안_xls][입찰안_xls][입찰안_xls]_421"/>
      <sheetName val="[입찰안_xls][입찰안_xls][입찰안_xls]_422"/>
      <sheetName val="[입찰안_xls][입찰안_xls][입찰안_xls]_423"/>
      <sheetName val="[입찰안_xls][입찰안_xls][입찰안_xls]_424"/>
      <sheetName val="[입찰안_xls][입찰안_xls][입찰안_xls]_425"/>
      <sheetName val="[입찰안_xls][입찰안_xls][입찰안_xls]_426"/>
      <sheetName val="[입찰안_xls][입찰안_xls][입찰안_xls]_427"/>
      <sheetName val="[입찰안_xls][입찰안_xls][입찰안_xls]_428"/>
      <sheetName val="[입찰안_xls][입찰안_xls][입찰안_xls]_429"/>
      <sheetName val="[입찰안_xls][입찰안_xls][입찰안_xls]_430"/>
      <sheetName val="[입찰안_xls][입찰안_xls][입찰안_xls]_431"/>
      <sheetName val="[입찰안_xls][입찰안_xls][입찰안_xls]_432"/>
      <sheetName val="[입찰안_xls][입찰안_xls][입찰안_xls]_433"/>
      <sheetName val="[입찰안_xls][입찰안_xls][입찰안_xls]_434"/>
      <sheetName val="[입찰안_xls][입찰안_xls][입찰안_xls]_435"/>
      <sheetName val="[입찰안_xls][입찰안_xls][입찰안_xls]_436"/>
      <sheetName val="[입찰안_xls][입찰안_xls][입찰안_xls]_437"/>
      <sheetName val="[입찰안_xls][입찰안_xls][입찰안_xls]_438"/>
      <sheetName val="[입찰안_xls][입찰안_xls][입찰안_xls]_439"/>
      <sheetName val="[입찰안_xls][입찰안_xls][입찰안_xls]_440"/>
      <sheetName val="[입찰안_xls][입찰안_xls][입찰안_xls]_441"/>
      <sheetName val="[입찰안_xls][입찰안_xls][입찰안_xls]_442"/>
      <sheetName val="[입찰안_xls][입찰안_xls][입찰안_xls]_443"/>
      <sheetName val="Macro(전"/>
      <sheetName val="[입찰안_xls][입찰안_xls][입찰안_xls]_444"/>
      <sheetName val="[입찰안_xls][입찰안_xls][입찰안_xls]_445"/>
      <sheetName val="[입찰안_xls][입찰안_xls][입찰안_xls]_446"/>
      <sheetName val="[입찰안_xls][입찰안_xls][입찰안_xls]_447"/>
      <sheetName val="[입찰안_xls][입찰안_xls][입찰안_xls]_448"/>
      <sheetName val="[입찰안_xls][입찰안_xls][입찰안_xls]_449"/>
      <sheetName val="[입찰안_xls][입찰안_xls][입찰안_xls]_450"/>
      <sheetName val="[입찰안_xls][입찰안_xls][입찰안_xls]_451"/>
      <sheetName val="[입찰안_xls][입찰안_xls][입찰안_xls]_452"/>
      <sheetName val="[입찰안_xls][입찰안_xls][입찰안_xls]_453"/>
      <sheetName val="[입찰안_xls][입찰안_xls][입찰안_xls]_454"/>
      <sheetName val="[입찰안_xls][입찰안_xls][입찰안_xls]_455"/>
      <sheetName val="[입찰안_xls][입찰안_xls][입찰안_xls]_456"/>
      <sheetName val="[입찰안_xls][입찰안_xls][입찰안_xls]_457"/>
      <sheetName val="[입찰안_xls][입찰안_xls][입찰안_xls]_458"/>
      <sheetName val="[입찰안_xls][입찰안_xls][입찰안_xls]_459"/>
      <sheetName val="[입찰안_xls][입찰안_xls][입찰안_xls]_460"/>
      <sheetName val="[입찰안_xls][입찰안_xls][입찰안_xls]_461"/>
      <sheetName val="[입찰안_xls][입찰안_xls][입찰안_xls]_462"/>
      <sheetName val="Code_02"/>
      <sheetName val="Code_03"/>
      <sheetName val="Code_04"/>
      <sheetName val="Code_05"/>
      <sheetName val="Code_06"/>
      <sheetName val="Code_07"/>
      <sheetName val="Code_09"/>
      <sheetName val="[입찰안_xls][입찰안_xls][입찰안_xls]_463"/>
      <sheetName val="[입찰안_xls][입찰안_xls][입찰안_xls]_464"/>
      <sheetName val="[입찰안_xls][입찰안_xls][입찰안_xls]_465"/>
      <sheetName val="[입찰안_xls][입찰안_xls][입찰안_xls]_466"/>
      <sheetName val="[입찰안_xls][입찰안_xls][입찰안_xls]_467"/>
      <sheetName val="[입찰안_xls][입찰안_xls][입찰안_xls]_468"/>
      <sheetName val="[입찰안_xls][입찰안_xls][입찰안_xls]_469"/>
      <sheetName val="[입찰안.xls][입찰안.xls]_____xls_1267"/>
      <sheetName val="[입찰안.xls][입찰안.xls]_____xls_1266"/>
      <sheetName val="[입찰안.xls][입찰안.xls]_____xls_1269"/>
      <sheetName val="[입찰안.xls][입찰안.xls]_____xls_1270"/>
      <sheetName val="[입찰안.xls][입찰안.xls]_____xls_1272"/>
      <sheetName val="[입찰안.xls][입찰안.xls]_____xls_1276"/>
      <sheetName val="[입찰안.xls][입찰안.xls]_____xls_1274"/>
      <sheetName val="[입찰안.xls][입찰안.xls]_____xls_1275"/>
      <sheetName val="확약서"/>
      <sheetName val="단가조견"/>
      <sheetName val="[입찰안.xls][입찰안.xls]_____xls_1285"/>
      <sheetName val="[입찰안.xls][입찰안.xls]_____xls_1286"/>
      <sheetName val="[입찰안.xls][입찰안.xls]_____xls_1287"/>
      <sheetName val="4_전痠"/>
      <sheetName val="4_전矰"/>
      <sheetName val="[입찰안.xls][입찰안.xls]_____xls_1277"/>
      <sheetName val="[입찰안.xls][입찰안.xls]_____xls_1278"/>
      <sheetName val="[입찰안.xls][입찰안.xls]_____xls_1279"/>
      <sheetName val="[입찰안.xls][입찰안.xls]_____xls_1280"/>
      <sheetName val="[입찰안.xls][입찰안.xls]_____xls_1281"/>
      <sheetName val="[입찰안.xls][입찰안.xls]_____xls_1282"/>
      <sheetName val="[입찰안.xls][입찰안.xls]_____xls_1283"/>
      <sheetName val="[입찰안.xls][입찰안.xls]_____xls_1284"/>
      <sheetName val="[입찰안.xls][입찰안.xls]_____xls_1288"/>
      <sheetName val="[입찰안.xls][입찰안.xls]_____xls_1289"/>
      <sheetName val="[입찰안.xls][입찰안.xls]_____xls_1290"/>
      <sheetName val="[입찰안.xls][입찰안.xls]_____xls_1308"/>
      <sheetName val="[입찰안.xls][입찰안.xls]_____xls_1292"/>
      <sheetName val="[입찰안.xls][입찰안.xls]_____xls_1294"/>
      <sheetName val="[입찰안.xls][입찰안.xls]_____xls_1293"/>
      <sheetName val="[입찰안.xls][입찰안.xls]_____xls_1291"/>
      <sheetName val="[입찰안.xls][입찰안.xls]_____xls_1298"/>
      <sheetName val="[입찰안.xls][입찰안.xls]_____xls_1297"/>
      <sheetName val="[입찰안.xls][입찰안.xls]_____xls_1295"/>
      <sheetName val="[입찰안.xls][입찰안.xls]_____xls_1296"/>
      <sheetName val="[입찰안.xls][입찰안.xls]_____xls_1299"/>
      <sheetName val="[입찰안.xls][입찰안.xls]_____xls_1300"/>
      <sheetName val="[입찰안.xls][입찰안.xls]_____xls_1301"/>
      <sheetName val="[입찰안.xls][입찰안.xls]_____xls_1302"/>
      <sheetName val="[입찰안.xls][입찰안.xls]_____xls_1303"/>
      <sheetName val="[입찰안.xls][입찰안.xls]_____xls_1304"/>
      <sheetName val="[입찰안.xls][입찰안.xls]_____xls_1305"/>
      <sheetName val="[입찰안.xls][입찰안.xls]_____xls_1306"/>
      <sheetName val="[입찰안.xls][입찰안.xls]_____xls_1307"/>
      <sheetName val="[입찰안.xls][입찰안.xls]_____xls_1312"/>
      <sheetName val="[입찰안.xls][입찰안.xls]_____xls_1313"/>
      <sheetName val="[입찰안.xls][입찰안.xls]_____xls_1309"/>
      <sheetName val="[입찰안.xls][입찰안.xls]_____xls_1310"/>
      <sheetName val="[입찰안.xls][입찰안.xls]_____xls_1311"/>
      <sheetName val="[입찰안.xls][입찰안.xls]_____xls_1314"/>
      <sheetName val="[입찰안.xls][입찰안.xls]_____xls_1318"/>
      <sheetName val="[입찰안.xls][입찰안.xls]_____xls_1315"/>
      <sheetName val="[입찰안.xls][입찰안.xls]_____xls_1316"/>
      <sheetName val="[입찰안.xls][입찰안.xls]_____xls_1317"/>
      <sheetName val="[입찰안.xls][입찰안.xls]_입_안_xls_1000"/>
      <sheetName val="설계기준"/>
      <sheetName val="[입찰안.xls][입찰안.xls]_____xls_1323"/>
      <sheetName val="[입찰안.xls][입찰안.xls]_____xls_1319"/>
      <sheetName val="[입찰안.xls][입찰안.xls]_____xls_1320"/>
      <sheetName val="[입찰안.xls][입찰안.xls]_____xls_1321"/>
      <sheetName val="[입찰안.xls][입찰안.xls]_____xls_1322"/>
      <sheetName val="[입찰안.xls][입찰안.xls]_____xls_1326"/>
      <sheetName val="[입찰안.xls][입찰안.xls]_____xls_1324"/>
      <sheetName val="[입찰안.xls][입찰안.xls]_____xls_1325"/>
      <sheetName val="[입찰안.xls][입찰안.xls]_____xls_1328"/>
      <sheetName val="[입찰안.xls][입찰안.xls]_____xls_1330"/>
      <sheetName val="[입찰안.xls][입찰안.xls]_____xls_1327"/>
      <sheetName val="[입찰안.xls][입찰안.xls]_____xls_1331"/>
      <sheetName val="[입찰안.xls][입찰안.xls]_____xls_1329"/>
      <sheetName val="[입찰안.xls][입찰안.xls]_____xls_1332"/>
      <sheetName val="집수정단면도 (2)"/>
      <sheetName val="평가표"/>
      <sheetName val="[입찰안.xls][입찰안.xls]_____xls_1366"/>
      <sheetName val="[입찰안.xls][입찰안.xls]_____xls_1334"/>
      <sheetName val="[입찰안.xls][입찰안.xls]_____xls_1333"/>
      <sheetName val="[입찰안.xls][입찰안.xls]_____xls_1335"/>
      <sheetName val="[입찰안.xls][입찰안.xls]_____xls_1344"/>
      <sheetName val="[입찰안.xls][입찰안.xls]_____xls_1348"/>
      <sheetName val="[입찰안.xls][입찰안.xls]_____xls_1336"/>
      <sheetName val="[입찰안.xls][입찰안.xls]_____xls_1337"/>
      <sheetName val="[입찰안.xls][입찰안.xls]_____xls_1338"/>
      <sheetName val="[입찰안.xls][입찰안.xls]_____xls_1339"/>
      <sheetName val="[입찰안.xls][입찰안.xls]_____xls_1340"/>
      <sheetName val="[입찰안.xls][입찰안.xls]_____xls_1341"/>
      <sheetName val="[입찰안.xls][입찰안.xls]_____xls_1342"/>
      <sheetName val="[입찰안.xls][입찰안.xls]_____xls_1343"/>
      <sheetName val="[입찰안.xls][입찰안.xls]_____xls_1347"/>
      <sheetName val="[입찰안.xls][입찰안.xls]_____xls_1345"/>
      <sheetName val="[입찰안.xls][입찰안.xls]_____xls_1346"/>
      <sheetName val="[입찰안.xls][입찰안.xls]_____xls_1356"/>
      <sheetName val="[입찰안.xls][입찰안.xls]_____xls_1349"/>
      <sheetName val="[입찰안.xls][입찰안.xls]_____xls_1352"/>
      <sheetName val="[입찰안.xls][입찰안.xls]_____xls_1350"/>
      <sheetName val="[입찰안.xls][입찰안.xls]_____xls_1351"/>
      <sheetName val="[입찰안.xls][입찰안.xls]_____xls_1353"/>
      <sheetName val="[입찰안.xls][입찰안.xls]_____xls_1354"/>
      <sheetName val="[입찰안.xls][입찰안.xls]_____xls_1355"/>
      <sheetName val="[입찰안.xls][입찰안.xls]_____xls_1358"/>
      <sheetName val="[입찰안.xls][입찰안.xls]_____xls_1357"/>
      <sheetName val="[입찰안.xls][입찰안.xls]_____xls_1361"/>
      <sheetName val="[입찰안.xls][입찰안.xls]_____xls_1367"/>
      <sheetName val="[입찰안.xls][입찰안.xls]_____xls_1359"/>
      <sheetName val="[입찰안.xls][입찰안.xls]_____xls_1360"/>
      <sheetName val="[입찰안.xls][입찰안.xls]_____xls_1363"/>
      <sheetName val="[입찰안.xls][입찰안.xls]_____xls_1362"/>
      <sheetName val="[입찰안.xls][입찰안.xls]_____xls_1364"/>
      <sheetName val="[입찰안.xls][입찰안.xls]_____xls_1365"/>
      <sheetName val="[입찰안_xls][입찰안_xls][입찰안_xls]_485"/>
      <sheetName val="[입찰안_xls][입찰안_xls][입찰안_xls]_471"/>
      <sheetName val="[입찰안_xls][입찰안_xls][입찰안_xls]_472"/>
      <sheetName val="[입찰안_xls][입찰안_xls][입찰안_xls]_477"/>
      <sheetName val="[입찰안_xls][입찰안_xls][입찰안_xls]_470"/>
      <sheetName val="[입찰안_xls][입찰안_xls][입찰안_xls]_473"/>
      <sheetName val="[입찰안_xls][입찰안_xls][입찰안_xls]_474"/>
      <sheetName val="[입찰안_xls][입찰안_xls][입찰안_xls]_475"/>
      <sheetName val="[입찰안_xls][입찰안_xls][입찰안_xls]_476"/>
      <sheetName val="[입찰안_xls][입찰안_xls][입찰안_xls]_478"/>
      <sheetName val="[입찰안_xls][입찰안_xls][입찰안_xls]_479"/>
      <sheetName val="[입찰안_xls][입찰안_xls][입찰안_xls]_480"/>
      <sheetName val="[입찰안_xls][입찰안_xls][입찰안_xls]_481"/>
      <sheetName val="[입찰안_xls][입찰안_xls][입찰안_xls]_482"/>
      <sheetName val="[입찰안_xls][입찰안_xls][입찰안_xls]_483"/>
      <sheetName val="[입찰안_xls][입찰안_xls][입찰안_xls]_484"/>
      <sheetName val="[입찰안_xls][입찰안_xls][입찰안_xls]_486"/>
      <sheetName val="[입찰안_xls][입찰안_xls][입찰안_xls]_487"/>
      <sheetName val="[입찰안_xls][입찰안_xls][입찰안_xls]_488"/>
      <sheetName val="[입찰안_xls][입찰안_xls][입찰안_xls]_489"/>
      <sheetName val="[입찰안_xls][입찰안_xls][입찰안_xls]_490"/>
      <sheetName val="[입찰안.xls][입찰안.xls]_____xls_1380"/>
      <sheetName val="[입찰안.xls][입찰안.xls]_____xls_1389"/>
      <sheetName val="[입찰안.xls][입찰안.xls]_____xls_1368"/>
      <sheetName val="[입찰안.xls][입찰안.xls]_____xls_1370"/>
      <sheetName val="[입찰안.xls][입찰안.xls]_____xls_1369"/>
      <sheetName val="[입찰안.xls][입찰안.xls]_____xls_1374"/>
      <sheetName val="[입찰안.xls][입찰안.xls]_____xls_1371"/>
      <sheetName val="[입찰안.xls][입찰안.xls]_____xls_1372"/>
      <sheetName val="[입찰안.xls][입찰안.xls]_____xls_1373"/>
      <sheetName val="[입찰안.xls][입찰안.xls]_____xls_1375"/>
      <sheetName val="[입찰안.xls][입찰안.xls]_____xls_1378"/>
      <sheetName val="[입찰안.xls][입찰안.xls]_____xls_1376"/>
      <sheetName val="[입찰안.xls][입찰안.xls]_____xls_1377"/>
      <sheetName val="[입찰안.xls][입찰안.xls]_____xls_1379"/>
      <sheetName val="[입찰안.xls][입찰안.xls]_____xls_1382"/>
      <sheetName val="[입찰안.xls][입찰안.xls]_____xls_1381"/>
      <sheetName val="[입찰안.xls][입찰안.xls]_____xls_1383"/>
      <sheetName val="[입찰안.xls][입찰안.xls]_____xls_1384"/>
      <sheetName val="[입찰안.xls][입찰안.xls]_____xls_1385"/>
      <sheetName val="[입찰안.xls][입찰안.xls]_____xls_1386"/>
      <sheetName val="[입찰안.xls][입찰안.xls]_____xls_1387"/>
      <sheetName val="[입찰안.xls][입찰안.xls]_____xls_1388"/>
      <sheetName val="생산직"/>
      <sheetName val="[입찰안.xls][입찰안.xls]_____xls_1393"/>
      <sheetName val="[입찰안.xls][입찰안.xls]_____xls_1410"/>
      <sheetName val="[입찰안.xls][입찰안.xls]_____xls_1395"/>
      <sheetName val="전산"/>
      <sheetName val="[입찰안.xls][입찰안.xls]_____xls_1390"/>
      <sheetName val="[입찰안.xls][입찰안.xls]_____xls_1391"/>
      <sheetName val="[입찰안.xls][입찰안.xls]_____xls_1392"/>
      <sheetName val="[입찰안.xls][입찰안.xls]_____xls_1394"/>
      <sheetName val="[입찰안.xls][입찰안.xls]_____xls_1396"/>
      <sheetName val="[입찰안.xls][입찰안.xls]_____xls_1397"/>
      <sheetName val="[입찰안.xls][입찰안.xls]_____xls_1398"/>
      <sheetName val="[입찰안.xls][입찰안.xls]_____xls_1399"/>
      <sheetName val="[입찰안.xls][입찰안.xls]_____xls_1400"/>
      <sheetName val="[입찰안.xls][입찰안.xls]_____xls_1401"/>
      <sheetName val="[입찰안.xls][입찰안.xls]_____xls_1402"/>
      <sheetName val="[입찰안.xls][입찰안.xls]_____xls_1403"/>
      <sheetName val="[입찰안.xls][입찰안.xls]_____xls_1404"/>
      <sheetName val="[입찰안.xls][입찰안.xls]_____xls_1405"/>
      <sheetName val="[입찰안.xls][입찰안.xls]_____xls_1406"/>
      <sheetName val="[입찰안.xls][입찰안.xls]_____xls_1407"/>
      <sheetName val="[입찰안.xls][입찰안.xls]_____xls_1408"/>
      <sheetName val="[입찰안.xls][입찰안.xls]_____xls_1409"/>
      <sheetName val="[입찰안.xls][입찰안.xls]_____xls_1412"/>
      <sheetName val="[입찰안.xls][입찰안.xls]_____xls_1411"/>
      <sheetName val="항목등록"/>
      <sheetName val="[입찰안.xls][입찰안.xls]_____xls_1417"/>
      <sheetName val="[입찰안.xls][입찰안.xls]_____xls_1415"/>
      <sheetName val="[입찰안.xls][입찰안.xls]_____xls_1413"/>
      <sheetName val="[입찰안.xls][입찰안.xls]_____xls_1414"/>
      <sheetName val="[입찰안.xls][입찰안.xls]_____xls_1416"/>
      <sheetName val="[입찰안.xls][입찰안.xls]_____xls_1450"/>
      <sheetName val="[입찰안.xls][입찰안.xls]_____xls_1449"/>
      <sheetName val="[입찰안.xls][입찰안.xls]_____xls_1429"/>
      <sheetName val="[입찰안.xls][입찰안.xls]_____xls_1418"/>
      <sheetName val="[입찰안.xls][입찰안.xls]_____xls_1419"/>
      <sheetName val="[입찰안.xls][입찰안.xls]_____xls_1420"/>
      <sheetName val="[입찰안.xls][입찰안.xls]_____xls_1421"/>
      <sheetName val="[입찰안.xls][입찰안.xls]_____xls_1422"/>
      <sheetName val="[입찰안.xls][입찰안.xls]_____xls_1423"/>
      <sheetName val="[입찰안.xls][입찰안.xls]_____xls_1424"/>
      <sheetName val="[입찰안.xls][입찰안.xls]_____xls_1425"/>
      <sheetName val="[입찰안.xls][입찰안.xls]_____xls_1426"/>
      <sheetName val="[입찰안.xls][입찰안.xls]_____xls_1427"/>
      <sheetName val="[입찰안.xls][입찰안.xls]_____xls_1428"/>
      <sheetName val="[입찰안.xls][입찰안.xls]_____xls_1430"/>
      <sheetName val="[입찰안.xls][입찰안.xls]_____xls_1431"/>
      <sheetName val="[입찰안.xls][입찰안.xls]_____xls_1432"/>
      <sheetName val="[입찰안.xls][입찰안.xls]_____xls_1433"/>
      <sheetName val="[입찰안.xls][입찰안.xls]_____xls_1434"/>
      <sheetName val="[입찰안.xls][입찰안.xls]_____xls_1435"/>
      <sheetName val="[입찰안.xls][입찰안.xls]_____xls_1436"/>
      <sheetName val="[입찰안.xls][입찰안.xls]_____xls_1437"/>
      <sheetName val="[입찰안.xls][입찰안.xls]_____xls_1438"/>
      <sheetName val="[입찰안.xls][입찰안.xls]_____xls_1439"/>
      <sheetName val="[입찰안.xls][입찰안.xls]_____xls_1440"/>
      <sheetName val="[입찰안.xls][입찰안.xls]_____xls_1441"/>
      <sheetName val="[입찰안.xls][입찰안.xls]_____xls_1442"/>
      <sheetName val="[입찰안.xls][입찰안.xls]_____xls_1443"/>
      <sheetName val="[입찰안.xls][입찰안.xls]_____xls_1444"/>
      <sheetName val="[입찰안.xls][입찰안.xls]_____xls_1445"/>
      <sheetName val="[입찰안.xls][입찰안.xls]_____xls_1446"/>
      <sheetName val="[입찰안.xls][입찰안.xls]_____xls_1447"/>
      <sheetName val="[입찰안.xls][입찰안.xls]_____xls_1448"/>
      <sheetName val="6__안培¹_x0000__x0000_"/>
      <sheetName val="6__안培ú_x0000__x0000_"/>
      <sheetName val="[입찰안.xls][입찰안.xls]_____xls_1452"/>
      <sheetName val="[입찰안.xls][입찰안.xls]_____xls_1451"/>
      <sheetName val="[입찰안.xls][입찰안.xls]_____xls_1453"/>
      <sheetName val="[입찰안.xls][입찰안.xls]_____xls_1460"/>
      <sheetName val="[입찰안.xls][입찰안.xls]_____xls_1454"/>
      <sheetName val="[입찰안.xls][입찰안.xls]_____xls_1455"/>
      <sheetName val="[입찰안.xls][입찰안.xls]_____xls_1456"/>
      <sheetName val="[입찰안.xls][입찰안.xls]_____xls_1457"/>
      <sheetName val="[입찰안.xls][입찰안.xls]_____xls_1458"/>
      <sheetName val="[입찰안.xls][입찰안.xls]_____xls_1459"/>
      <sheetName val="[입찰안.xls][입찰안.xls]_____xls_1463"/>
      <sheetName val="[입찰안.xls][입찰안.xls]_____xls_1461"/>
      <sheetName val="[입찰안.xls][입찰안.xls]_____xls_1462"/>
      <sheetName val="[입찰안.xls][입찰안.xls]_____xls_1466"/>
      <sheetName val="[입찰안.xls][입찰안.xls]_____xls_1468"/>
      <sheetName val="[입찰안.xls][입찰안.xls]_____xls_1464"/>
      <sheetName val="[입찰안.xls][입찰안.xls]_____xls_1465"/>
      <sheetName val="[입찰안.xls][입찰안.xls]_____xls_1467"/>
      <sheetName val="[입찰안.xls][입찰안.xls]_____xls_1472"/>
      <sheetName val="[입찰안.xls][입찰안.xls]_____xls_1469"/>
      <sheetName val="[입찰안.xls][입찰안.xls]_____xls_1470"/>
      <sheetName val="[입찰안.xls][입찰안.xls]_____xls_1471"/>
      <sheetName val="11_산출_x0000__x0000__x0005__x0000_"/>
      <sheetName val="일용직"/>
      <sheetName val="일위대가-내역 "/>
      <sheetName val="5호광장_(만점)11"/>
      <sheetName val="인천국제_(만점)_(2)11"/>
      <sheetName val="Total_단위경유량집계11"/>
      <sheetName val="BH-1_(2)11"/>
      <sheetName val="표__지11"/>
      <sheetName val="준검_내역서11"/>
      <sheetName val="토공유동표(전체_당초)11"/>
      <sheetName val="1_수인터널11"/>
      <sheetName val="앉음벽_(2)11"/>
      <sheetName val="_HIT__HMC_견적_3900_11"/>
      <sheetName val="I_설계조건11"/>
      <sheetName val="4_전기11"/>
      <sheetName val="7__현장관리비_11"/>
      <sheetName val="6__안전관리비11"/>
      <sheetName val="1_설계조건11"/>
      <sheetName val="소포내역_(2)11"/>
      <sheetName val="노원열병합__건축공사기성내역서11"/>
      <sheetName val="조도계산서_(도서)11"/>
      <sheetName val="3련_BOX11"/>
      <sheetName val="11_산출(전열)11"/>
      <sheetName val="6_산출(동력)11"/>
      <sheetName val="7_산출(TRAY)11"/>
      <sheetName val="5_산출(전력)10"/>
      <sheetName val="수량산출서(전력간선_지하D_C)10"/>
      <sheetName val="MSS_211"/>
      <sheetName val="우수관매설및_우수받이11"/>
      <sheetName val="11_우각부_보강11"/>
      <sheetName val="제출내역_(2)11"/>
      <sheetName val="플랜트_설치10"/>
      <sheetName val="보고서_기기리스트10"/>
      <sheetName val="2_1__노무비_평균단가산출10"/>
      <sheetName val="내역_ver1_011"/>
      <sheetName val="내___역10"/>
      <sheetName val="plan&amp;section_of_foundation11"/>
      <sheetName val="pile_bearing_capa_&amp;_arrenge11"/>
      <sheetName val="working_load_at_the_btm_ft_11"/>
      <sheetName val="stability_check11"/>
      <sheetName val="design_criteria11"/>
      <sheetName val="배수내역_(2)10"/>
      <sheetName val="배수공_시멘트_및_골재량_산출10"/>
      <sheetName val="A_견적10"/>
      <sheetName val="Customer_Databas10"/>
      <sheetName val="목차_10"/>
      <sheetName val="6PILE__(돌출)10"/>
      <sheetName val="_HIT-&gt;HMC_견적(3900)10"/>
      <sheetName val="전_기10"/>
      <sheetName val="spc_배관견적10"/>
      <sheetName val="SHEET_PILE단가10"/>
      <sheetName val="unit_410"/>
      <sheetName val="BH_1__2_10"/>
      <sheetName val="도담구내_개소별_명세10"/>
      <sheetName val="화재_탐지_설비10"/>
      <sheetName val="귀래_설계_공내역서10"/>
      <sheetName val="2차전체변경예정_(2)10"/>
      <sheetName val="3_1공사현황_공정표10"/>
      <sheetName val="개인별_순위표10"/>
      <sheetName val="세골재__T2_변경_현황10"/>
      <sheetName val="8_현장관리비10"/>
      <sheetName val="7_안전관리비10"/>
      <sheetName val="1_설계기준10"/>
      <sheetName val="1_취수장10"/>
      <sheetName val="설_계10"/>
      <sheetName val="Cash_Flow-110"/>
      <sheetName val="노임_단가10"/>
      <sheetName val="投标材料清单_10"/>
      <sheetName val="별표_10"/>
      <sheetName val="3_공통공사대비10"/>
      <sheetName val="단가_및_재료비10"/>
      <sheetName val="내역서_10"/>
      <sheetName val="집_계_표10"/>
      <sheetName val="RETAIL_(ABOVE)10"/>
      <sheetName val="5__현장관리비(new)_10"/>
      <sheetName val="노임단가_(2)10"/>
      <sheetName val="7_공정표10"/>
      <sheetName val="단면_(2)10"/>
      <sheetName val="장비비_명세서110"/>
      <sheetName val="단___산9"/>
      <sheetName val="실____단9"/>
      <sheetName val="6__수량산출서9"/>
      <sheetName val="노무비_근거9"/>
      <sheetName val="참조_(2)9"/>
      <sheetName val="2_대외공문10"/>
      <sheetName val="Eq__Mobilization10"/>
      <sheetName val="_갑지9"/>
      <sheetName val="제수변_수량집계표(보통)9"/>
      <sheetName val="장비_(2)9"/>
      <sheetName val="3BL공동구_수량9"/>
      <sheetName val="전선_및_전선관9"/>
      <sheetName val="CM_19"/>
      <sheetName val="5_동별횡주관경9"/>
      <sheetName val="암거_제원표9"/>
      <sheetName val="내역서1999_8최종9"/>
      <sheetName val="Sheet1_(2)9"/>
      <sheetName val="수량산출서_(2)8"/>
      <sheetName val="토공_total8"/>
      <sheetName val="기성(1차)_8"/>
      <sheetName val="전사_(2)8"/>
      <sheetName val="BA_(2)8"/>
      <sheetName val="CP_(2)8"/>
      <sheetName val="일위대가56-1_8"/>
      <sheetName val="일위대가71-1_8"/>
      <sheetName val="일위대가74-1_8"/>
      <sheetName val="일위대가76-1_8"/>
      <sheetName val="일위대가77-1_8"/>
      <sheetName val="일위대가78-1_8"/>
      <sheetName val="_소방공사_산출근거8"/>
      <sheetName val="습식및_셀프레벨링9"/>
      <sheetName val="1차_내역서9"/>
      <sheetName val="BSD_(2)8"/>
      <sheetName val="바_한일양산8"/>
      <sheetName val="Project_Brief8"/>
      <sheetName val="영업_일18"/>
      <sheetName val="기기_내역서8"/>
      <sheetName val="일위대가_9"/>
      <sheetName val="4_LINE9"/>
      <sheetName val="7_th9"/>
      <sheetName val="1_CB8"/>
      <sheetName val="유효폭의_계산7"/>
      <sheetName val="아파트_7"/>
      <sheetName val="변경명신물량_(2)8"/>
      <sheetName val="토공_토적표8"/>
      <sheetName val="갑지_을지7"/>
      <sheetName val="2-2_매출분석7"/>
      <sheetName val="미납품_현황7"/>
      <sheetName val="STEEL_BOX_단면설계(SEC_8)7"/>
      <sheetName val="도담구내_개소별_명柖9"/>
      <sheetName val="danh_muc_vat_tu9"/>
      <sheetName val="Register-BG_NCC9"/>
      <sheetName val="Data_29"/>
      <sheetName val="TB_chính9"/>
      <sheetName val="Steel_pipe9"/>
      <sheetName val="Ref_pipe+Ins9"/>
      <sheetName val="Plastic_pipe9"/>
      <sheetName val="Air_Grilles9"/>
      <sheetName val="Cost_bd-&quot;A&quot;9"/>
      <sheetName val="갑지_설계_내역서7"/>
      <sheetName val="기존단가_(2)8"/>
      <sheetName val="설명서_7"/>
      <sheetName val="_FURNACE현설6"/>
      <sheetName val="97_사업추정(WEKI)6"/>
      <sheetName val="8_설치품셈6"/>
      <sheetName val="ITB_COST7"/>
      <sheetName val="자격_땡겨오기7"/>
      <sheetName val="05년_상7"/>
      <sheetName val="영흥TL(UP,DOWN)_7"/>
      <sheetName val="단양_00_아파트-세부내역7"/>
      <sheetName val="2_단면가정_(양곡1교)7"/>
      <sheetName val="8_PILE__(돌출)7"/>
      <sheetName val="1_내역(청_하역장전등)7"/>
      <sheetName val="2000_056"/>
      <sheetName val="표지_(2)7"/>
      <sheetName val="Xunit_(단위환산)7"/>
      <sheetName val="4__VOs_summary8"/>
      <sheetName val="수량산출서_갑지7"/>
      <sheetName val="장비코드표_0506017"/>
      <sheetName val="2007년_생산1부장비7"/>
      <sheetName val="2008년_생산부전장비코드7"/>
      <sheetName val="DDB부_장비_관리현황7"/>
      <sheetName val="Chiet_tinh_dz358"/>
      <sheetName val="Bảng_mã_VT8"/>
      <sheetName val="DATA_LISTS6"/>
      <sheetName val="4_2_1_마루높이_검토7"/>
      <sheetName val="_견적서7"/>
      <sheetName val="품셈_6"/>
      <sheetName val="M-EMS_GP-570(BIT)6"/>
      <sheetName val="내역서_제출7"/>
      <sheetName val="19_07월_세_계6"/>
      <sheetName val="19_07항목별(시트복사금지100번쓰기)6"/>
      <sheetName val="19_05월6"/>
      <sheetName val="TABLE_DB6"/>
      <sheetName val="쌍용_data_base6"/>
      <sheetName val="내역(인테리어_실내)(도급)6"/>
      <sheetName val="내역(인테리어_실외)(도급)6"/>
      <sheetName val="Elec_LG6"/>
      <sheetName val="ESTI_6"/>
      <sheetName val="D_&amp;_W_sizes6"/>
      <sheetName val="Gia_vat_tu6"/>
      <sheetName val="dtct_cong6"/>
      <sheetName val="DGCT_(01)6"/>
      <sheetName val="SCOPE_OF_WORK6"/>
      <sheetName val="Chi_tiet6"/>
      <sheetName val="nhôm_1,2mm6"/>
      <sheetName val="nhôm_1,4mm6"/>
      <sheetName val="01__DATA6"/>
      <sheetName val="중기조종사_단위단가6"/>
      <sheetName val="자재기성_신청서_xlsx6"/>
      <sheetName val="0_목록16"/>
      <sheetName val="So_sanh5"/>
      <sheetName val="[입찰안_xls][입찰안_xls][입찰안_xls]B299"/>
      <sheetName val="[입찰안_xls][입찰안_xls][입찰안_xls]B300"/>
      <sheetName val="[입찰안_xls][입찰안_xls][입찰안_xls]B301"/>
      <sheetName val="[입찰안_xls][입찰안_xls][입찰안_xls]B302"/>
      <sheetName val="[입찰안_xls][입찰안_xls][입찰안_xls]B303"/>
      <sheetName val="[입찰안_xls][입찰안_xls][입찰안_xls]B304"/>
      <sheetName val="[입찰안_xls][입찰안_xls][입찰안_xls]B305"/>
      <sheetName val="[입찰안_xls][입찰안_xls][입찰안_xls]B306"/>
      <sheetName val="PROJ__DATA5"/>
      <sheetName val="_Beams_Sched_5"/>
      <sheetName val="[입찰안_xls][입찰안_xls][입찰안_xls]B307"/>
      <sheetName val="[입찰안_xls][입찰안_xls][입찰안_xls]B308"/>
      <sheetName val="[입찰안_xls][입찰안_xls][입찰안_xls]B309"/>
      <sheetName val="[입찰안_xls][입찰안_xls][입찰안_xls]B310"/>
      <sheetName val="[입찰안_xls][입찰안_xls][입찰안_xls]B311"/>
      <sheetName val="[입찰안_xls][입찰안_xls][입찰안_xls]B312"/>
      <sheetName val="[입찰안_xls][입찰안_xls][입찰안_xls]B313"/>
      <sheetName val="[입찰안_xls][입찰안_xls][입찰안_xls]B314"/>
      <sheetName val="[입찰안_xls][입찰안_xls][입찰안_xls]B315"/>
      <sheetName val="[입찰안_xls][입찰안_xls][입찰안_xls]B316"/>
      <sheetName val="[입찰안_xls][입찰안_xls][입찰안_xls]B317"/>
      <sheetName val="[입찰안_xls][입찰안_xls][입찰안_xls]B318"/>
      <sheetName val="[입찰안_xls][입찰안_xls][입찰안_xls]B319"/>
      <sheetName val="[입찰안_xls][입찰안_xls][입찰안_xls]B320"/>
      <sheetName val="[입찰안_xls][입찰안_xls][입찰안_xls]B321"/>
      <sheetName val="[입찰안_xls][입찰안_xls][입찰안_xls]B322"/>
      <sheetName val="[입찰안_xls][입찰안_xls][입찰안_xls]B323"/>
      <sheetName val="[입찰안_xls][입찰안_xls][입찰안_xls]B324"/>
      <sheetName val="[입찰안_xls][입찰안_xls][입찰안_xls]__24"/>
      <sheetName val="[입찰안_xls][입찰안_xls][입찰안_xls]__25"/>
      <sheetName val="[입찰안_xls][입찰안_xls][입찰안_xls]B325"/>
      <sheetName val="[입찰안_xls][입찰안_xls][입찰안_xls]B326"/>
      <sheetName val="[입찰안_xls][입찰안_xls][입찰안_xls]B327"/>
      <sheetName val="[입찰안_xls][입찰안_xls][입찰안_xls]B328"/>
      <sheetName val="Cọc_nhồi5"/>
      <sheetName val="Phan_tich_ca_may5"/>
      <sheetName val="Chenh_lech_ca_may5"/>
      <sheetName val="TLg_CN&amp;Laixe5"/>
      <sheetName val="TLg_CN&amp;Laixe_(2)5"/>
      <sheetName val="TLg_Laitau5"/>
      <sheetName val="TLg_Laitau_(2)5"/>
      <sheetName val="Dầm_15"/>
      <sheetName val="Gia_VLNCMTC5"/>
      <sheetName val="Sàn_T15"/>
      <sheetName val="Lỗ_thông_gió5"/>
      <sheetName val="Sàn_tầng_01_(_old_)5"/>
      <sheetName val="Chiet_tinh_don_gia_CM5"/>
      <sheetName val="Measure_13065"/>
      <sheetName val="EE_(3)5"/>
      <sheetName val="RAB_AR&amp;STR4"/>
      <sheetName val="Isolasi_Luar_Dalam4"/>
      <sheetName val="Isolasi_Luar4"/>
      <sheetName val="Div26_-_Elect4"/>
      <sheetName val="U_P_Breakdown4"/>
      <sheetName val="1_R18_BF4"/>
      <sheetName val="6_External_works-R184"/>
      <sheetName val="[입찰안_xls][입찰안_xls][입찰안_xls]B329"/>
      <sheetName val="[입찰안_xls][입찰안_xls][입찰안_xls]B330"/>
      <sheetName val="[입찰안_xls][입찰안_xls][입찰안_xls]B331"/>
      <sheetName val="[입찰안_xls][입찰안_xls][입찰안_xls]B332"/>
      <sheetName val="[입찰안_xls][입찰안_xls][입찰안_xls]B333"/>
      <sheetName val="[입찰안_xls][입찰안_xls][입찰안_xls]B334"/>
      <sheetName val="[입찰안_xls][입찰안_xls][입찰안_xls]B335"/>
      <sheetName val="[입찰안_xls][입찰안_xls][입찰안_xls]B336"/>
      <sheetName val="[입찰안_xls][입찰안_xls][입찰안_xls]B337"/>
      <sheetName val="[입찰안_xls][입찰안_xls][입찰안_xls]B338"/>
      <sheetName val="[입찰안_xls][입찰안_xls][입찰안_xls]B339"/>
      <sheetName val="[입찰안_xls][입찰안_xls][입찰안_xls]B340"/>
      <sheetName val="[입찰안_xls][입찰안_xls][입찰안_xls]B341"/>
      <sheetName val="[입찰안_xls][입찰안_xls][입찰안_xls]B342"/>
      <sheetName val="견적비교표_(2)3"/>
      <sheetName val="결재방(지우지_마세요)3"/>
      <sheetName val="EXCHANGE_RATE3"/>
      <sheetName val="[입찰안_xls][입찰안_xls][입찰안_xls]B343"/>
      <sheetName val="[입찰안_xls][입찰안_xls][입찰안_xls]B344"/>
      <sheetName val="TOWER_12TON3"/>
      <sheetName val="공사투입계획(변경결의)19_93"/>
      <sheetName val="노무비_월별지급현황19_93"/>
      <sheetName val="갑지(외주기성)19_93"/>
      <sheetName val="[입찰안_xls][입찰안_xls][입찰안_xls]B345"/>
      <sheetName val="노임단가_및_기계경비3"/>
      <sheetName val="실행내역서_3"/>
      <sheetName val="[입찰안_xls][입찰안_xls][입찰안_xls]B346"/>
      <sheetName val="[입찰안_xls][입찰안_xls][입찰안_xls]B347"/>
      <sheetName val="[입찰안_xls][입찰안_xls][입찰안_xls]B348"/>
      <sheetName val="[입찰안_xls][입찰안_xls][입찰안_xls]B349"/>
      <sheetName val="[입찰안_xls][입찰안_xls][입찰안_xls]B350"/>
      <sheetName val="[입찰안_xls][입찰안_xls][입찰안_xls]B351"/>
      <sheetName val="중강당_내역3"/>
      <sheetName val="[입찰안_xls][입찰안_xls][입찰안_xls]B352"/>
      <sheetName val="[입찰안_xls][입찰안_xls][입찰안_xls]B353"/>
      <sheetName val="[입찰안_xls][입찰안_xls][입찰안_xls]B354"/>
      <sheetName val="[입찰안_xls][입찰안_xls][입찰안_xls]B355"/>
      <sheetName val="[입찰안_xls][입찰안_xls][입찰안_xls]B356"/>
      <sheetName val="[입찰안_xls][입찰안_xls][입찰안_xls]B357"/>
      <sheetName val="[입찰안_xls][입찰안_xls][입찰안_xls]B358"/>
      <sheetName val="[입찰안_xls][입찰안_xls][입찰안_xls]B359"/>
      <sheetName val="[입찰안_xls][입찰안_xls][입찰안_xls]B360"/>
      <sheetName val="[입찰안_xls][입찰안_xls][입찰안_xls]B361"/>
      <sheetName val="[입찰안_xls][입찰안_xls][입찰안_xls]B362"/>
      <sheetName val="[입찰안_xls][입찰안_xls][입찰안_xls]B363"/>
      <sheetName val="[입찰안_xls][입찰안_xls][입찰안_xls]B364"/>
      <sheetName val="[입찰안_xls][입찰안_xls][입찰안_xls]B365"/>
      <sheetName val="6-1_보오링(1)3"/>
      <sheetName val="할증_4"/>
      <sheetName val="간접비_총괄표4"/>
      <sheetName val="노_표-조2"/>
      <sheetName val="[입찰안_xls][입찰안_xls][입찰안_xls]B366"/>
      <sheetName val="[입찰안_xls][입찰안_xls][입찰안_xls]B367"/>
      <sheetName val="Requirement(Work_Crew)2"/>
      <sheetName val="[입찰안_xls][입찰안_xls][입찰안_xls]B368"/>
      <sheetName val="[입찰안_xls][입찰안_xls][입찰안_xls]B369"/>
      <sheetName val="[입찰안_xls][입찰안_xls][입찰안_xls]B370"/>
      <sheetName val="[입찰안_xls][입찰안_xls][입찰안_xls]B371"/>
      <sheetName val="[입찰안_xls][입찰안_xls][입찰안_xls]B372"/>
      <sheetName val="[입찰안_xls][입찰안_xls][입찰안_xls]B373"/>
      <sheetName val="[입찰안_xls][입찰안_xls][입찰안_xls]B374"/>
      <sheetName val="[입찰안_xls][입찰안_xls][입찰안_xls]B375"/>
      <sheetName val="[입찰안_xls][입찰안_xls][입찰안_xls]B376"/>
      <sheetName val="[입찰안_xls][입찰안_xls][입찰안_xls]B377"/>
      <sheetName val="[입찰안_xls][입찰안_xls][입찰안_xls]B378"/>
      <sheetName val="[입찰안_xls][입찰안_xls][입찰안_xls]B379"/>
      <sheetName val="[입찰안_xls][입찰안_xls][입찰안_xls]B380"/>
      <sheetName val="[입찰안_xls][입찰안_xls][입찰안_xls]B381"/>
      <sheetName val="[입찰안_xls][입찰안_xls][입찰안_xls]B382"/>
      <sheetName val="[입찰안_xls][입찰안_xls][입찰안_xls]B383"/>
      <sheetName val="[입찰안_xls][입찰안_xls][입찰안_xls]B384"/>
      <sheetName val="[입찰안_xls][입찰안_xls][입찰안_xls]B385"/>
      <sheetName val="[입찰안_xls][입찰안_xls][입찰안_xls]B386"/>
      <sheetName val="[입찰안_xls][입찰안_xls][입찰안_xls]B387"/>
      <sheetName val="[입찰안_xls][입찰안_xls][입찰안_xls]B388"/>
      <sheetName val="[입찰안_xls][입찰안_xls][입찰안_xls]B389"/>
      <sheetName val="[입찰안_xls][입찰안_xls][입찰안_xls]B390"/>
      <sheetName val="[입찰안_xls][입찰안_xls][입찰안_xls]B391"/>
      <sheetName val="[입찰안_xls][입찰안_xls][입찰안_xls]B392"/>
      <sheetName val="[입찰안_xls][입찰안_xls][입찰안_xls]B393"/>
      <sheetName val="[입찰안_xls][입찰안_xls][입찰안_xls]B394"/>
      <sheetName val="[입찰안_xls][입찰안_xls][입찰안_xls]B395"/>
      <sheetName val="[입찰안_xls][입찰안_xls][입찰안_xls]_978"/>
      <sheetName val="[입찰안_xls][입찰안_xls][입찰안_xls]_979"/>
      <sheetName val="[입찰안_xls][입찰안_xls][입찰안_xls]B396"/>
      <sheetName val="[입찰안_xls][입찰안_xls][입찰안_xls]_980"/>
      <sheetName val="[입찰안_xls][입찰안_xls][입찰안_xls]_981"/>
      <sheetName val="[입찰안_xls][입찰안_xls][입찰안_xls]_982"/>
      <sheetName val="[입찰안_xls][입찰안_xls][입찰안_xls]_983"/>
      <sheetName val="[입찰안_xls][입찰안_xls][입찰안_xls]_984"/>
      <sheetName val="[입찰안_xls][입찰안_xls][입찰안_xls]_985"/>
      <sheetName val="[입찰안_xls][입찰안_xls][입찰안_xls]_986"/>
      <sheetName val="[입찰안_xls][입찰안_xls][입찰안_xls]_987"/>
      <sheetName val="[입찰안_xls][입찰안_xls][입찰안_xls]_988"/>
      <sheetName val="[입찰안_xls][입찰안_xls][입찰안_xls]_989"/>
      <sheetName val="[입찰안_xls][입찰안_xls][입찰안_xls]_990"/>
      <sheetName val="[입찰안_xls][입찰안_xls][입찰안_xls]_991"/>
      <sheetName val="[입찰안_xls][입찰안_xls][입찰안_xls]_992"/>
      <sheetName val="[입찰안_xls][입찰안_xls][입찰안_xls]_993"/>
      <sheetName val="[입찰안_xls][입찰안_xls][입찰안_xls]_994"/>
      <sheetName val="[입찰안_xls][입찰안_xls][입찰안_xls]_995"/>
      <sheetName val="[입찰안_xls][입찰안_xls][입찰안_xls]_996"/>
      <sheetName val="[입찰안_xls][입찰안_xls][입찰안_xls]_997"/>
      <sheetName val="[입찰안_xls][입찰안_xls][입찰안_xls]__26"/>
      <sheetName val="[입찰안_xls][입찰안_xls][입찰안_xls]_998"/>
      <sheetName val="[입찰안_xls][입찰안_xls][입찰안_xls]_999"/>
      <sheetName val="[입찰안_xls][입찰안_xls][입찰안_xls]1000"/>
      <sheetName val="[입찰안_xls][입찰안_xls][입찰안_xls]1001"/>
      <sheetName val="[입찰안_xls][입찰안_xls][입찰안_xls]1002"/>
      <sheetName val="[입찰안_xls][입찰안_xls][입찰안_xls]1003"/>
      <sheetName val="[입찰안_xls][입찰안_xls][입찰안_xls]1004"/>
      <sheetName val="[입찰안_xls][입찰안_xls][입찰안_xls]1005"/>
      <sheetName val="사__업__비__수__지__예__산__서2"/>
      <sheetName val="[입찰안_xls][입찰안_xls][입찰안_xls]1006"/>
      <sheetName val="General_Data2"/>
      <sheetName val="Bill_01_-_CTN4"/>
      <sheetName val="020_235_23634"/>
      <sheetName val="CHITIET_VL-NC-TT1p4"/>
      <sheetName val="Project_Infor4"/>
      <sheetName val="Data_input4"/>
      <sheetName val="[입찰안_xls][입찰안_xls][입찰안_xls]1007"/>
      <sheetName val="[입찰안_xls][입찰안_xls][입찰안_xls]1008"/>
      <sheetName val="[입찰안_xls][입찰안_xls][입찰안_xls]1009"/>
      <sheetName val="[입찰안_xls][입찰안_xls][입찰안_xls]1010"/>
      <sheetName val="[입찰안_xls][입찰안_xls][입찰안_xls]1011"/>
      <sheetName val="[입찰안_xls][입찰안_xls][입찰안_xls]1012"/>
      <sheetName val="[입찰안_xls][입찰안_xls][입찰안_xls]1013"/>
      <sheetName val="[입찰안_xls][입찰안_xls][입찰안_xls]1014"/>
      <sheetName val="[입찰안_xls][입찰안_xls][입찰안_xls]1015"/>
      <sheetName val="[입찰안_xls][입찰안_xls][입찰안_xls]1016"/>
      <sheetName val="[입찰안_xls][입찰안_xls][입찰안_xls]1017"/>
      <sheetName val="[입찰안_xls][입찰안_xls][입찰안_xls]1018"/>
      <sheetName val="[입찰안_xls][입찰안_xls][입찰안_xls]1019"/>
      <sheetName val="[입찰안_xls][입찰안_xls][입찰안_xls]1020"/>
      <sheetName val="[입찰안_xls][입찰안_xls][입찰안_xls]1021"/>
      <sheetName val="[입찰안_xls][입찰안_xls][입찰안_xls]1022"/>
      <sheetName val="[입찰안_xls][입찰안_xls][입찰안_xls]1023"/>
      <sheetName val="[입찰안_xls][입찰안_xls][입찰안_xls]1024"/>
      <sheetName val="[입찰안_xls][입찰안_xls][입찰안_xls]1025"/>
      <sheetName val="[입찰안_xls][입찰안_xls][입찰안_xls]1026"/>
      <sheetName val="[입찰안_xls][입찰안_xls][입찰안_xls]1027"/>
      <sheetName val="[입찰안_xls][입찰안_xls][입찰안_xls]1028"/>
      <sheetName val="[입찰안_xls][입찰안_xls][입찰안_xls]1029"/>
      <sheetName val="[입찰안_xls][입찰안_xls][입찰안_xls]1030"/>
      <sheetName val="[입찰안_xls][입찰안_xls][입찰안_xls]1031"/>
      <sheetName val="[입찰안_xls][입찰안_xls][입찰안_xls]1032"/>
      <sheetName val="[입찰안_xls][입찰안_xls][입찰안_xls]1033"/>
      <sheetName val="[입찰안_xls][입찰안_xls][입찰안_xls]1034"/>
      <sheetName val="[입찰안_xls][입찰안_xls][입찰안_xls]1035"/>
      <sheetName val="[입찰안_xls][입찰안_xls][입찰안_xls]1036"/>
      <sheetName val="[입찰안_xls][입찰안_xls][입찰안_xls]1037"/>
      <sheetName val="[입찰안_xls][입찰안_xls][입찰안_xls]1038"/>
      <sheetName val="[입찰안_xls][입찰안_xls][입찰안_xls]1039"/>
      <sheetName val="[입찰안_xls][입찰안_xls][입찰안_xls]1040"/>
      <sheetName val="[입찰안_xls][입찰안_xls][입찰안_xls]1041"/>
      <sheetName val="[입찰안_xls][입찰안_xls][입찰안_xls]1042"/>
      <sheetName val="[입찰안_xls][입찰안_xls][입찰안_xls]1043"/>
      <sheetName val="[입찰안_xls][입찰안_xls][입찰안_xls]1044"/>
      <sheetName val="[입찰안_xls][입찰안_xls][입찰안_xls]1045"/>
      <sheetName val="[입찰안_xls][입찰안_xls][입찰안_xls]1046"/>
      <sheetName val="[입찰안_xls][입찰안_xls][입찰안_xls]1047"/>
      <sheetName val="[입찰안_xls][입찰안_xls][입찰안_xls]1048"/>
      <sheetName val="[입찰안_xls][입찰안_xls][입찰안_xls]1049"/>
      <sheetName val="[입찰안_xls][입찰안_xls][입찰안_xls]1050"/>
      <sheetName val="[입찰안_xls][입찰안_xls][입찰안_xls]1051"/>
      <sheetName val="[입찰안_xls][입찰안_xls][입찰안_xls]1052"/>
      <sheetName val="[입찰안_xls][입찰안_xls][입찰안_xls]1053"/>
      <sheetName val="[입찰안_xls][입찰안_xls][입찰안_xls]1054"/>
      <sheetName val="[입찰안_xls][입찰안_xls][입찰안_xls]1055"/>
      <sheetName val="[입찰안_xls][입찰안_xls][입찰안_xls]1056"/>
      <sheetName val="[입찰안_xls][입찰안_xls][입찰안_xls]1057"/>
      <sheetName val="[입찰안_xls][입찰안_xls][입찰안_xls]1058"/>
      <sheetName val="[입찰안_xls][입찰안_xls][입찰안_xls]1059"/>
      <sheetName val="[입찰안_xls][입찰안_xls][입찰안_xls]1060"/>
      <sheetName val="[입찰안_xls][입찰안_xls][입찰안_xls]1061"/>
      <sheetName val="[입찰안_xls][입찰안_xls][입찰안_xls]1062"/>
      <sheetName val="[입찰안_xls][입찰안_xls][입찰안_xls]1063"/>
      <sheetName val="[입찰안_xls][입찰안_xls][입찰안_xls]1064"/>
      <sheetName val="[입찰안_xls][입찰안_xls][입찰안_xls]1065"/>
      <sheetName val="[입찰안_xls][입찰안_xls][입찰안_xls]1066"/>
      <sheetName val="[입찰안_xls][입찰안_xls][입찰안_xls]1067"/>
      <sheetName val="[입찰안_xls][입찰안_xls][입찰안_xls]1068"/>
      <sheetName val="[입찰안_xls][입찰안_xls][입찰안_xls]1069"/>
      <sheetName val="[입찰안_xls][입찰안_xls][입찰안_xls]1070"/>
      <sheetName val="[입찰안_xls][입찰안_xls][입찰안_xls]1071"/>
      <sheetName val="[입찰안_xls][입찰안_xls][입찰안_xls]1072"/>
      <sheetName val="[입찰안_xls][입찰안_xls][입찰안_xls]1073"/>
      <sheetName val="[입찰안_xls][입찰안_xls][입찰안_xls]1074"/>
      <sheetName val="[입찰안_xls][입찰안_xls][입찰안_xls]1075"/>
      <sheetName val="[입찰안_xls][입찰안_xls][입찰안_xls]1076"/>
      <sheetName val="[입찰안_xls][입찰안_xls][입찰안_xls]1077"/>
      <sheetName val="[입찰안_xls][입찰안_xls][입찰안_xls]1078"/>
      <sheetName val="[입찰안_xls][입찰안_xls][입찰안_xls]1079"/>
      <sheetName val="[입찰안_xls][입찰안_xls][입찰안_xls]1080"/>
      <sheetName val="[입찰안_xls][입찰안_xls][입찰안_xls]1081"/>
      <sheetName val="[입찰안_xls][입찰안_xls][입찰안_xls]1082"/>
      <sheetName val="[입찰안_xls][입찰안_xls][입찰안_xls]1083"/>
      <sheetName val="[입찰안_xls][입찰안_xls][입찰안_xls]1084"/>
      <sheetName val="[입찰안_xls][입찰안_xls][입찰안_xls]1085"/>
      <sheetName val="[입찰안_xls][입찰안_xls][입찰안_xls]1086"/>
      <sheetName val="[입찰안_xls][입찰안_xls][입찰안_xls]1087"/>
      <sheetName val="[입찰안_xls][입찰안_xls][입찰안_xls]1088"/>
      <sheetName val="[입찰안_xls][입찰안_xls][입찰안_xls]1089"/>
      <sheetName val="[입찰안_xls][입찰안_xls][입찰안_xls]1090"/>
      <sheetName val="[입찰안_xls][입찰안_xls][입찰안_xls]1091"/>
      <sheetName val="[입찰안_xls][입찰안_xls][입찰안_xls]1092"/>
      <sheetName val="_입찰안_xls_직접뀀鞖_4"/>
      <sheetName val="_입찰안_xls__입찰안_xls_직접뀀鞖_4"/>
      <sheetName val="bang_TH4"/>
      <sheetName val="Sheet2_(2)2"/>
      <sheetName val="[입찰안_xls][입찰안_xls][입찰안_xls]1093"/>
      <sheetName val="[입찰안_xls][입찰안_xls][입찰안_xls]1094"/>
      <sheetName val="[입찰안_xls][입찰안_xls][입찰안_xls]1095"/>
      <sheetName val="[입찰안_xls][입찰안_xls][입찰안_xls]1096"/>
      <sheetName val="[입찰안_xls][입찰안_xls][입찰안_xls]1097"/>
      <sheetName val="[입찰안_xls][입찰안_xls][입찰안_xls]1098"/>
      <sheetName val="[입찰안_xls][입찰안_xls][입찰안_xls]1099"/>
      <sheetName val="[입찰안_xls][입찰안_xls][입찰안_xls]1100"/>
      <sheetName val="[입찰안_xls][입찰안_xls][입찰안_xls]1101"/>
      <sheetName val="A_LINE2"/>
      <sheetName val="[입찰안_xls][입찰안_xls][입찰안_xls]1102"/>
      <sheetName val="[입찰안_xls][입찰안_xls][입찰안_xls]1103"/>
      <sheetName val="[입찰안_xls][입찰안_xls][입찰안_xls]1104"/>
      <sheetName val="[입찰안_xls][입찰안_xls][입찰안_xls]1105"/>
      <sheetName val="[입찰안_xls][입찰안_xls][입찰안_xls]1106"/>
      <sheetName val="[입찰안_xls][입찰안_xls][입찰안_xls]1107"/>
      <sheetName val="[입찰안_xls][입찰안_xls][입찰안_xls]1108"/>
      <sheetName val="[입찰안_xls][입찰안_xls][입찰안_xls]1109"/>
      <sheetName val="[입찰안_xls][입찰안_xls][입찰안_xls]1110"/>
      <sheetName val="[입찰안_xls][입찰안_xls][입찰안_xls]1111"/>
      <sheetName val="[입찰안_xls][입찰안_xls][입찰안_xls]1112"/>
      <sheetName val="[입찰안_xls][입찰안_xls][입찰안_xls]1113"/>
      <sheetName val="[입찰안_xls][입찰안_xls][입찰안_xls]1114"/>
      <sheetName val="[입찰안_xls][입찰안_xls][입찰안_xls]1115"/>
      <sheetName val="[입찰안_xls][입찰안_xls][입찰안_xls]1116"/>
      <sheetName val="[입찰안_xls][입찰안_xls][입찰안_xls]1117"/>
      <sheetName val="[입찰안_xls][입찰안_xls][입찰안_xls]1118"/>
      <sheetName val="[입찰안_xls][입찰안_xls][입찰안_xls]1119"/>
      <sheetName val="[입찰안_xls][입찰안_xls][입찰안_xls]1120"/>
      <sheetName val="[입찰안_xls][입찰안_xls][입찰안_xls]1121"/>
      <sheetName val="[입찰안_xls][입찰안_xls][입찰안_xls]1122"/>
      <sheetName val="[입찰안_xls][입찰안_xls][입찰안_xls]1123"/>
      <sheetName val="[입찰안_xls][입찰안_xls][입찰안_xls]1124"/>
      <sheetName val="[입찰안_xls][입찰안_xls][입찰안_xls]1125"/>
      <sheetName val="[입찰안_xls][입찰안_xls][입찰안_xls]1126"/>
      <sheetName val="[입찰안_xls][입찰안_xls][입찰안_xls]1127"/>
      <sheetName val="[입찰안_xls][입찰안_xls][입찰안_xls]1128"/>
      <sheetName val="[입찰안_xls][입찰안_xls][입찰안_xls]1129"/>
      <sheetName val="[입찰안_xls][입찰안_xls][입찰안_xls]1130"/>
      <sheetName val="[입찰안_xls][입찰안_xls][입찰안_xls]1131"/>
      <sheetName val="[입찰안_xls][입찰안_xls][입찰안_xls]1132"/>
      <sheetName val="[입찰안_xls][입찰안_xls][입찰안_xls]1133"/>
      <sheetName val="[입찰안_xls][입찰안_xls][입찰안_xls]1134"/>
      <sheetName val="[입찰안_xls][입찰안_xls][입찰안_xls]1135"/>
      <sheetName val="[입찰안_xls][입찰안_xls][입찰안_xls]1136"/>
      <sheetName val="[입찰안_xls][입찰안_xls][입찰안_xls]1137"/>
      <sheetName val="[입찰안_xls][입찰안_xls][입찰안_xls]1138"/>
      <sheetName val="[입찰안_xls][입찰안_xls][입찰안_xls]1139"/>
      <sheetName val="[입찰안_xls][입찰안_xls][입찰안_xls]1140"/>
      <sheetName val="[입찰안_xls][입찰안_xls][입찰안_xls]1141"/>
      <sheetName val="[입찰안_xls][입찰안_xls][입찰안_xls]1142"/>
      <sheetName val="[입찰안_xls][입찰안_xls][입찰안_xls]1143"/>
      <sheetName val="[입찰안_xls][입찰안_xls][입찰안_xls]1144"/>
      <sheetName val="[입찰안_xls][입찰안_xls][입찰안_xls]1145"/>
      <sheetName val="[입찰안_xls][입찰안_xls][입찰안_xls]1146"/>
      <sheetName val="Phan_tho4"/>
      <sheetName val="Tien_Thuong4"/>
      <sheetName val="NC_XL_6T_cuoi_01_CTy4"/>
      <sheetName val="Data_-6T_dau4"/>
      <sheetName val="Cong_6T4"/>
      <sheetName val="[입찰안_xls][입찰안_xls][입찰안_xls]1147"/>
      <sheetName val="[입찰안_xls][입찰안_xls][입찰안_xls]__27"/>
      <sheetName val="[입찰안_xls][입찰안_xls][입찰안_xls]__28"/>
      <sheetName val="[입찰안_xls][입찰안_xls]직접뀀鞖/5"/>
      <sheetName val="[입찰안_xls][입찰안_xls][입찰안_xls]__29"/>
      <sheetName val="[입찰안_xls][입찰안_xls][입찰안_xls]1148"/>
      <sheetName val="[입찰안_xls][입찰안_xls][입찰안_xls]1149"/>
      <sheetName val="Khoi_luong2"/>
      <sheetName val="_입찰안_xls__입찰안_xls__입찰안_xls____5"/>
      <sheetName val="_입찰안_xls__입찰안_xls__입찰안_xls____6"/>
      <sheetName val="[입찰안_xls][입찰안_xls][입찰안_xls]1150"/>
      <sheetName val="[입찰안_xls][입찰안_xls][입찰안_xls]1151"/>
      <sheetName val="[입찰안_xls][입찰안_xls][입찰안_xls]1152"/>
      <sheetName val="[입찰안_xls][입찰안_xls][입찰안_xls]1153"/>
      <sheetName val="[입찰안_xls][입찰안_xls][입찰안_xls]1154"/>
      <sheetName val="[입찰안_xls][입찰안_xls][입찰안_xls]1155"/>
      <sheetName val="[입찰안_xls][입찰안_xls][입찰안_xls]1156"/>
      <sheetName val="[입찰안_xls][입찰안_xls][입찰안_xls]1157"/>
      <sheetName val="[입찰안_xls][입찰안_xls][입찰안_xls]1158"/>
      <sheetName val="[입찰안_xls][입찰안_xls][입찰안_xls]1159"/>
      <sheetName val="[입찰안_xls][입찰안_xls][입찰안_xls]1160"/>
      <sheetName val="[입찰안_xls][입찰안_xls][입찰안_xls]1161"/>
      <sheetName val="[입찰안_xls][입찰안_xls][입찰안_xls]1162"/>
      <sheetName val="[입찰안_xls][입찰안_xls][입찰안_xls]1163"/>
      <sheetName val="[입찰안_xls][입찰안_xls][입찰안_xls]1164"/>
      <sheetName val="[입찰안_xls][입찰안_xls][입찰안_xls]1165"/>
      <sheetName val="[입찰안_xls][입찰안_xls][입찰안_xls]1166"/>
      <sheetName val="[입찰안_xls][입찰안_xls][입찰안_xls]1167"/>
      <sheetName val="[입찰안_xls][입찰안_xls][입찰안_xls]1168"/>
      <sheetName val="[입찰안_xls][입찰안_xls][입찰안_xls]1169"/>
      <sheetName val="[입찰안_xls][입찰안_xls][입찰안_xls]1170"/>
      <sheetName val="[입찰안_xls][입찰안_xls][입찰안_xls]1171"/>
      <sheetName val="[입찰안_xls][입찰안_xls][입찰안_xls]1172"/>
      <sheetName val="[입찰안_xls][입찰안_xls][입찰안_xls]1173"/>
      <sheetName val="[입찰안_xls][입찰안_xls][입찰안_xls]1174"/>
      <sheetName val="[입찰안_xls][입찰안_xls][입찰안_xls]1175"/>
      <sheetName val="[입찰안_xls][입찰안_xls][입찰안_xls]1176"/>
      <sheetName val="[입찰안_xls][입찰안_xls][입찰안_xls]1177"/>
      <sheetName val="[입찰안_xls][입찰안_xls][입찰안_xls]1178"/>
      <sheetName val="[입찰안_xls][입찰안_xls][입찰안_xls]1179"/>
      <sheetName val="[입찰안_xls][입찰안_xls][입찰안_xls]1180"/>
      <sheetName val="[입찰안_xls][입찰안_xls][입찰안_xls]1181"/>
      <sheetName val="[입찰안_xls][입찰안_xls][입찰안_xls]1182"/>
      <sheetName val="[입찰안_xls][입찰안_xls][입찰안_xls]1183"/>
      <sheetName val="[입찰안_xls][입찰안_xls][입찰안_xls]1184"/>
      <sheetName val="[입찰안_xls][입찰안_xls][입찰안_xls]1185"/>
      <sheetName val="[입찰안_xls][입찰안_xls][입찰안_xls]1186"/>
      <sheetName val="[입찰안_xls][입찰안_xls][입찰안_xls]1187"/>
      <sheetName val="[입찰안_xls][입찰안_xls][입찰안_xls]1188"/>
      <sheetName val="[입찰안_xls][입찰안_xls][입찰안_xls]1189"/>
      <sheetName val="[입찰안_xls][입찰안_xls][입찰안_xls]1190"/>
      <sheetName val="[입찰안_xls][입찰안_xls][입찰안_xls]1191"/>
      <sheetName val="[입찰안_xls][입찰안_xls][입찰안_xls]1192"/>
      <sheetName val="[입찰안_xls][입찰안_xls][입찰안_xls]1193"/>
      <sheetName val="[입찰안_xls][입찰안_xls][입찰안_xls]1194"/>
      <sheetName val="[입찰안_xls][입찰안_xls][입찰안_xls]1195"/>
      <sheetName val="[입찰안_xls][입찰안_xls][입찰안_xls]1196"/>
      <sheetName val="[입찰안_xls][입찰안_xls][입찰안_xls]1197"/>
      <sheetName val="[입찰안_xls][입찰안_xls][입찰안_xls]1198"/>
      <sheetName val="[입찰안_xls][입찰안_xls][입찰안_xls]1199"/>
      <sheetName val="[입찰안_xls][입찰안_xls][입찰안_xls]1200"/>
      <sheetName val="[입찰안_xls][입찰안_xls][입찰안_xls]1201"/>
      <sheetName val="[입찰안_xls][입찰안_xls][입찰안_xls]1202"/>
      <sheetName val="[입찰안_xls][입찰안_xls][입찰안_xls]1203"/>
      <sheetName val="[입찰안_xls][입찰안_xls][입찰안_xls]1204"/>
      <sheetName val="[입찰안_xls][입찰안_xls][입찰안_xls]1205"/>
      <sheetName val="[입찰안_xls][입찰안_xls][입찰안_xls]1206"/>
      <sheetName val="[입찰안_xls][입찰안_xls][입찰안_xls]1207"/>
      <sheetName val="[입찰안_xls][입찰안_xls][입찰안_xls]1208"/>
      <sheetName val="[입찰안_xls][입찰안_xls][입찰안_xls]1209"/>
      <sheetName val="[입찰안_xls][입찰안_xls][입찰안_xls]1210"/>
      <sheetName val="[입찰안_xls][입찰안_xls][입찰안_xls]1211"/>
      <sheetName val="[입찰안_xls][입찰안_xls][입찰안_xls]1212"/>
      <sheetName val="[입찰안_xls][입찰안_xls][입찰안_xls]1213"/>
      <sheetName val="[입찰안_xls][입찰안_xls][입찰안_xls]1214"/>
      <sheetName val="[입찰안_xls][입찰안_xls][입찰안_xls]1215"/>
      <sheetName val="[입찰안_xls][입찰안_xls][입찰안_xls]1216"/>
      <sheetName val="[입찰안_xls][입찰안_xls][입찰안_xls]1217"/>
      <sheetName val="[입찰안_xls][입찰안_xls][입찰안_xls]1218"/>
      <sheetName val="[입찰안_xls][입찰안_xls][입찰안_xls]1219"/>
      <sheetName val="[입찰안_xls][입찰안_xls][입찰안_xls]1220"/>
      <sheetName val="[입찰안_xls][입찰안_xls][입찰안_xls]1221"/>
      <sheetName val="[입찰안_xls][입찰안_xls][입찰안_xls]1222"/>
      <sheetName val="[입찰안_xls][입찰안_xls][입찰안_xls]1223"/>
      <sheetName val="[입찰안_xls][입찰안_xls][입찰안_xls]1224"/>
      <sheetName val="[입찰안_xls][입찰안_xls][입찰안_xls]1225"/>
      <sheetName val="[입찰안_xls][입찰안_xls][입찰안_xls]1226"/>
      <sheetName val="[입찰안_xls][입찰안_xls][입찰안_xls]1227"/>
      <sheetName val="[입찰안_xls][입찰안_xls][입찰안_xls]1228"/>
      <sheetName val="[입찰안_xls][입찰안_xls][입찰안_xls]1229"/>
      <sheetName val="[입찰안_xls][입찰안_xls][입찰안_xls]1230"/>
      <sheetName val="[입찰안_xls][입찰안_xls][입찰안_xls]1231"/>
      <sheetName val="[입찰안_xls][입찰안_xls][입찰안_xls]1232"/>
      <sheetName val="[입찰안_xls][입찰안_xls][입찰안_xls]1233"/>
      <sheetName val="[입찰안_xls][입찰안_xls][입찰안_xls]1234"/>
      <sheetName val="[입찰안_xls][입찰안_xls][입찰안_xls]1235"/>
      <sheetName val="[입찰안_xls][입찰안_xls][입찰안_xls]1236"/>
      <sheetName val="[입찰안_xls][입찰안_xls][입찰안_xls]1237"/>
      <sheetName val="[입찰안_xls][입찰안_xls][입찰안_xls]1238"/>
      <sheetName val="[입찰안_xls][입찰안_xls][입찰안_xls]1239"/>
      <sheetName val="[입찰안_xls][입찰안_xls][입찰안_xls]1240"/>
      <sheetName val="[입찰안_xls][입찰안_xls][입찰안_xls]1241"/>
      <sheetName val="[입찰안_xls][입찰안_xls][입찰안_xls]1242"/>
      <sheetName val="[입찰안_xls][입찰안_xls][입찰안_xls]1243"/>
      <sheetName val="[입찰안_xls][입찰안_xls][입찰안_xls]1244"/>
      <sheetName val="[입찰안_xls][입찰안_xls][입찰안_xls]1245"/>
      <sheetName val="[입찰안_xls][입찰안_xls][입찰안_xls]1246"/>
      <sheetName val="[입찰안_xls][입찰안_xls][입찰안_xls]1247"/>
      <sheetName val="[입찰안_xls][입찰안_xls][입찰안_xls]1248"/>
      <sheetName val="[입찰안_xls][입찰안_xls][입찰안_xls]1249"/>
      <sheetName val="[입찰안_xls][입찰안_xls][입찰안_xls]1250"/>
      <sheetName val="[입찰안_xls][입찰안_xls][입찰안_xls]1251"/>
      <sheetName val="[입찰안_xls][입찰안_xls][입찰안_xls]1252"/>
      <sheetName val="새로이_설치할_정비기반시설_조서_나번_(2)2"/>
      <sheetName val="[입찰안_xls][입찰안_xls][입찰안_xls]1253"/>
      <sheetName val="[입찰안_xls][입찰안_xls][입찰안_xls]__30"/>
      <sheetName val="[입찰안_xls][입찰안_xls][입찰안_xls]__31"/>
      <sheetName val="[입찰안_xls][입찰안_xls][입찰안_xls]__32"/>
      <sheetName val="[입찰안_xls][입찰안_xls][입찰안_xls]1254"/>
      <sheetName val="DTICH_(Full)2"/>
      <sheetName val="COST_SUMMARY2"/>
      <sheetName val="Xuly_Data2"/>
      <sheetName val="TL_rieng2"/>
      <sheetName val="Thuc_thanh2"/>
      <sheetName val="Cost_factor2"/>
      <sheetName val="Item_list2"/>
      <sheetName val="Sheet_Template_Empty2"/>
      <sheetName val="[입찰안_xls][입찰안_xls][입찰안_xls]1255"/>
      <sheetName val="[입찰안_xls][입찰안_xls][입찰안_xls]1256"/>
      <sheetName val="[입찰안_xls][입찰안_xls][입찰안_xls]1257"/>
      <sheetName val="[입찰안_xls][입찰안_xls][입찰안_xls]1258"/>
      <sheetName val="[입찰안_xls][입찰안_xls][입찰안_xls]1259"/>
      <sheetName val="[입찰안_xls][입찰안_xls][입찰안_xls]1260"/>
      <sheetName val="[입찰안_xls][입찰안_xls][입찰안_xls]1261"/>
      <sheetName val="[입찰안_xls][입찰안_xls][입찰안_xls]1262"/>
      <sheetName val="[입찰안_xls][입찰안_xls][입찰안_xls]1263"/>
      <sheetName val="[입찰안_xls][입찰안_xls][입찰안_xls]1264"/>
      <sheetName val="[입찰안_xls][입찰안_xls][입찰안_xls]1265"/>
      <sheetName val="[입찰안_xls][입찰안_xls][입찰안_xls]1266"/>
      <sheetName val="[입찰안_xls][입찰안_xls][입찰안_xls]1267"/>
      <sheetName val="[입찰안_xls][입찰안_xls][입찰안_xls]1268"/>
      <sheetName val="[입찰안_xls][입찰안_xls][입찰안_xls]1269"/>
      <sheetName val="[입찰안_xls][입찰안_xls][입찰안_xls]1270"/>
      <sheetName val="[입찰안_xls][입찰안_xls][입찰안_xls]1271"/>
      <sheetName val="[입찰안_xls][입찰안_xls][입찰안_xls]1272"/>
      <sheetName val="[입찰안_xls][입찰안_xls][입찰안_xls]1273"/>
      <sheetName val="[입찰안_xls][입찰안_xls][입찰안_xls]1274"/>
      <sheetName val="[입찰안_xls][입찰안_xls][입찰안_xls]1275"/>
      <sheetName val="[입찰안_xls][입찰안_xls][입찰안_xls]1276"/>
      <sheetName val="[입찰안_xls][입찰안_xls][입찰안_xls]1277"/>
      <sheetName val="[입찰안_xls][입찰안_xls][입찰안_xls]1278"/>
      <sheetName val="[입찰안_xls][입찰안_xls][입찰안_xls]1279"/>
      <sheetName val="[입찰안_xls][입찰안_xls][입찰안_xls]1280"/>
      <sheetName val="[입찰안_xls][입찰안_xls][입찰안_xls]1281"/>
      <sheetName val="[입찰안_xls][입찰안_xls][입찰안_xls]1282"/>
      <sheetName val="[입찰안_xls][입찰안_xls][입찰안_xls]1283"/>
      <sheetName val="[입찰안_xls][입찰안_xls][입찰안_xls]1284"/>
      <sheetName val="[입찰안_xls][입찰안_xls][입찰안_xls]1285"/>
      <sheetName val="[입찰안_xls][입찰안_xls][입찰안_xls]1286"/>
      <sheetName val="[입찰안_xls][입찰안_xls][입찰안_xls]1287"/>
      <sheetName val="[입찰안_xls][입찰안_xls][입찰안_xls]1288"/>
      <sheetName val="[입찰안_xls][입찰안_xls][입찰안_xls]1289"/>
      <sheetName val="[입찰안_xls][입찰안_xls][입찰안_xls]1290"/>
      <sheetName val="[입찰안_xls][입찰안_xls][입찰안_xls]1291"/>
      <sheetName val="[입찰안_xls][입찰안_xls][입찰안_xls]1292"/>
      <sheetName val="[입찰안_xls][입찰안_xls][입찰안_xls]1293"/>
      <sheetName val="[입찰안_xls][입찰안_xls][입찰안_xls]1294"/>
      <sheetName val="[입찰안_xls][입찰안_xls][입찰안_xls]1295"/>
      <sheetName val="[입찰안_xls][입찰안_xls][입찰안_xls]1296"/>
      <sheetName val="[입찰안_xls][입찰안_xls][입찰안_xls]1297"/>
      <sheetName val="[입찰안_xls][입찰안_xls][입찰안_xls]1298"/>
      <sheetName val="[입찰안_xls][입찰안_xls][입찰안_xls]1299"/>
      <sheetName val="[입찰안_xls][입찰안_xls][입찰안_xls]1300"/>
      <sheetName val="[입찰안_xls][입찰안_xls][입찰안_xls]1301"/>
      <sheetName val="[입찰안_xls][입찰안_xls][입찰안_xls]1302"/>
      <sheetName val="[입찰안_xls][입찰안_xls][입찰안_xls]1303"/>
      <sheetName val="F_D_SEC__PROP2"/>
      <sheetName val="[입찰안_xls][입찰안_xls][입찰안_xls]1304"/>
      <sheetName val="[입찰안_xls][입찰안_xls][입찰안_xls]1305"/>
      <sheetName val="[입찰안_xls][입찰안_xls][입찰안_xls]1306"/>
      <sheetName val="[입찰안_xls][입찰안_xls][입찰안_xls]1307"/>
      <sheetName val="[입찰안_xls][입찰안_xls][입찰안_xls]1308"/>
      <sheetName val="[입찰안_xls][입찰안_xls][입찰안_xls]1309"/>
      <sheetName val="[입찰안_xls][입찰안_xls][입찰안_xls]1310"/>
      <sheetName val="[입찰안_xls][입찰안_xls][입찰안_xls]1311"/>
      <sheetName val="[입찰안_xls][입찰안_xls][입찰안_xls]1312"/>
      <sheetName val="[입찰안_xls][입찰안_xls][입찰안_xls]1313"/>
      <sheetName val="[입찰안_xls][입찰안_xls][입찰안_xls]1314"/>
      <sheetName val="[입찰안_xls][입찰안_xls][입찰안_xls]1315"/>
      <sheetName val="[입찰안_xls][입찰안_xls][입찰안_xls]1316"/>
      <sheetName val="[입찰안_xls][입찰안_xls][입찰안_xls]1317"/>
      <sheetName val="[입찰안_xls][입찰안_xls][입찰안_xls]1318"/>
      <sheetName val="[입찰안_xls][입찰안_xls][입찰안_xls]1319"/>
      <sheetName val="[입찰안_xls][입찰안_xls][입찰안_xls]1320"/>
      <sheetName val="[입찰안_xls][입찰안_xls][입찰안_xls]1321"/>
      <sheetName val="[입찰안_xls][입찰안_xls][입찰안_xls]1322"/>
      <sheetName val="[입찰안_xls][입찰안_xls][입찰안_xls]1323"/>
      <sheetName val="[입찰안_xls][입찰안_xls][입찰안_xls]1324"/>
      <sheetName val="[입찰안_xls][입찰안_xls][입찰안_xls]1325"/>
      <sheetName val="[입찰안_xls][입찰안_xls][입찰안_xls]1326"/>
      <sheetName val="[입찰안_xls][입찰안_xls][입찰안_xls]1327"/>
      <sheetName val="[입찰안_xls][입찰안_xls][입찰안_xls]1328"/>
      <sheetName val="[입찰안_xls][입찰안_xls][입찰안_xls]1329"/>
      <sheetName val="[입찰안_xls][입찰안_xls][입찰안_xls]1330"/>
      <sheetName val="[입찰안_xls][입찰안_xls][입찰안_xls]1331"/>
      <sheetName val="[입찰안_xls][입찰안_xls][입찰안_xls]1332"/>
      <sheetName val="[입찰안_xls][입찰안_xls][입찰안_xls]1333"/>
      <sheetName val="[입찰안_xls][입찰안_xls][입찰안_xls]1334"/>
      <sheetName val="[입찰안_xls][입찰안_xls][입찰안_xls]1335"/>
      <sheetName val="[입찰안_xls][입찰안_xls][입찰안_xls]1336"/>
      <sheetName val="[입찰안_xls][입찰안_xls][입찰안_xls]1337"/>
      <sheetName val="[입찰안_xls][입찰안_xls][입찰안_xls]1338"/>
      <sheetName val="[입찰안_xls][입찰안_xls][입찰안_xls]1339"/>
      <sheetName val="[입찰안_xls][입찰안_xls][입찰안_xls]1340"/>
      <sheetName val="[입찰안_xls][입찰안_xls][입찰안_xls]1341"/>
      <sheetName val="Code_022"/>
      <sheetName val="Code_032"/>
      <sheetName val="Code_042"/>
      <sheetName val="Code_052"/>
      <sheetName val="Code_062"/>
      <sheetName val="Code_072"/>
      <sheetName val="Code_092"/>
      <sheetName val="[입찰안_xls][입찰안_xls][입찰안_xls]1342"/>
      <sheetName val="[입찰안_xls][입찰안_xls][입찰안_xls]1343"/>
      <sheetName val="[입찰안_xls][입찰안_xls][입찰안_xls]1344"/>
      <sheetName val="[입찰안_xls][입찰안_xls][입찰안_xls]1345"/>
      <sheetName val="[입찰안_xls][입찰안_xls][입찰안_xls]1346"/>
      <sheetName val="[입찰안_xls][입찰안_xls][입찰안_xls]1347"/>
      <sheetName val="[입찰안_xls][입찰안_xls][입찰안_xls]1348"/>
      <sheetName val="[입찰안_xls][입찰안_xls][입찰안_xls]1349"/>
      <sheetName val="[입찰안_xls][입찰안_xls][입찰안_xls]1350"/>
      <sheetName val="[입찰안_xls][입찰안_xls][입찰안_xls]1351"/>
      <sheetName val="[입찰안_xls][입찰안_xls][입찰안_xls]1352"/>
      <sheetName val="[입찰안_xls][입찰안_xls][입찰안_xls]1353"/>
      <sheetName val="[입찰안_xls][입찰안_xls][입찰안_xls]1354"/>
      <sheetName val="[입찰안_xls][입찰안_xls][입찰안_xls]1355"/>
      <sheetName val="[입찰안_xls][입찰안_xls][입찰안_xls]1356"/>
      <sheetName val="[입찰안_xls][입찰안_xls][입찰안_xls]1357"/>
      <sheetName val="[입찰안_xls][입찰안_xls][입찰안_xls]1358"/>
      <sheetName val="[입찰안_xls][입찰안_xls][입찰안_xls]1359"/>
      <sheetName val="[입찰안_xls][입찰안_xls][입찰안_xls]1360"/>
      <sheetName val="[입찰안_xls][입찰안_xls][입찰안_xls]1361"/>
      <sheetName val="[입찰안_xls][입찰안_xls][입찰안_xls]1362"/>
      <sheetName val="[입찰안_xls][입찰안_xls][입찰안_xls]1363"/>
      <sheetName val="[입찰안_xls][입찰안_xls][입찰안_xls]1364"/>
      <sheetName val="[입찰안_xls][입찰안_xls][입찰안_xls]1365"/>
      <sheetName val="[입찰안_xls][입찰안_xls][입찰안_xls]1366"/>
      <sheetName val="[입찰안_xls][입찰안_xls][입찰안_xls]1367"/>
      <sheetName val="[입찰안_xls][입찰안_xls][입찰안_xls]1368"/>
      <sheetName val="[입찰안_xls][입찰안_xls][입찰안_xls]1369"/>
      <sheetName val="[입찰안_xls][입찰안_xls][입찰안_xls]1370"/>
      <sheetName val="[입찰안_xls][입찰안_xls][입찰안_xls]1371"/>
      <sheetName val="[입찰안_xls][입찰안_xls][입찰안_xls]1372"/>
      <sheetName val="[입찰안_xls][입찰안_xls][입찰안_xls]1373"/>
      <sheetName val="[입찰안_xls][입찰안_xls][입찰안_xls]1374"/>
      <sheetName val="[입찰안_xls][입찰안_xls][입찰안_xls]1375"/>
      <sheetName val="[입찰안_xls][입찰안_xls][입찰안_xls]1376"/>
      <sheetName val="[입찰안_xls][입찰안_xls][입찰안_xls]1377"/>
      <sheetName val="co-no_22"/>
      <sheetName val="(1)2002년_매출목표_산출2"/>
      <sheetName val="[입찰안_xls][입찰안_xls][입찰안_xls]1378"/>
      <sheetName val="[입찰안_xls][입찰안_xls][입찰안_xls]1379"/>
      <sheetName val="[입찰안_xls][입찰안_xls][입찰안_xls]1380"/>
      <sheetName val="[입찰안_xls][입찰안_xls][입찰안_xls]1381"/>
      <sheetName val="[입찰안_xls][입찰안_xls][입찰안_xls]1382"/>
      <sheetName val="[입찰안_xls][입찰안_xls][입찰안_xls]1383"/>
      <sheetName val="[입찰안_xls][입찰안_xls][입찰안_xls]1384"/>
      <sheetName val="[입찰안_xls][입찰안_xls][입찰안_xls]1385"/>
      <sheetName val="[입찰안_xls][입찰안_xls][입찰안_xls]1386"/>
      <sheetName val="[입찰안_xls][입찰안_xls][입찰안_xls]1387"/>
      <sheetName val="[입찰안_xls][입찰안_xls][입찰안_xls]1388"/>
      <sheetName val="[입찰안_xls][입찰안_xls][입찰안_xls]1389"/>
      <sheetName val="[입찰안_xls][입찰안_xls][입찰안_xls]1390"/>
      <sheetName val="[입찰안_xls][입찰안_xls][입찰안_xls]1391"/>
      <sheetName val="[입찰안_xls][입찰안_xls][입찰안_xls]1392"/>
      <sheetName val="[입찰안_xls][입찰안_xls][입찰안_xls]1393"/>
      <sheetName val="[입찰안_xls][입찰안_xls][입찰안_xls]1394"/>
      <sheetName val="[입찰안_xls][입찰안_xls][입찰안_xls]1395"/>
      <sheetName val="[입찰안_xls][입찰안_xls][입찰안_xls]1396"/>
      <sheetName val="[입찰안_xls][입찰안_xls][입찰안_xls]1397"/>
      <sheetName val="[입찰안_xls][입찰안_xls][입찰안_xls]1398"/>
      <sheetName val="[입찰안_xls][입찰안_xls][입찰안_xls]1399"/>
      <sheetName val="[입찰안_xls][입찰안_xls][입찰안_xls]1400"/>
      <sheetName val="[입찰안_xls][입찰안_xls][입찰안_xls]1401"/>
      <sheetName val="[입찰안_xls][입찰안_xls][입찰안_xls]1402"/>
      <sheetName val="[입찰안_xls][입찰안_xls][입찰안_xls]1403"/>
      <sheetName val="[입찰안_xls][입찰안_xls][입찰안_xls]1404"/>
      <sheetName val="[입찰안_xls][입찰안_xls][입찰안_xls]1405"/>
      <sheetName val="[입찰안_xls][입찰안_xls][입찰안_xls]1406"/>
      <sheetName val="[입찰안_xls][입찰안_xls][입찰안_xls]1407"/>
      <sheetName val="[입찰안_xls][입찰안_xls][입찰안_xls]1408"/>
      <sheetName val="[입찰안_xls][입찰안_xls][입찰안_xls]1409"/>
      <sheetName val="[입찰안_xls][입찰안_xls][입찰안_xls]1410"/>
      <sheetName val="[입찰안_xls][입찰안_xls][입찰안_xls]1411"/>
      <sheetName val="[입찰안_xls][입찰안_xls][입찰안_xls]1412"/>
      <sheetName val="[입찰안_xls][입찰안_xls][입찰안_xls]1413"/>
      <sheetName val="[입찰안_xls][입찰안_xls][입찰안_xls]1414"/>
      <sheetName val="[입찰안_xls][입찰안_xls][입찰안_xls]_531"/>
      <sheetName val="[입찰안_xls][입찰안_xls][입찰안_xls]_530"/>
      <sheetName val="[입찰안_xls][입찰안_xls][입찰안_xls]__12"/>
      <sheetName val="[입찰안_xls][입찰안_xls][입찰안_xls]__13"/>
      <sheetName val="[입찰안_xls][입찰안_xls][입찰안_xls]__14"/>
      <sheetName val="[입찰안_xls][입찰안_xls][입찰안_xls]_491"/>
      <sheetName val="[입찰안_xls][입찰안_xls][입찰안_xls]_492"/>
      <sheetName val="[입찰안_xls][입찰안_xls][입찰안_xls]_493"/>
      <sheetName val="[입찰안_xls][입찰안_xls][입찰안_xls]_494"/>
      <sheetName val="[입찰안_xls][입찰안_xls][입찰안_xls]_495"/>
      <sheetName val="[입찰안_xls][입찰안_xls][입찰안_xls]_496"/>
      <sheetName val="[입찰안_xls][입찰안_xls][입찰안_xls]_497"/>
      <sheetName val="[입찰안_xls][입찰안_xls][입찰안_xls]_498"/>
      <sheetName val="[입찰안_xls][입찰안_xls][입찰안_xls]_499"/>
      <sheetName val="[입찰안_xls][입찰안_xls][입찰안_xls]_500"/>
      <sheetName val="[입찰안_xls][입찰안_xls][입찰안_xls]_501"/>
      <sheetName val="[입찰안_xls][입찰안_xls][입찰안_xls]_502"/>
      <sheetName val="[입찰안_xls][입찰안_xls][입찰안_xls]_503"/>
      <sheetName val="[입찰안_xls][입찰안_xls][입찰안_xls]_504"/>
      <sheetName val="[입찰안_xls][입찰안_xls][입찰안_xls]_505"/>
      <sheetName val="[입찰안_xls][입찰안_xls][입찰안_xls]_506"/>
      <sheetName val="[입찰안_xls][입찰안_xls][입찰안_xls]_507"/>
      <sheetName val="[입찰안_xls][입찰안_xls][입찰안_xls]_508"/>
      <sheetName val="[입찰안_xls][입찰안_xls][입찰안_xls]_521"/>
      <sheetName val="[입찰안_xls][입찰안_xls][입찰안_xls]_519"/>
      <sheetName val="[입찰안_xls][입찰안_xls][입찰안_xls]_520"/>
      <sheetName val="[입찰안_xls][입찰안_xls][입찰안_xls]_509"/>
      <sheetName val="[입찰안_xls][입찰안_xls][입찰안_xls]_510"/>
      <sheetName val="[입찰안_xls][입찰안_xls][입찰안_xls]_511"/>
      <sheetName val="[입찰안_xls][입찰안_xls][입찰안_xls]_512"/>
      <sheetName val="[입찰안_xls][입찰안_xls][입찰안_xls]_513"/>
      <sheetName val="[입찰안_xls][입찰안_xls][입찰안_xls]_514"/>
      <sheetName val="[입찰안_xls][입찰안_xls][입찰안_xls]_515"/>
      <sheetName val="[입찰안_xls][입찰안_xls][입찰안_xls]_516"/>
      <sheetName val="[입찰안_xls][입찰안_xls][입찰안_xls]_517"/>
      <sheetName val="[입찰안_xls][입찰안_xls][입찰안_xls]_518"/>
      <sheetName val="[입찰안_xls][입찰안_xls][입찰안_xls]_522"/>
      <sheetName val="[입찰안_xls][입찰안_xls][입찰안_xls]_523"/>
      <sheetName val="[입찰안_xls][입찰안_xls][입찰안_xls]_524"/>
      <sheetName val="[입찰안_xls][입찰안_xls][입찰안_xls]_525"/>
      <sheetName val="[입찰안_xls][입찰안_xls][입찰안_xls]_526"/>
      <sheetName val="[입찰안_xls][입찰안_xls][입찰안_xls]_527"/>
      <sheetName val="[입찰안_xls][입찰안_xls][입찰안_xls]_528"/>
      <sheetName val="[입찰안_xls][입찰안_xls][입찰안_xls]_529"/>
      <sheetName val="[입찰안_xls][입찰안_xls][입찰안_xls]_532"/>
      <sheetName val="[입찰안_xls][입찰안_xls][입찰안_xls]_533"/>
      <sheetName val="[입찰안_xls][입찰안_xls][입찰안_xls]_534"/>
      <sheetName val="[입찰안_xls][입찰안_xls][입찰안_xls]_535"/>
      <sheetName val="[입찰안_xls][입찰안_xls][입찰안_xls]_536"/>
      <sheetName val="[입찰안_xls][입찰안_xls][입찰안_xls]_537"/>
      <sheetName val="[입찰안_xls][입찰안_xls][입찰안_xls]_538"/>
      <sheetName val="[입찰안_xls][입찰안_xls][입찰안_xls]_539"/>
      <sheetName val="[입찰안_xls][입찰안_xls][입찰안_xls]_540"/>
      <sheetName val="[입찰안_xls][입찰안_xls]B:\입찰안_xls1"/>
      <sheetName val="5호광장_(만점)10"/>
      <sheetName val="인천국제_(만점)_(2)10"/>
      <sheetName val="Total_단위경유량집계10"/>
      <sheetName val="BH-1_(2)10"/>
      <sheetName val="표__지10"/>
      <sheetName val="준검_내역서10"/>
      <sheetName val="토공유동표(전체_당초)10"/>
      <sheetName val="1_수인터널10"/>
      <sheetName val="앉음벽_(2)10"/>
      <sheetName val="_HIT__HMC_견적_3900_10"/>
      <sheetName val="I_설계조건10"/>
      <sheetName val="4_전기10"/>
      <sheetName val="7__현장관리비_10"/>
      <sheetName val="6__안전관리비10"/>
      <sheetName val="1_설계조건10"/>
      <sheetName val="소포내역_(2)10"/>
      <sheetName val="노원열병합__건축공사기성내역서10"/>
      <sheetName val="조도계산서_(도서)10"/>
      <sheetName val="3련_BOX10"/>
      <sheetName val="11_산출(전열)10"/>
      <sheetName val="6_산출(동력)10"/>
      <sheetName val="7_산출(TRAY)10"/>
      <sheetName val="5_산출(전력)9"/>
      <sheetName val="수량산출서(전력간선_지하D_C)9"/>
      <sheetName val="MSS_210"/>
      <sheetName val="우수관매설및_우수받이10"/>
      <sheetName val="11_우각부_보강10"/>
      <sheetName val="제출내역_(2)10"/>
      <sheetName val="플랜트_설치9"/>
      <sheetName val="보고서_기기리스트9"/>
      <sheetName val="2_1__노무비_평균단가산출9"/>
      <sheetName val="내역_ver1_010"/>
      <sheetName val="내___역9"/>
      <sheetName val="plan&amp;section_of_foundation10"/>
      <sheetName val="pile_bearing_capa_&amp;_arrenge10"/>
      <sheetName val="working_load_at_the_btm_ft_10"/>
      <sheetName val="stability_check10"/>
      <sheetName val="design_criteria10"/>
      <sheetName val="배수내역_(2)9"/>
      <sheetName val="배수공_시멘트_및_골재량_산출9"/>
      <sheetName val="A_견적9"/>
      <sheetName val="Customer_Databas9"/>
      <sheetName val="목차_9"/>
      <sheetName val="6PILE__(돌출)9"/>
      <sheetName val="_HIT-&gt;HMC_견적(3900)9"/>
      <sheetName val="전_기9"/>
      <sheetName val="spc_배관견적9"/>
      <sheetName val="SHEET_PILE단가9"/>
      <sheetName val="unit_49"/>
      <sheetName val="BH_1__2_9"/>
      <sheetName val="도담구내_개소별_명세9"/>
      <sheetName val="화재_탐지_설비9"/>
      <sheetName val="귀래_설계_공내역서9"/>
      <sheetName val="2차전체변경예정_(2)9"/>
      <sheetName val="3_1공사현황_공정표9"/>
      <sheetName val="개인별_순위표9"/>
      <sheetName val="세골재__T2_변경_현황9"/>
      <sheetName val="8_현장관리비9"/>
      <sheetName val="7_안전관리비9"/>
      <sheetName val="1_설계기준9"/>
      <sheetName val="1_취수장9"/>
      <sheetName val="설_계9"/>
      <sheetName val="Cash_Flow-19"/>
      <sheetName val="노임_단가9"/>
      <sheetName val="投标材料清单_9"/>
      <sheetName val="별표_9"/>
      <sheetName val="3_공통공사대비9"/>
      <sheetName val="단가_및_재료비9"/>
      <sheetName val="내역서_9"/>
      <sheetName val="집_계_표9"/>
      <sheetName val="RETAIL_(ABOVE)9"/>
      <sheetName val="5__현장관리비(new)_9"/>
      <sheetName val="노임단가_(2)9"/>
      <sheetName val="7_공정표9"/>
      <sheetName val="단면_(2)9"/>
      <sheetName val="장비비_명세서19"/>
      <sheetName val="단___산8"/>
      <sheetName val="실____단8"/>
      <sheetName val="6__수량산출서8"/>
      <sheetName val="노무비_근거8"/>
      <sheetName val="참조_(2)8"/>
      <sheetName val="2_대외공문9"/>
      <sheetName val="Eq__Mobilization9"/>
      <sheetName val="_갑지8"/>
      <sheetName val="제수변_수량집계표(보통)8"/>
      <sheetName val="장비_(2)8"/>
      <sheetName val="3BL공동구_수량8"/>
      <sheetName val="전선_및_전선관8"/>
      <sheetName val="CM_18"/>
      <sheetName val="5_동별횡주관경8"/>
      <sheetName val="암거_제원표8"/>
      <sheetName val="내역서1999_8최종8"/>
      <sheetName val="Sheet1_(2)8"/>
      <sheetName val="수량산출서_(2)7"/>
      <sheetName val="토공_total7"/>
      <sheetName val="기성(1차)_7"/>
      <sheetName val="전사_(2)7"/>
      <sheetName val="BA_(2)7"/>
      <sheetName val="CP_(2)7"/>
      <sheetName val="일위대가56-1_7"/>
      <sheetName val="일위대가71-1_7"/>
      <sheetName val="일위대가74-1_7"/>
      <sheetName val="일위대가76-1_7"/>
      <sheetName val="일위대가77-1_7"/>
      <sheetName val="일위대가78-1_7"/>
      <sheetName val="_소방공사_산출근거7"/>
      <sheetName val="습식및_셀프레벨링8"/>
      <sheetName val="1차_내역서8"/>
      <sheetName val="BSD_(2)7"/>
      <sheetName val="바_한일양산7"/>
      <sheetName val="Project_Brief7"/>
      <sheetName val="영업_일17"/>
      <sheetName val="기기_내역서7"/>
      <sheetName val="일위대가_8"/>
      <sheetName val="4_LINE8"/>
      <sheetName val="7_th8"/>
      <sheetName val="1_CB7"/>
      <sheetName val="유효폭의_계산6"/>
      <sheetName val="아파트_6"/>
      <sheetName val="변경명신물량_(2)7"/>
      <sheetName val="토공_토적표7"/>
      <sheetName val="갑지_을지6"/>
      <sheetName val="2-2_매출분석6"/>
      <sheetName val="미납품_현황6"/>
      <sheetName val="STEEL_BOX_단면설계(SEC_8)6"/>
      <sheetName val="도담구내_개소별_명柖8"/>
      <sheetName val="danh_muc_vat_tu8"/>
      <sheetName val="Register-BG_NCC8"/>
      <sheetName val="Data_28"/>
      <sheetName val="TB_chính8"/>
      <sheetName val="Steel_pipe8"/>
      <sheetName val="Ref_pipe+Ins8"/>
      <sheetName val="Plastic_pipe8"/>
      <sheetName val="Air_Grilles8"/>
      <sheetName val="Cost_bd-&quot;A&quot;8"/>
      <sheetName val="갑지_설계_내역서6"/>
      <sheetName val="기존단가_(2)7"/>
      <sheetName val="설명서_6"/>
      <sheetName val="_FURNACE현설5"/>
      <sheetName val="97_사업추정(WEKI)5"/>
      <sheetName val="8_설치품셈5"/>
      <sheetName val="ITB_COST6"/>
      <sheetName val="자격_땡겨오기6"/>
      <sheetName val="05년_상6"/>
      <sheetName val="영흥TL(UP,DOWN)_6"/>
      <sheetName val="단양_00_아파트-세부내역6"/>
      <sheetName val="2_단면가정_(양곡1교)6"/>
      <sheetName val="8_PILE__(돌출)6"/>
      <sheetName val="1_내역(청_하역장전등)6"/>
      <sheetName val="2000_055"/>
      <sheetName val="표지_(2)6"/>
      <sheetName val="Xunit_(단위환산)6"/>
      <sheetName val="4__VOs_summary7"/>
      <sheetName val="수량산출서_갑지6"/>
      <sheetName val="장비코드표_0506016"/>
      <sheetName val="2007년_생산1부장비6"/>
      <sheetName val="2008년_생산부전장비코드6"/>
      <sheetName val="DDB부_장비_관리현황6"/>
      <sheetName val="Chiet_tinh_dz357"/>
      <sheetName val="Bảng_mã_VT7"/>
      <sheetName val="DATA_LISTS5"/>
      <sheetName val="4_2_1_마루높이_검토6"/>
      <sheetName val="_견적서6"/>
      <sheetName val="품셈_5"/>
      <sheetName val="M-EMS_GP-570(BIT)5"/>
      <sheetName val="내역서_제출6"/>
      <sheetName val="19_07월_세_계5"/>
      <sheetName val="19_07항목별(시트복사금지100번쓰기)5"/>
      <sheetName val="19_05월5"/>
      <sheetName val="TABLE_DB5"/>
      <sheetName val="쌍용_data_base5"/>
      <sheetName val="내역(인테리어_실내)(도급)5"/>
      <sheetName val="내역(인테리어_실외)(도급)5"/>
      <sheetName val="Elec_LG5"/>
      <sheetName val="ESTI_5"/>
      <sheetName val="D_&amp;_W_sizes5"/>
      <sheetName val="Gia_vat_tu5"/>
      <sheetName val="dtct_cong5"/>
      <sheetName val="DGCT_(01)5"/>
      <sheetName val="SCOPE_OF_WORK5"/>
      <sheetName val="Chi_tiet5"/>
      <sheetName val="nhôm_1,2mm5"/>
      <sheetName val="nhôm_1,4mm5"/>
      <sheetName val="01__DATA5"/>
      <sheetName val="중기조종사_단위단가5"/>
      <sheetName val="자재기성_신청서_xlsx5"/>
      <sheetName val="0_목록15"/>
      <sheetName val="So_sanh4"/>
      <sheetName val="[입찰안_xls][입찰안_xls][입찰안_xls]B201"/>
      <sheetName val="[입찰안_xls][입찰안_xls][입찰안_xls]B202"/>
      <sheetName val="[입찰안_xls][입찰안_xls][입찰안_xls]B203"/>
      <sheetName val="[입찰안_xls][입찰안_xls][입찰안_xls]B204"/>
      <sheetName val="[입찰안_xls][입찰안_xls][입찰안_xls]B205"/>
      <sheetName val="[입찰안_xls][입찰안_xls][입찰안_xls]B206"/>
      <sheetName val="[입찰안_xls][입찰안_xls][입찰안_xls]B207"/>
      <sheetName val="[입찰안_xls][입찰안_xls][입찰안_xls]B208"/>
      <sheetName val="PROJ__DATA4"/>
      <sheetName val="_Beams_Sched_4"/>
      <sheetName val="[입찰안_xls][입찰안_xls][입찰안_xls]B209"/>
      <sheetName val="[입찰안_xls][입찰안_xls][입찰안_xls]B210"/>
      <sheetName val="[입찰안_xls][입찰안_xls][입찰안_xls]B211"/>
      <sheetName val="[입찰안_xls][입찰안_xls][입찰안_xls]B212"/>
      <sheetName val="[입찰안_xls][입찰안_xls][입찰안_xls]B213"/>
      <sheetName val="[입찰안_xls][입찰안_xls][입찰안_xls]B214"/>
      <sheetName val="[입찰안_xls][입찰안_xls][입찰안_xls]B215"/>
      <sheetName val="[입찰안_xls][입찰안_xls][입찰안_xls]B216"/>
      <sheetName val="[입찰안_xls][입찰안_xls][입찰안_xls]B217"/>
      <sheetName val="[입찰안_xls][입찰안_xls][입찰안_xls]B218"/>
      <sheetName val="[입찰안_xls][입찰안_xls][입찰안_xls]B219"/>
      <sheetName val="[입찰안_xls][입찰안_xls][입찰안_xls]B220"/>
      <sheetName val="[입찰안_xls][입찰안_xls][입찰안_xls]B221"/>
      <sheetName val="[입찰안_xls][입찰안_xls][입찰안_xls]B222"/>
      <sheetName val="[입찰안_xls][입찰안_xls][입찰안_xls]B223"/>
      <sheetName val="[입찰안_xls][입찰안_xls][입찰안_xls]B224"/>
      <sheetName val="[입찰안_xls][입찰안_xls][입찰안_xls]B225"/>
      <sheetName val="[입찰안_xls][입찰안_xls][입찰안_xls]B226"/>
      <sheetName val="[입찰안_xls][입찰안_xls][입찰안_xls]__15"/>
      <sheetName val="[입찰안_xls][입찰안_xls][입찰안_xls]__16"/>
      <sheetName val="[입찰안_xls][입찰안_xls][입찰안_xls]B227"/>
      <sheetName val="[입찰안_xls][입찰안_xls][입찰안_xls]B228"/>
      <sheetName val="[입찰안_xls][입찰안_xls][입찰안_xls]B229"/>
      <sheetName val="[입찰안_xls][입찰안_xls][입찰안_xls]B230"/>
      <sheetName val="Cọc_nhồi4"/>
      <sheetName val="Phan_tich_ca_may4"/>
      <sheetName val="Chenh_lech_ca_may4"/>
      <sheetName val="TLg_CN&amp;Laixe4"/>
      <sheetName val="TLg_CN&amp;Laixe_(2)4"/>
      <sheetName val="TLg_Laitau4"/>
      <sheetName val="TLg_Laitau_(2)4"/>
      <sheetName val="Dầm_14"/>
      <sheetName val="Gia_VLNCMTC4"/>
      <sheetName val="Sàn_T14"/>
      <sheetName val="Lỗ_thông_gió4"/>
      <sheetName val="Sàn_tầng_01_(_old_)4"/>
      <sheetName val="Chiet_tinh_don_gia_CM4"/>
      <sheetName val="Measure_13064"/>
      <sheetName val="EE_(3)4"/>
      <sheetName val="RAB_AR&amp;STR3"/>
      <sheetName val="Isolasi_Luar_Dalam3"/>
      <sheetName val="Isolasi_Luar3"/>
      <sheetName val="Div26_-_Elect3"/>
      <sheetName val="U_P_Breakdown3"/>
      <sheetName val="1_R18_BF3"/>
      <sheetName val="6_External_works-R183"/>
      <sheetName val="[입찰안_xls][입찰안_xls][입찰안_xls]B231"/>
      <sheetName val="[입찰안_xls][입찰안_xls][입찰안_xls]B232"/>
      <sheetName val="[입찰안_xls][입찰안_xls][입찰안_xls]B233"/>
      <sheetName val="[입찰안_xls][입찰안_xls][입찰안_xls]B234"/>
      <sheetName val="[입찰안_xls][입찰안_xls][입찰안_xls]B235"/>
      <sheetName val="[입찰안_xls][입찰안_xls][입찰안_xls]B236"/>
      <sheetName val="[입찰안_xls][입찰안_xls][입찰안_xls]B237"/>
      <sheetName val="[입찰안_xls][입찰안_xls][입찰안_xls]B238"/>
      <sheetName val="[입찰안_xls][입찰안_xls][입찰안_xls]B239"/>
      <sheetName val="[입찰안_xls][입찰안_xls][입찰안_xls]B240"/>
      <sheetName val="[입찰안_xls][입찰안_xls][입찰안_xls]B241"/>
      <sheetName val="[입찰안_xls][입찰안_xls][입찰안_xls]B242"/>
      <sheetName val="[입찰안_xls][입찰안_xls][입찰안_xls]B243"/>
      <sheetName val="[입찰안_xls][입찰안_xls][입찰안_xls]B244"/>
      <sheetName val="견적비교표_(2)2"/>
      <sheetName val="결재방(지우지_마세요)2"/>
      <sheetName val="EXCHANGE_RATE2"/>
      <sheetName val="[입찰안_xls][입찰안_xls][입찰안_xls]B245"/>
      <sheetName val="[입찰안_xls][입찰안_xls][입찰안_xls]B246"/>
      <sheetName val="TOWER_12TON2"/>
      <sheetName val="공사투입계획(변경결의)19_92"/>
      <sheetName val="노무비_월별지급현황19_92"/>
      <sheetName val="갑지(외주기성)19_92"/>
      <sheetName val="[입찰안_xls][입찰안_xls][입찰안_xls]B247"/>
      <sheetName val="노임단가_및_기계경비2"/>
      <sheetName val="실행내역서_2"/>
      <sheetName val="[입찰안_xls][입찰안_xls][입찰안_xls]B248"/>
      <sheetName val="[입찰안_xls][입찰안_xls][입찰안_xls]B249"/>
      <sheetName val="[입찰안_xls][입찰안_xls][입찰안_xls]B250"/>
      <sheetName val="[입찰안_xls][입찰안_xls][입찰안_xls]B251"/>
      <sheetName val="[입찰안_xls][입찰안_xls][입찰안_xls]B252"/>
      <sheetName val="[입찰안_xls][입찰안_xls][입찰안_xls]B253"/>
      <sheetName val="중강당_내역2"/>
      <sheetName val="[입찰안_xls][입찰안_xls][입찰안_xls]B254"/>
      <sheetName val="[입찰안_xls][입찰안_xls][입찰안_xls]B255"/>
      <sheetName val="[입찰안_xls][입찰안_xls][입찰안_xls]B256"/>
      <sheetName val="[입찰안_xls][입찰안_xls][입찰안_xls]B257"/>
      <sheetName val="[입찰안_xls][입찰안_xls][입찰안_xls]B258"/>
      <sheetName val="[입찰안_xls][입찰안_xls][입찰안_xls]B259"/>
      <sheetName val="[입찰안_xls][입찰안_xls][입찰안_xls]B260"/>
      <sheetName val="[입찰안_xls][입찰안_xls][입찰안_xls]B261"/>
      <sheetName val="[입찰안_xls][입찰안_xls][입찰안_xls]B262"/>
      <sheetName val="[입찰안_xls][입찰안_xls][입찰안_xls]B263"/>
      <sheetName val="[입찰안_xls][입찰안_xls][입찰안_xls]B264"/>
      <sheetName val="[입찰안_xls][입찰안_xls][입찰안_xls]B265"/>
      <sheetName val="[입찰안_xls][입찰안_xls][입찰안_xls]B266"/>
      <sheetName val="[입찰안_xls][입찰안_xls][입찰안_xls]B267"/>
      <sheetName val="6-1_보오링(1)2"/>
      <sheetName val="할증_3"/>
      <sheetName val="간접비_총괄표3"/>
      <sheetName val="노_표-조1"/>
      <sheetName val="[입찰안_xls][입찰안_xls][입찰안_xls]B268"/>
      <sheetName val="[입찰안_xls][입찰안_xls][입찰안_xls]B269"/>
      <sheetName val="Requirement(Work_Crew)1"/>
      <sheetName val="[입찰안_xls][입찰안_xls][입찰안_xls]B270"/>
      <sheetName val="[입찰안_xls][입찰안_xls][입찰안_xls]B271"/>
      <sheetName val="[입찰안_xls][입찰안_xls][입찰안_xls]B272"/>
      <sheetName val="[입찰안_xls][입찰안_xls][입찰안_xls]B273"/>
      <sheetName val="[입찰안_xls][입찰안_xls][입찰안_xls]B274"/>
      <sheetName val="[입찰안_xls][입찰안_xls][입찰안_xls]B275"/>
      <sheetName val="[입찰안_xls][입찰안_xls][입찰안_xls]B276"/>
      <sheetName val="[입찰안_xls][입찰안_xls][입찰안_xls]B277"/>
      <sheetName val="[입찰안_xls][입찰안_xls][입찰안_xls]B278"/>
      <sheetName val="[입찰안_xls][입찰안_xls][입찰안_xls]B279"/>
      <sheetName val="[입찰안_xls][입찰안_xls][입찰안_xls]B280"/>
      <sheetName val="[입찰안_xls][입찰안_xls][입찰안_xls]B281"/>
      <sheetName val="[입찰안_xls][입찰안_xls][입찰안_xls]B282"/>
      <sheetName val="[입찰안_xls][입찰안_xls][입찰안_xls]B283"/>
      <sheetName val="[입찰안_xls][입찰안_xls][입찰안_xls]B284"/>
      <sheetName val="[입찰안_xls][입찰안_xls][입찰안_xls]B285"/>
      <sheetName val="[입찰안_xls][입찰안_xls][입찰안_xls]B286"/>
      <sheetName val="[입찰안_xls][입찰안_xls][입찰안_xls]B287"/>
      <sheetName val="[입찰안_xls][입찰안_xls][입찰안_xls]B288"/>
      <sheetName val="[입찰안_xls][입찰안_xls][입찰안_xls]B289"/>
      <sheetName val="[입찰안_xls][입찰안_xls][입찰안_xls]B290"/>
      <sheetName val="[입찰안_xls][입찰안_xls][입찰안_xls]B291"/>
      <sheetName val="[입찰안_xls][입찰안_xls][입찰안_xls]B292"/>
      <sheetName val="[입찰안_xls][입찰안_xls][입찰안_xls]B293"/>
      <sheetName val="[입찰안_xls][입찰안_xls][입찰안_xls]B294"/>
      <sheetName val="[입찰안_xls][입찰안_xls][입찰안_xls]B295"/>
      <sheetName val="[입찰안_xls][입찰안_xls][입찰안_xls]B296"/>
      <sheetName val="[입찰안_xls][입찰안_xls][입찰안_xls]B297"/>
      <sheetName val="[입찰안_xls][입찰안_xls][입찰안_xls]_541"/>
      <sheetName val="[입찰안_xls][입찰안_xls][입찰안_xls]_542"/>
      <sheetName val="[입찰안_xls][입찰안_xls][입찰안_xls]B298"/>
      <sheetName val="[입찰안_xls][입찰안_xls][입찰안_xls]_543"/>
      <sheetName val="[입찰안_xls][입찰안_xls][입찰안_xls]_544"/>
      <sheetName val="[입찰안_xls][입찰안_xls][입찰안_xls]_545"/>
      <sheetName val="[입찰안_xls][입찰안_xls][입찰안_xls]_546"/>
      <sheetName val="[입찰안_xls][입찰안_xls][입찰안_xls]_547"/>
      <sheetName val="[입찰안_xls][입찰안_xls][입찰안_xls]_548"/>
      <sheetName val="[입찰안_xls][입찰안_xls][입찰안_xls]_549"/>
      <sheetName val="[입찰안_xls][입찰안_xls][입찰안_xls]_550"/>
      <sheetName val="[입찰안_xls][입찰안_xls][입찰안_xls]_551"/>
      <sheetName val="[입찰안_xls][입찰안_xls][입찰안_xls]_552"/>
      <sheetName val="[입찰안_xls][입찰안_xls][입찰안_xls]_553"/>
      <sheetName val="[입찰안_xls][입찰안_xls][입찰안_xls]_554"/>
      <sheetName val="[입찰안_xls][입찰안_xls][입찰안_xls]_555"/>
      <sheetName val="[입찰안_xls][입찰안_xls][입찰안_xls]_556"/>
      <sheetName val="[입찰안_xls][입찰안_xls][입찰안_xls]_557"/>
      <sheetName val="[입찰안_xls][입찰안_xls][입찰안_xls]_558"/>
      <sheetName val="[입찰안_xls][입찰안_xls][입찰안_xls]_559"/>
      <sheetName val="[입찰안_xls][입찰안_xls][입찰안_xls]_560"/>
      <sheetName val="[입찰안_xls][입찰안_xls][입찰안_xls]__17"/>
      <sheetName val="[입찰안_xls][입찰안_xls][입찰안_xls]_561"/>
      <sheetName val="[입찰안_xls][입찰안_xls][입찰안_xls]_562"/>
      <sheetName val="[입찰안_xls][입찰안_xls][입찰안_xls]_563"/>
      <sheetName val="[입찰안_xls][입찰안_xls][입찰안_xls]_564"/>
      <sheetName val="[입찰안_xls][입찰안_xls][입찰안_xls]_565"/>
      <sheetName val="[입찰안_xls][입찰안_xls][입찰안_xls]_566"/>
      <sheetName val="[입찰안_xls][입찰안_xls][입찰안_xls]_567"/>
      <sheetName val="[입찰안_xls][입찰안_xls][입찰안_xls]_568"/>
      <sheetName val="사__업__비__수__지__예__산__서1"/>
      <sheetName val="[입찰안_xls][입찰안_xls][입찰안_xls]_569"/>
      <sheetName val="General_Data1"/>
      <sheetName val="Bill_01_-_CTN3"/>
      <sheetName val="020_235_23633"/>
      <sheetName val="CHITIET_VL-NC-TT1p3"/>
      <sheetName val="Project_Infor3"/>
      <sheetName val="Data_input3"/>
      <sheetName val="[입찰안_xls][입찰안_xls][입찰안_xls]_570"/>
      <sheetName val="[입찰안_xls][입찰안_xls][입찰안_xls]_571"/>
      <sheetName val="[입찰안_xls][입찰안_xls][입찰안_xls]_572"/>
      <sheetName val="[입찰안_xls][입찰안_xls][입찰안_xls]_573"/>
      <sheetName val="[입찰안_xls][입찰안_xls][입찰안_xls]_574"/>
      <sheetName val="[입찰안_xls][입찰안_xls][입찰안_xls]_575"/>
      <sheetName val="[입찰안_xls][입찰안_xls][입찰안_xls]_576"/>
      <sheetName val="[입찰안_xls][입찰안_xls][입찰안_xls]_577"/>
      <sheetName val="[입찰안_xls][입찰안_xls][입찰안_xls]_578"/>
      <sheetName val="[입찰안_xls][입찰안_xls][입찰안_xls]_579"/>
      <sheetName val="[입찰안_xls][입찰안_xls][입찰안_xls]_580"/>
      <sheetName val="[입찰안_xls][입찰안_xls][입찰안_xls]_581"/>
      <sheetName val="[입찰안_xls][입찰안_xls][입찰안_xls]_582"/>
      <sheetName val="[입찰안_xls][입찰안_xls][입찰안_xls]_583"/>
      <sheetName val="[입찰안_xls][입찰안_xls][입찰안_xls]_584"/>
      <sheetName val="[입찰안_xls][입찰안_xls][입찰안_xls]_585"/>
      <sheetName val="[입찰안_xls][입찰안_xls][입찰안_xls]_586"/>
      <sheetName val="[입찰안_xls][입찰안_xls][입찰안_xls]_587"/>
      <sheetName val="[입찰안_xls][입찰안_xls][입찰안_xls]_588"/>
      <sheetName val="[입찰안_xls][입찰안_xls][입찰안_xls]_589"/>
      <sheetName val="[입찰안_xls][입찰안_xls][입찰안_xls]_590"/>
      <sheetName val="[입찰안_xls][입찰안_xls][입찰안_xls]_591"/>
      <sheetName val="[입찰안_xls][입찰안_xls][입찰안_xls]_592"/>
      <sheetName val="[입찰안_xls][입찰안_xls][입찰안_xls]_593"/>
      <sheetName val="[입찰안_xls][입찰안_xls][입찰안_xls]_594"/>
      <sheetName val="[입찰안_xls][입찰안_xls][입찰안_xls]_595"/>
      <sheetName val="[입찰안_xls][입찰안_xls][입찰안_xls]_596"/>
      <sheetName val="[입찰안_xls][입찰안_xls][입찰안_xls]_597"/>
      <sheetName val="[입찰안_xls][입찰안_xls][입찰안_xls]_598"/>
      <sheetName val="[입찰안_xls][입찰안_xls][입찰안_xls]_599"/>
      <sheetName val="[입찰안_xls][입찰안_xls][입찰안_xls]_600"/>
      <sheetName val="[입찰안_xls][입찰안_xls][입찰안_xls]_601"/>
      <sheetName val="[입찰안_xls][입찰안_xls][입찰안_xls]_602"/>
      <sheetName val="[입찰안_xls][입찰안_xls][입찰안_xls]_603"/>
      <sheetName val="[입찰안_xls][입찰안_xls][입찰안_xls]_604"/>
      <sheetName val="[입찰안_xls][입찰안_xls][입찰안_xls]_605"/>
      <sheetName val="[입찰안_xls][입찰안_xls][입찰안_xls]_606"/>
      <sheetName val="[입찰안_xls][입찰안_xls][입찰안_xls]_607"/>
      <sheetName val="[입찰안_xls][입찰안_xls][입찰안_xls]_608"/>
      <sheetName val="[입찰안_xls][입찰안_xls][입찰안_xls]_609"/>
      <sheetName val="[입찰안_xls][입찰안_xls][입찰안_xls]_610"/>
      <sheetName val="[입찰안_xls][입찰안_xls][입찰안_xls]_611"/>
      <sheetName val="[입찰안_xls][입찰안_xls][입찰안_xls]_612"/>
      <sheetName val="[입찰안_xls][입찰안_xls][입찰안_xls]_613"/>
      <sheetName val="[입찰안_xls][입찰안_xls][입찰안_xls]_614"/>
      <sheetName val="[입찰안_xls][입찰안_xls][입찰안_xls]_615"/>
      <sheetName val="[입찰안_xls][입찰안_xls][입찰안_xls]_616"/>
      <sheetName val="[입찰안_xls][입찰안_xls][입찰안_xls]_617"/>
      <sheetName val="[입찰안_xls][입찰안_xls][입찰안_xls]_618"/>
      <sheetName val="[입찰안_xls][입찰안_xls][입찰안_xls]_619"/>
      <sheetName val="[입찰안_xls][입찰안_xls][입찰안_xls]_620"/>
      <sheetName val="[입찰안_xls][입찰안_xls][입찰안_xls]_621"/>
      <sheetName val="[입찰안_xls][입찰안_xls][입찰안_xls]_622"/>
      <sheetName val="[입찰안_xls][입찰안_xls][입찰안_xls]_623"/>
      <sheetName val="[입찰안_xls][입찰안_xls][입찰안_xls]_624"/>
      <sheetName val="[입찰안_xls][입찰안_xls][입찰안_xls]_625"/>
      <sheetName val="[입찰안_xls][입찰안_xls][입찰안_xls]_626"/>
      <sheetName val="[입찰안_xls][입찰안_xls][입찰안_xls]_627"/>
      <sheetName val="[입찰안_xls][입찰안_xls][입찰안_xls]_628"/>
      <sheetName val="[입찰안_xls][입찰안_xls][입찰안_xls]_629"/>
      <sheetName val="[입찰안_xls][입찰안_xls][입찰안_xls]_630"/>
      <sheetName val="[입찰안_xls][입찰안_xls][입찰안_xls]_631"/>
      <sheetName val="[입찰안_xls][입찰안_xls][입찰안_xls]_632"/>
      <sheetName val="[입찰안_xls][입찰안_xls][입찰안_xls]_633"/>
      <sheetName val="[입찰안_xls][입찰안_xls][입찰안_xls]_634"/>
      <sheetName val="[입찰안_xls][입찰안_xls][입찰안_xls]_635"/>
      <sheetName val="[입찰안_xls][입찰안_xls][입찰안_xls]_636"/>
      <sheetName val="[입찰안_xls][입찰안_xls][입찰안_xls]_637"/>
      <sheetName val="[입찰안_xls][입찰안_xls][입찰안_xls]_638"/>
      <sheetName val="[입찰안_xls][입찰안_xls][입찰안_xls]_639"/>
      <sheetName val="[입찰안_xls][입찰안_xls][입찰안_xls]_640"/>
      <sheetName val="[입찰안_xls][입찰안_xls][입찰안_xls]_641"/>
      <sheetName val="[입찰안_xls][입찰안_xls][입찰안_xls]_642"/>
      <sheetName val="[입찰안_xls][입찰안_xls][입찰안_xls]_643"/>
      <sheetName val="[입찰안_xls][입찰안_xls][입찰안_xls]_644"/>
      <sheetName val="[입찰안_xls][입찰안_xls][입찰안_xls]_645"/>
      <sheetName val="[입찰안_xls][입찰안_xls][입찰안_xls]_646"/>
      <sheetName val="[입찰안_xls][입찰안_xls][입찰안_xls]_647"/>
      <sheetName val="[입찰안_xls][입찰안_xls][입찰안_xls]_648"/>
      <sheetName val="[입찰안_xls][입찰안_xls][입찰안_xls]_649"/>
      <sheetName val="[입찰안_xls][입찰안_xls][입찰안_xls]_650"/>
      <sheetName val="[입찰안_xls][입찰안_xls][입찰안_xls]_651"/>
      <sheetName val="[입찰안_xls][입찰안_xls][입찰안_xls]_652"/>
      <sheetName val="[입찰안_xls][입찰안_xls][입찰안_xls]_653"/>
      <sheetName val="[입찰안_xls][입찰안_xls][입찰안_xls]_654"/>
      <sheetName val="[입찰안_xls][입찰안_xls][입찰안_xls]_655"/>
      <sheetName val="_입찰안_xls_직접뀀鞖_3"/>
      <sheetName val="_입찰안_xls__입찰안_xls_직접뀀鞖_3"/>
      <sheetName val="bang_TH3"/>
      <sheetName val="Sheet2_(2)1"/>
      <sheetName val="[입찰안_xls][입찰안_xls][입찰안_xls]_656"/>
      <sheetName val="[입찰안_xls][입찰안_xls][입찰안_xls]_657"/>
      <sheetName val="[입찰안_xls][입찰안_xls][입찰안_xls]_658"/>
      <sheetName val="[입찰안_xls][입찰안_xls][입찰안_xls]_659"/>
      <sheetName val="[입찰안_xls][입찰안_xls][입찰안_xls]_660"/>
      <sheetName val="[입찰안_xls][입찰안_xls][입찰안_xls]_661"/>
      <sheetName val="[입찰안_xls][입찰안_xls][입찰안_xls]_662"/>
      <sheetName val="[입찰안_xls][입찰안_xls][입찰안_xls]_663"/>
      <sheetName val="[입찰안_xls][입찰안_xls][입찰안_xls]_664"/>
      <sheetName val="A_LINE1"/>
      <sheetName val="[입찰안_xls][입찰안_xls][입찰안_xls]_665"/>
      <sheetName val="[입찰안_xls][입찰안_xls][입찰안_xls]_666"/>
      <sheetName val="[입찰안_xls][입찰안_xls][입찰안_xls]_667"/>
      <sheetName val="[입찰안_xls][입찰안_xls][입찰안_xls]_668"/>
      <sheetName val="[입찰안_xls][입찰안_xls][입찰안_xls]_669"/>
      <sheetName val="[입찰안_xls][입찰안_xls][입찰안_xls]_670"/>
      <sheetName val="[입찰안_xls][입찰안_xls][입찰안_xls]_671"/>
      <sheetName val="[입찰안_xls][입찰안_xls][입찰안_xls]_672"/>
      <sheetName val="[입찰안_xls][입찰안_xls][입찰안_xls]_673"/>
      <sheetName val="[입찰안_xls][입찰안_xls][입찰안_xls]_674"/>
      <sheetName val="[입찰안_xls][입찰안_xls][입찰안_xls]_675"/>
      <sheetName val="[입찰안_xls][입찰안_xls][입찰안_xls]_676"/>
      <sheetName val="[입찰안_xls][입찰안_xls][입찰안_xls]_677"/>
      <sheetName val="[입찰안_xls][입찰안_xls][입찰안_xls]_678"/>
      <sheetName val="[입찰안_xls][입찰안_xls][입찰안_xls]_679"/>
      <sheetName val="[입찰안_xls][입찰안_xls][입찰안_xls]_680"/>
      <sheetName val="[입찰안_xls][입찰안_xls][입찰안_xls]_681"/>
      <sheetName val="[입찰안_xls][입찰안_xls][입찰안_xls]_682"/>
      <sheetName val="[입찰안_xls][입찰안_xls][입찰안_xls]_683"/>
      <sheetName val="[입찰안_xls][입찰안_xls][입찰안_xls]_684"/>
      <sheetName val="[입찰안_xls][입찰안_xls][입찰안_xls]_685"/>
      <sheetName val="[입찰안_xls][입찰안_xls][입찰안_xls]_686"/>
      <sheetName val="[입찰안_xls][입찰안_xls][입찰안_xls]_687"/>
      <sheetName val="[입찰안_xls][입찰안_xls][입찰안_xls]_688"/>
      <sheetName val="[입찰안_xls][입찰안_xls][입찰안_xls]_689"/>
      <sheetName val="[입찰안_xls][입찰안_xls][입찰안_xls]_690"/>
      <sheetName val="[입찰안_xls][입찰안_xls][입찰안_xls]_691"/>
      <sheetName val="[입찰안_xls][입찰안_xls][입찰안_xls]_692"/>
      <sheetName val="[입찰안_xls][입찰안_xls][입찰안_xls]_693"/>
      <sheetName val="[입찰안_xls][입찰안_xls][입찰안_xls]_694"/>
      <sheetName val="[입찰안_xls][입찰안_xls][입찰안_xls]_695"/>
      <sheetName val="[입찰안_xls][입찰안_xls][입찰안_xls]_696"/>
      <sheetName val="[입찰안_xls][입찰안_xls][입찰안_xls]_697"/>
      <sheetName val="[입찰안_xls][입찰안_xls][입찰안_xls]_698"/>
      <sheetName val="[입찰안_xls][입찰안_xls][입찰안_xls]_699"/>
      <sheetName val="[입찰안_xls][입찰안_xls][입찰안_xls]_700"/>
      <sheetName val="[입찰안_xls][입찰안_xls][입찰안_xls]_701"/>
      <sheetName val="[입찰안_xls][입찰안_xls][입찰안_xls]_702"/>
      <sheetName val="[입찰안_xls][입찰안_xls][입찰안_xls]_703"/>
      <sheetName val="[입찰안_xls][입찰안_xls][입찰안_xls]_704"/>
      <sheetName val="[입찰안_xls][입찰안_xls][입찰안_xls]_705"/>
      <sheetName val="[입찰안_xls][입찰안_xls][입찰안_xls]_706"/>
      <sheetName val="[입찰안_xls][입찰안_xls][입찰안_xls]_707"/>
      <sheetName val="[입찰안_xls][입찰안_xls][입찰안_xls]_708"/>
      <sheetName val="[입찰안_xls][입찰안_xls][입찰안_xls]_709"/>
      <sheetName val="Phan_tho3"/>
      <sheetName val="Tien_Thuong3"/>
      <sheetName val="NC_XL_6T_cuoi_01_CTy3"/>
      <sheetName val="Data_-6T_dau3"/>
      <sheetName val="Cong_6T3"/>
      <sheetName val="[입찰안_xls][입찰안_xls][입찰안_xls]_710"/>
      <sheetName val="[입찰안_xls][입찰안_xls][입찰안_xls]__18"/>
      <sheetName val="[입찰안_xls][입찰안_xls][입찰안_xls]__19"/>
      <sheetName val="[입찰안_xls][입찰안_xls]직접뀀鞖/4"/>
      <sheetName val="[입찰안_xls][입찰안_xls][입찰안_xls]__20"/>
      <sheetName val="[입찰안_xls][입찰안_xls][입찰안_xls]_711"/>
      <sheetName val="[입찰안_xls][입찰안_xls][입찰안_xls]_712"/>
      <sheetName val="Khoi_luong1"/>
      <sheetName val="_입찰안_xls__입찰안_xls__입찰안_xls____1"/>
      <sheetName val="_입찰안_xls__입찰안_xls__입찰안_xls____4"/>
      <sheetName val="[입찰안_xls][입찰안_xls][입찰안_xls]_713"/>
      <sheetName val="[입찰안_xls][입찰안_xls][입찰안_xls]_714"/>
      <sheetName val="[입찰안_xls][입찰안_xls][입찰안_xls]_715"/>
      <sheetName val="[입찰안_xls][입찰안_xls][입찰안_xls]_716"/>
      <sheetName val="[입찰안_xls][입찰안_xls][입찰안_xls]_717"/>
      <sheetName val="[입찰안_xls][입찰안_xls][입찰안_xls]_718"/>
      <sheetName val="[입찰안_xls][입찰안_xls][입찰안_xls]_719"/>
      <sheetName val="[입찰안_xls][입찰안_xls][입찰안_xls]_720"/>
      <sheetName val="[입찰안_xls][입찰안_xls][입찰안_xls]_721"/>
      <sheetName val="[입찰안_xls][입찰안_xls][입찰안_xls]_722"/>
      <sheetName val="[입찰안_xls][입찰안_xls][입찰안_xls]_723"/>
      <sheetName val="[입찰안_xls][입찰안_xls][입찰안_xls]_724"/>
      <sheetName val="[입찰안_xls][입찰안_xls][입찰안_xls]_725"/>
      <sheetName val="[입찰안_xls][입찰안_xls][입찰안_xls]_726"/>
      <sheetName val="[입찰안_xls][입찰안_xls][입찰안_xls]_727"/>
      <sheetName val="[입찰안_xls][입찰안_xls][입찰안_xls]_728"/>
      <sheetName val="[입찰안_xls][입찰안_xls][입찰안_xls]_729"/>
      <sheetName val="[입찰안_xls][입찰안_xls][입찰안_xls]_730"/>
      <sheetName val="[입찰안_xls][입찰안_xls][입찰안_xls]_731"/>
      <sheetName val="[입찰안_xls][입찰안_xls][입찰안_xls]_732"/>
      <sheetName val="[입찰안_xls][입찰안_xls][입찰안_xls]_733"/>
      <sheetName val="[입찰안_xls][입찰안_xls][입찰안_xls]_734"/>
      <sheetName val="[입찰안_xls][입찰안_xls][입찰안_xls]_735"/>
      <sheetName val="[입찰안_xls][입찰안_xls][입찰안_xls]_736"/>
      <sheetName val="[입찰안_xls][입찰안_xls][입찰안_xls]_737"/>
      <sheetName val="[입찰안_xls][입찰안_xls][입찰안_xls]_738"/>
      <sheetName val="[입찰안_xls][입찰안_xls][입찰안_xls]_739"/>
      <sheetName val="[입찰안_xls][입찰안_xls][입찰안_xls]_740"/>
      <sheetName val="[입찰안_xls][입찰안_xls][입찰안_xls]_741"/>
      <sheetName val="[입찰안_xls][입찰안_xls][입찰안_xls]_742"/>
      <sheetName val="[입찰안_xls][입찰안_xls][입찰안_xls]_743"/>
      <sheetName val="[입찰안_xls][입찰안_xls][입찰안_xls]_744"/>
      <sheetName val="[입찰안_xls][입찰안_xls][입찰안_xls]_745"/>
      <sheetName val="[입찰안_xls][입찰안_xls][입찰안_xls]_746"/>
      <sheetName val="[입찰안_xls][입찰안_xls][입찰안_xls]_747"/>
      <sheetName val="[입찰안_xls][입찰안_xls][입찰안_xls]_748"/>
      <sheetName val="[입찰안_xls][입찰안_xls][입찰안_xls]_749"/>
      <sheetName val="[입찰안_xls][입찰안_xls][입찰안_xls]_750"/>
      <sheetName val="[입찰안_xls][입찰안_xls][입찰안_xls]_751"/>
      <sheetName val="[입찰안_xls][입찰안_xls][입찰안_xls]_752"/>
      <sheetName val="[입찰안_xls][입찰안_xls][입찰안_xls]_753"/>
      <sheetName val="[입찰안_xls][입찰안_xls][입찰안_xls]_754"/>
      <sheetName val="[입찰안_xls][입찰안_xls][입찰안_xls]_755"/>
      <sheetName val="[입찰안_xls][입찰안_xls][입찰안_xls]_756"/>
      <sheetName val="[입찰안_xls][입찰안_xls][입찰안_xls]_757"/>
      <sheetName val="[입찰안_xls][입찰안_xls][입찰안_xls]_758"/>
      <sheetName val="[입찰안_xls][입찰안_xls][입찰안_xls]_759"/>
      <sheetName val="[입찰안_xls][입찰안_xls][입찰안_xls]_760"/>
      <sheetName val="[입찰안_xls][입찰안_xls][입찰안_xls]_761"/>
      <sheetName val="[입찰안_xls][입찰안_xls][입찰안_xls]_762"/>
      <sheetName val="[입찰안_xls][입찰안_xls][입찰안_xls]_763"/>
      <sheetName val="[입찰안_xls][입찰안_xls][입찰안_xls]_764"/>
      <sheetName val="[입찰안_xls][입찰안_xls][입찰안_xls]_765"/>
      <sheetName val="[입찰안_xls][입찰안_xls][입찰안_xls]_766"/>
      <sheetName val="[입찰안_xls][입찰안_xls][입찰안_xls]_767"/>
      <sheetName val="[입찰안_xls][입찰안_xls][입찰안_xls]_768"/>
      <sheetName val="[입찰안_xls][입찰안_xls][입찰안_xls]_769"/>
      <sheetName val="[입찰안_xls][입찰안_xls][입찰안_xls]_770"/>
      <sheetName val="[입찰안_xls][입찰안_xls][입찰안_xls]_771"/>
      <sheetName val="[입찰안_xls][입찰안_xls][입찰안_xls]_772"/>
      <sheetName val="[입찰안_xls][입찰안_xls][입찰안_xls]_773"/>
      <sheetName val="[입찰안_xls][입찰안_xls][입찰안_xls]_774"/>
      <sheetName val="[입찰안_xls][입찰안_xls][입찰안_xls]_775"/>
      <sheetName val="[입찰안_xls][입찰안_xls][입찰안_xls]_776"/>
      <sheetName val="[입찰안_xls][입찰안_xls][입찰안_xls]_777"/>
      <sheetName val="[입찰안_xls][입찰안_xls][입찰안_xls]_778"/>
      <sheetName val="[입찰안_xls][입찰안_xls][입찰안_xls]_779"/>
      <sheetName val="[입찰안_xls][입찰안_xls][입찰안_xls]_780"/>
      <sheetName val="[입찰안_xls][입찰안_xls][입찰안_xls]_781"/>
      <sheetName val="[입찰안_xls][입찰안_xls][입찰안_xls]_782"/>
      <sheetName val="[입찰안_xls][입찰안_xls][입찰안_xls]_783"/>
      <sheetName val="[입찰안_xls][입찰안_xls][입찰안_xls]_784"/>
      <sheetName val="[입찰안_xls][입찰안_xls][입찰안_xls]_785"/>
      <sheetName val="[입찰안_xls][입찰안_xls][입찰안_xls]_786"/>
      <sheetName val="[입찰안_xls][입찰안_xls][입찰안_xls]_787"/>
      <sheetName val="[입찰안_xls][입찰안_xls][입찰안_xls]_788"/>
      <sheetName val="[입찰안_xls][입찰안_xls][입찰안_xls]_789"/>
      <sheetName val="[입찰안_xls][입찰안_xls][입찰안_xls]_790"/>
      <sheetName val="[입찰안_xls][입찰안_xls][입찰안_xls]_791"/>
      <sheetName val="[입찰안_xls][입찰안_xls][입찰안_xls]_792"/>
      <sheetName val="[입찰안_xls][입찰안_xls][입찰안_xls]_793"/>
      <sheetName val="[입찰안_xls][입찰안_xls][입찰안_xls]_794"/>
      <sheetName val="[입찰안_xls][입찰안_xls][입찰안_xls]_795"/>
      <sheetName val="[입찰안_xls][입찰안_xls][입찰안_xls]_796"/>
      <sheetName val="[입찰안_xls][입찰안_xls][입찰안_xls]_797"/>
      <sheetName val="[입찰안_xls][입찰안_xls][입찰안_xls]_798"/>
      <sheetName val="[입찰안_xls][입찰안_xls][입찰안_xls]_799"/>
      <sheetName val="[입찰안_xls][입찰안_xls][입찰안_xls]_800"/>
      <sheetName val="[입찰안_xls][입찰안_xls][입찰안_xls]_801"/>
      <sheetName val="[입찰안_xls][입찰안_xls][입찰안_xls]_802"/>
      <sheetName val="[입찰안_xls][입찰안_xls][입찰안_xls]_803"/>
      <sheetName val="[입찰안_xls][입찰안_xls][입찰안_xls]_804"/>
      <sheetName val="[입찰안_xls][입찰안_xls][입찰안_xls]_805"/>
      <sheetName val="[입찰안_xls][입찰안_xls][입찰안_xls]_806"/>
      <sheetName val="[입찰안_xls][입찰안_xls][입찰안_xls]_807"/>
      <sheetName val="[입찰안_xls][입찰안_xls][입찰안_xls]_808"/>
      <sheetName val="[입찰안_xls][입찰안_xls][입찰안_xls]_809"/>
      <sheetName val="[입찰안_xls][입찰안_xls][입찰안_xls]_810"/>
      <sheetName val="[입찰안_xls][입찰안_xls][입찰안_xls]_811"/>
      <sheetName val="[입찰안_xls][입찰안_xls][입찰안_xls]_812"/>
      <sheetName val="[입찰안_xls][입찰안_xls][입찰안_xls]_813"/>
      <sheetName val="[입찰안_xls][입찰안_xls][입찰안_xls]_814"/>
      <sheetName val="[입찰안_xls][입찰안_xls][입찰안_xls]_815"/>
      <sheetName val="새로이_설치할_정비기반시설_조서_나번_(2)1"/>
      <sheetName val="[입찰안_xls][입찰안_xls][입찰안_xls]_816"/>
      <sheetName val="[입찰안_xls][입찰안_xls][입찰안_xls]__21"/>
      <sheetName val="[입찰안_xls][입찰안_xls][입찰안_xls]__22"/>
      <sheetName val="[입찰안_xls][입찰안_xls][입찰안_xls]__23"/>
      <sheetName val="[입찰안_xls][입찰안_xls][입찰안_xls]_817"/>
      <sheetName val="DTICH_(Full)1"/>
      <sheetName val="COST_SUMMARY1"/>
      <sheetName val="Xuly_Data1"/>
      <sheetName val="TL_rieng1"/>
      <sheetName val="Thuc_thanh1"/>
      <sheetName val="Cost_factor1"/>
      <sheetName val="Item_list1"/>
      <sheetName val="Sheet_Template_Empty1"/>
      <sheetName val="[입찰안_xls][입찰안_xls][입찰안_xls]_818"/>
      <sheetName val="[입찰안_xls][입찰안_xls][입찰안_xls]_819"/>
      <sheetName val="[입찰안_xls][입찰안_xls][입찰안_xls]_820"/>
      <sheetName val="[입찰안_xls][입찰안_xls][입찰안_xls]_821"/>
      <sheetName val="[입찰안_xls][입찰안_xls][입찰안_xls]_822"/>
      <sheetName val="[입찰안_xls][입찰안_xls][입찰안_xls]_823"/>
      <sheetName val="[입찰안_xls][입찰안_xls][입찰안_xls]_824"/>
      <sheetName val="[입찰안_xls][입찰안_xls][입찰안_xls]_825"/>
      <sheetName val="[입찰안_xls][입찰안_xls][입찰안_xls]_826"/>
      <sheetName val="[입찰안_xls][입찰안_xls][입찰안_xls]_827"/>
      <sheetName val="[입찰안_xls][입찰안_xls][입찰안_xls]_828"/>
      <sheetName val="[입찰안_xls][입찰안_xls][입찰안_xls]_829"/>
      <sheetName val="[입찰안_xls][입찰안_xls][입찰안_xls]_830"/>
      <sheetName val="[입찰안_xls][입찰안_xls][입찰안_xls]_831"/>
      <sheetName val="[입찰안_xls][입찰안_xls][입찰안_xls]_832"/>
      <sheetName val="[입찰안_xls][입찰안_xls][입찰안_xls]_833"/>
      <sheetName val="[입찰안_xls][입찰안_xls][입찰안_xls]_834"/>
      <sheetName val="[입찰안_xls][입찰안_xls][입찰안_xls]_835"/>
      <sheetName val="[입찰안_xls][입찰안_xls][입찰안_xls]_836"/>
      <sheetName val="[입찰안_xls][입찰안_xls][입찰안_xls]_837"/>
      <sheetName val="[입찰안_xls][입찰안_xls][입찰안_xls]_838"/>
      <sheetName val="[입찰안_xls][입찰안_xls][입찰안_xls]_839"/>
      <sheetName val="[입찰안_xls][입찰안_xls][입찰안_xls]_840"/>
      <sheetName val="[입찰안_xls][입찰안_xls][입찰안_xls]_841"/>
      <sheetName val="[입찰안_xls][입찰안_xls][입찰안_xls]_842"/>
      <sheetName val="[입찰안_xls][입찰안_xls][입찰안_xls]_843"/>
      <sheetName val="[입찰안_xls][입찰안_xls][입찰안_xls]_844"/>
      <sheetName val="[입찰안_xls][입찰안_xls][입찰안_xls]_845"/>
      <sheetName val="[입찰안_xls][입찰안_xls][입찰안_xls]_846"/>
      <sheetName val="[입찰안_xls][입찰안_xls][입찰안_xls]_847"/>
      <sheetName val="[입찰안_xls][입찰안_xls][입찰안_xls]_848"/>
      <sheetName val="[입찰안_xls][입찰안_xls][입찰안_xls]_849"/>
      <sheetName val="[입찰안_xls][입찰안_xls][입찰안_xls]_850"/>
      <sheetName val="[입찰안_xls][입찰안_xls][입찰안_xls]_851"/>
      <sheetName val="[입찰안_xls][입찰안_xls][입찰안_xls]_852"/>
      <sheetName val="[입찰안_xls][입찰안_xls][입찰안_xls]_853"/>
      <sheetName val="[입찰안_xls][입찰안_xls][입찰안_xls]_854"/>
      <sheetName val="[입찰안_xls][입찰안_xls][입찰안_xls]_855"/>
      <sheetName val="[입찰안_xls][입찰안_xls][입찰안_xls]_856"/>
      <sheetName val="[입찰안_xls][입찰안_xls][입찰안_xls]_857"/>
      <sheetName val="[입찰안_xls][입찰안_xls][입찰안_xls]_858"/>
      <sheetName val="[입찰안_xls][입찰안_xls][입찰안_xls]_859"/>
      <sheetName val="[입찰안_xls][입찰안_xls][입찰안_xls]_860"/>
      <sheetName val="[입찰안_xls][입찰안_xls][입찰안_xls]_861"/>
      <sheetName val="[입찰안_xls][입찰안_xls][입찰안_xls]_862"/>
      <sheetName val="[입찰안_xls][입찰안_xls][입찰안_xls]_863"/>
      <sheetName val="[입찰안_xls][입찰안_xls][입찰안_xls]_864"/>
      <sheetName val="[입찰안_xls][입찰안_xls][입찰안_xls]_865"/>
      <sheetName val="[입찰안_xls][입찰안_xls][입찰안_xls]_866"/>
      <sheetName val="F_D_SEC__PROP1"/>
      <sheetName val="[입찰안_xls][입찰안_xls][입찰안_xls]_867"/>
      <sheetName val="[입찰안_xls][입찰안_xls][입찰안_xls]_868"/>
      <sheetName val="[입찰안_xls][입찰안_xls][입찰안_xls]_869"/>
      <sheetName val="[입찰안_xls][입찰안_xls][입찰안_xls]_870"/>
      <sheetName val="[입찰안_xls][입찰안_xls][입찰안_xls]_871"/>
      <sheetName val="[입찰안_xls][입찰안_xls][입찰안_xls]_872"/>
      <sheetName val="[입찰안_xls][입찰안_xls][입찰안_xls]_873"/>
      <sheetName val="[입찰안_xls][입찰안_xls][입찰안_xls]_874"/>
      <sheetName val="[입찰안_xls][입찰안_xls][입찰안_xls]_875"/>
      <sheetName val="[입찰안_xls][입찰안_xls][입찰안_xls]_876"/>
      <sheetName val="[입찰안_xls][입찰안_xls][입찰안_xls]_877"/>
      <sheetName val="[입찰안_xls][입찰안_xls][입찰안_xls]_878"/>
      <sheetName val="[입찰안_xls][입찰안_xls][입찰안_xls]_879"/>
      <sheetName val="[입찰안_xls][입찰안_xls][입찰안_xls]_880"/>
      <sheetName val="[입찰안_xls][입찰안_xls][입찰안_xls]_881"/>
      <sheetName val="[입찰안_xls][입찰안_xls][입찰안_xls]_882"/>
      <sheetName val="[입찰안_xls][입찰안_xls][입찰안_xls]_883"/>
      <sheetName val="[입찰안_xls][입찰안_xls][입찰안_xls]_884"/>
      <sheetName val="[입찰안_xls][입찰안_xls][입찰안_xls]_885"/>
      <sheetName val="[입찰안_xls][입찰안_xls][입찰안_xls]_886"/>
      <sheetName val="[입찰안_xls][입찰안_xls][입찰안_xls]_887"/>
      <sheetName val="[입찰안_xls][입찰안_xls][입찰안_xls]_888"/>
      <sheetName val="[입찰안_xls][입찰안_xls][입찰안_xls]_889"/>
      <sheetName val="[입찰안_xls][입찰안_xls][입찰안_xls]_890"/>
      <sheetName val="[입찰안_xls][입찰안_xls][입찰안_xls]_891"/>
      <sheetName val="[입찰안_xls][입찰안_xls][입찰안_xls]_892"/>
      <sheetName val="[입찰안_xls][입찰안_xls][입찰안_xls]_893"/>
      <sheetName val="[입찰안_xls][입찰안_xls][입찰안_xls]_894"/>
      <sheetName val="[입찰안_xls][입찰안_xls][입찰안_xls]_895"/>
      <sheetName val="[입찰안_xls][입찰안_xls][입찰안_xls]_896"/>
      <sheetName val="[입찰안_xls][입찰안_xls][입찰안_xls]_897"/>
      <sheetName val="[입찰안_xls][입찰안_xls][입찰안_xls]_898"/>
      <sheetName val="[입찰안_xls][입찰안_xls][입찰안_xls]_899"/>
      <sheetName val="[입찰안_xls][입찰안_xls][입찰안_xls]_900"/>
      <sheetName val="[입찰안_xls][입찰안_xls][입찰안_xls]_901"/>
      <sheetName val="[입찰안_xls][입찰안_xls][입찰안_xls]_902"/>
      <sheetName val="[입찰안_xls][입찰안_xls][입찰안_xls]_903"/>
      <sheetName val="[입찰안_xls][입찰안_xls][입찰안_xls]_904"/>
      <sheetName val="Code_021"/>
      <sheetName val="Code_031"/>
      <sheetName val="Code_041"/>
      <sheetName val="Code_051"/>
      <sheetName val="Code_061"/>
      <sheetName val="Code_071"/>
      <sheetName val="Code_091"/>
      <sheetName val="[입찰안_xls][입찰안_xls][입찰안_xls]_905"/>
      <sheetName val="[입찰안_xls][입찰안_xls][입찰안_xls]_906"/>
      <sheetName val="[입찰안_xls][입찰안_xls][입찰안_xls]_907"/>
      <sheetName val="[입찰안_xls][입찰안_xls][입찰안_xls]_908"/>
      <sheetName val="[입찰안_xls][입찰안_xls][입찰안_xls]_909"/>
      <sheetName val="[입찰안_xls][입찰안_xls][입찰안_xls]_910"/>
      <sheetName val="[입찰안_xls][입찰안_xls][입찰안_xls]_911"/>
      <sheetName val="[입찰안_xls][입찰안_xls][입찰안_xls]_912"/>
      <sheetName val="[입찰안_xls][입찰안_xls][입찰안_xls]_913"/>
      <sheetName val="[입찰안_xls][입찰안_xls][입찰안_xls]_914"/>
      <sheetName val="[입찰안_xls][입찰안_xls][입찰안_xls]_915"/>
      <sheetName val="[입찰안_xls][입찰안_xls][입찰안_xls]_916"/>
      <sheetName val="[입찰안_xls][입찰안_xls][입찰안_xls]_917"/>
      <sheetName val="[입찰안_xls][입찰안_xls][입찰안_xls]_918"/>
      <sheetName val="[입찰안_xls][입찰안_xls][입찰안_xls]_919"/>
      <sheetName val="[입찰안_xls][입찰안_xls][입찰안_xls]_920"/>
      <sheetName val="[입찰안_xls][입찰안_xls][입찰안_xls]_921"/>
      <sheetName val="[입찰안_xls][입찰안_xls][입찰안_xls]_922"/>
      <sheetName val="[입찰안_xls][입찰안_xls][입찰안_xls]_923"/>
      <sheetName val="[입찰안_xls][입찰안_xls][입찰안_xls]_924"/>
      <sheetName val="[입찰안_xls][입찰안_xls][입찰안_xls]_925"/>
      <sheetName val="[입찰안_xls][입찰안_xls][입찰안_xls]_926"/>
      <sheetName val="[입찰안_xls][입찰안_xls][입찰안_xls]_927"/>
      <sheetName val="[입찰안_xls][입찰안_xls][입찰안_xls]_928"/>
      <sheetName val="[입찰안_xls][입찰안_xls][입찰안_xls]_929"/>
      <sheetName val="[입찰안_xls][입찰안_xls][입찰안_xls]_930"/>
      <sheetName val="[입찰안_xls][입찰안_xls][입찰안_xls]_931"/>
      <sheetName val="[입찰안_xls][입찰안_xls][입찰안_xls]_932"/>
      <sheetName val="[입찰안_xls][입찰안_xls][입찰안_xls]_933"/>
      <sheetName val="[입찰안_xls][입찰안_xls][입찰안_xls]_934"/>
      <sheetName val="[입찰안_xls][입찰안_xls][입찰안_xls]_935"/>
      <sheetName val="[입찰안_xls][입찰안_xls][입찰안_xls]_936"/>
      <sheetName val="[입찰안_xls][입찰안_xls][입찰안_xls]_937"/>
      <sheetName val="[입찰안_xls][입찰안_xls][입찰안_xls]_938"/>
      <sheetName val="[입찰안_xls][입찰안_xls][입찰안_xls]_939"/>
      <sheetName val="[입찰안_xls][입찰안_xls][입찰안_xls]_940"/>
      <sheetName val="co-no_21"/>
      <sheetName val="(1)2002년_매출목표_산출1"/>
      <sheetName val="[입찰안_xls][입찰안_xls][입찰안_xls]_941"/>
      <sheetName val="[입찰안_xls][입찰안_xls][입찰안_xls]_942"/>
      <sheetName val="[입찰안_xls][입찰안_xls][입찰안_xls]_943"/>
      <sheetName val="[입찰안_xls][입찰안_xls][입찰안_xls]_944"/>
      <sheetName val="[입찰안_xls][입찰안_xls][입찰안_xls]_945"/>
      <sheetName val="[입찰안_xls][입찰안_xls][입찰안_xls]_946"/>
      <sheetName val="[입찰안_xls][입찰안_xls][입찰안_xls]_947"/>
      <sheetName val="[입찰안_xls][입찰안_xls][입찰안_xls]_948"/>
      <sheetName val="[입찰안_xls][입찰안_xls][입찰안_xls]_949"/>
      <sheetName val="[입찰안_xls][입찰안_xls][입찰안_xls]_950"/>
      <sheetName val="[입찰안_xls][입찰안_xls][입찰안_xls]_951"/>
      <sheetName val="[입찰안_xls][입찰안_xls][입찰안_xls]_952"/>
      <sheetName val="[입찰안_xls][입찰안_xls][입찰안_xls]_953"/>
      <sheetName val="[입찰안_xls][입찰안_xls][입찰안_xls]_954"/>
      <sheetName val="[입찰안_xls][입찰안_xls][입찰안_xls]_955"/>
      <sheetName val="[입찰안_xls][입찰안_xls][입찰안_xls]_956"/>
      <sheetName val="[입찰안_xls][입찰안_xls][입찰안_xls]_957"/>
      <sheetName val="[입찰안_xls][입찰안_xls][입찰안_xls]_958"/>
      <sheetName val="[입찰안_xls][입찰안_xls][입찰안_xls]_959"/>
      <sheetName val="[입찰안_xls][입찰안_xls][입찰안_xls]_960"/>
      <sheetName val="[입찰안_xls][입찰안_xls][입찰안_xls]_961"/>
      <sheetName val="[입찰안_xls][입찰안_xls][입찰안_xls]_962"/>
      <sheetName val="[입찰안_xls][입찰안_xls][입찰안_xls]_963"/>
      <sheetName val="[입찰안_xls][입찰안_xls][입찰안_xls]_964"/>
      <sheetName val="[입찰안_xls][입찰안_xls][입찰안_xls]_965"/>
      <sheetName val="[입찰안_xls][입찰안_xls][입찰안_xls]_966"/>
      <sheetName val="[입찰안_xls][입찰안_xls][입찰안_xls]_967"/>
      <sheetName val="[입찰안_xls][입찰안_xls][입찰안_xls]_968"/>
      <sheetName val="[입찰안_xls][입찰안_xls][입찰안_xls]_969"/>
      <sheetName val="[입찰안_xls][입찰안_xls][입찰안_xls]_970"/>
      <sheetName val="[입찰안_xls][입찰안_xls][입찰안_xls]_971"/>
      <sheetName val="[입찰안_xls][입찰안_xls][입찰안_xls]_972"/>
      <sheetName val="[입찰안_xls][입찰안_xls][입찰안_xls]_973"/>
      <sheetName val="[입찰안_xls][입찰안_xls][입찰안_xls]_974"/>
      <sheetName val="[입찰안_xls][입찰안_xls][입찰안_xls]_975"/>
      <sheetName val="[입찰안_xls][입찰안_xls][입찰안_xls]_976"/>
      <sheetName val="[입찰안_xls][입찰안_xls][입찰안_xls]_977"/>
      <sheetName val="_입찰안.xls__입찰안.xls__입찰안.xls_B_30"/>
      <sheetName val="_입찰안.xls__입찰안.xls__입찰안.xls_B_31"/>
      <sheetName val="_입찰안.xls__입찰안.xls__입찰안.xls_B_32"/>
      <sheetName val="_입찰안.xls__입찰안.xls__입찰안.xls_B_47"/>
      <sheetName val="_입찰안.xls__입찰안.xls__입찰안.xls_B_46"/>
      <sheetName val="_입찰안.xls__입찰안.xls__입찰안.xls_B_45"/>
      <sheetName val="_입찰안.xls__입찰안.xls__입찰안.xls_B_33"/>
      <sheetName val="_입찰안.xls__입찰안.xls__입찰안.xls_B_35"/>
      <sheetName val="_입찰안.xls__입찰안.xls__입찰안.xls_B_40"/>
      <sheetName val="_입찰안.xls__입찰안.xls__입찰안.xls_B_34"/>
      <sheetName val="_입찰안.xls__입찰안.xls__입찰안.xls_B_41"/>
      <sheetName val="_입찰안.xls__입찰안.xls__입찰안.xls_B_36"/>
      <sheetName val="_입찰안.xls__입찰안.xls__입찰안.xls_B_37"/>
      <sheetName val="_입찰안.xls__입찰안.xls__입찰안.xls_B_42"/>
      <sheetName val="_입찰안.xls__입찰안.xls__입찰안.xls_B_38"/>
      <sheetName val="_입찰안.xls__입찰안.xls__입찰안.xls_B_39"/>
      <sheetName val="_입찰안.xls__입찰안.xls__입찰안.xls_B_43"/>
      <sheetName val="_입찰안.xls__입찰안.xls__입찰안.xls_B_44"/>
      <sheetName val="_입찰안.xls__입찰안.xls__입찰안.xls_B_48"/>
      <sheetName val="_입찰안_xls__입찰안_xls__입찰안_xls_B__2"/>
      <sheetName val="_입찰안_xls__입찰안_xls__입찰안_xls_B__3"/>
      <sheetName val="_입찰안_xls__입찰안_xls__입찰안_xls_B__1"/>
      <sheetName val="_입찰안_xls__입찰안_xls__입찰안_xls_B__4"/>
      <sheetName val="_입찰안.xls__입찰안.xls__입찰안.xls_B_53"/>
      <sheetName val="_입찰안.xls__입찰안.xls__입찰안.xls_B_49"/>
      <sheetName val="_입찰안.xls__입찰안.xls__입찰안.xls_B_50"/>
      <sheetName val="_입찰안.xls__입찰안.xls__입찰안.xls_B_51"/>
      <sheetName val="_입찰안.xls__입찰안.xls__입찰안.xls_B_52"/>
      <sheetName val="_입찰안.xls__입찰안.xls__입찰안.xls_B_54"/>
      <sheetName val="_입찰안.xls__입찰안.xls__입찰안.xls_B_55"/>
      <sheetName val="_입찰안.xls__입찰안.xls__입찰안.xls_B_57"/>
      <sheetName val="_입찰안.xls__입찰안.xls__입찰안.xls_B_58"/>
      <sheetName val="_입찰안.xls__입찰안.xls__입찰안.xls_B_56"/>
      <sheetName val="_입찰안.xls__입찰안.xls__입찰안.xls_B_64"/>
      <sheetName val="_입찰안.xls__입찰안.xls__입찰안.xls_B_63"/>
      <sheetName val="_입찰안.xls__입찰안.xls__입찰안.xls_B_62"/>
      <sheetName val="_입찰안.xls__입찰안.xls__입찰안.xls_B_61"/>
      <sheetName val="_입찰안.xls__입찰안.xls__입찰안.xls_B_60"/>
      <sheetName val="_입찰안.xls__입찰안.xls__입찰안.xls_B_59"/>
      <sheetName val="_입찰안.xls__입찰안.xls__입찰안.xls_B_67"/>
      <sheetName val="_입찰안.xls__입찰안.xls__입찰안.xls_B_66"/>
      <sheetName val="_입찰안.xls__입찰안.xls__입찰안.xls_B_65"/>
      <sheetName val="_입찰안.xls__입찰안.xls__입찰안.xls_B_68"/>
      <sheetName val="_입찰안.xls__입찰안.xls__입찰안.xls_B_70"/>
      <sheetName val="_입찰안.xls__입찰안.xls__입찰안.xls_B_69"/>
      <sheetName val="_입찰안.xls__입찰안.xls__입찰안.xls_B_71"/>
      <sheetName val="_입찰안.xls__입찰안.xls__입찰안.xls_B_84"/>
      <sheetName val="_입찰안.xls__입찰안.xls__입찰안.xls_B_86"/>
      <sheetName val="_입찰안.xls__입찰안.xls__입찰안.xls_B_85"/>
      <sheetName val="_입찰안.xls__입찰안.xls__입찰안.xls_B_82"/>
      <sheetName val="_입찰안.xls__입찰안.xls__입찰안.xls_B_73"/>
      <sheetName val="_입찰안.xls__입찰안.xls__입찰안.xls_B_72"/>
      <sheetName val="_입찰안.xls__입찰안.xls__입찰안.xls_B_77"/>
      <sheetName val="_입찰안.xls__입찰안.xls__입찰안.xls_B_83"/>
      <sheetName val="_입찰안.xls__입찰안.xls__입찰안.xls_B_74"/>
      <sheetName val="_입찰안.xls__입찰안.xls__입찰안.xls_B_75"/>
      <sheetName val="_입찰안.xls__입찰안.xls__입찰안.xls_B_76"/>
      <sheetName val="_입찰안.xls__입찰안.xls__입찰안.xls_B_79"/>
      <sheetName val="_입찰안.xls__입찰안.xls__입찰안.xls_B_78"/>
      <sheetName val="_입찰안.xls__입찰안.xls__입찰안.xls_B_80"/>
      <sheetName val="_입찰안.xls__입찰안.xls__입찰안.xls_B_81"/>
      <sheetName val="_입찰안.xls__입찰안.xls__입찰안.xls_B_88"/>
      <sheetName val="_입찰안.xls__입찰안.xls__입찰안.xls_B_87"/>
      <sheetName val="_입찰안.xls__입찰안.xls__입찰안.xls_B_95"/>
      <sheetName val="_입찰안.xls__입찰안.xls__입찰안.xls_B_97"/>
      <sheetName val="_입찰안.xls__입찰안.xls__입찰안.xls_B_96"/>
      <sheetName val="_입찰안.xls__입찰안.xls__입찰안.xls_B_89"/>
      <sheetName val="_입찰안.xls__입찰안.xls__입찰안.xls_B_90"/>
      <sheetName val="_입찰안.xls__입찰안.xls__입찰안.xls_B_91"/>
      <sheetName val="_입찰안.xls__입찰안.xls__입찰안.xls_B_93"/>
      <sheetName val="_입찰안.xls__입찰안.xls__입찰안.xls_B_92"/>
      <sheetName val="_입찰안.xls__입찰안.xls__입찰안.xls_B_94"/>
      <sheetName val="_입찰안.xls__입찰안.xls__입찰안.xls_B_99"/>
      <sheetName val="_입찰안.xls__입찰안.xls__입찰안.xls__102"/>
      <sheetName val="_입찰안.xls__입찰안.xls__입찰안.xls__101"/>
      <sheetName val="_입찰안.xls__입찰안.xls__입찰안.xls_B_98"/>
      <sheetName val="_입찰안.xls__입찰안.xls__입찰안.xls__103"/>
      <sheetName val="_입찰안.xls__입찰안.xls__입찰안.xls__100"/>
      <sheetName val="_입찰안.xls__입찰안.xls__입찰안.xls__104"/>
      <sheetName val="_입찰안.xls__입찰안.xls__입찰안.xls__105"/>
      <sheetName val="_입찰안.xls__입찰안.xls__입찰안.xls__107"/>
      <sheetName val="_입찰안.xls__입찰안.xls__입찰안.xls__106"/>
      <sheetName val="_입찰안.xls__입찰안.xls__입찰안.xls__108"/>
      <sheetName val="_입찰안.xls__입찰안.xls__입찰안.xls__112"/>
      <sheetName val="_입찰안.xls__입찰안.xls__입찰안.xls__110"/>
      <sheetName val="_입찰안.xls__입찰안.xls__입찰안.xls__109"/>
      <sheetName val="_입찰안.xls__입찰안.xls__입찰안.xls__111"/>
      <sheetName val="품셈표"/>
      <sheetName val="제잡비계산"/>
      <sheetName val="Sens&amp;Anal"/>
      <sheetName val="1.일위"/>
      <sheetName val="명단"/>
      <sheetName val="제조 경영"/>
      <sheetName val="3련_BÇ_x0000_"/>
      <sheetName val="08하"/>
      <sheetName val="_입찰안_xls__입찰안_xls__입찰안_xls_B__6"/>
      <sheetName val="_입찰안_xls__입찰안_xls__입찰안_xls_B__5"/>
      <sheetName val="_입찰안_xls__입찰안_xls__입찰안_xls_B_11"/>
      <sheetName val="_입찰안_xls__입찰안_xls__입찰안_xls_B__7"/>
      <sheetName val="_입찰안_xls__입찰안_xls__입찰안_xls_B__8"/>
      <sheetName val="_입찰안_xls__입찰안_xls__입찰안_xls_B__9"/>
      <sheetName val="_입찰안_xls__입찰안_xls__입찰안_xls_B_10"/>
      <sheetName val="_입찰안_xls__입찰안_xls__입찰안_xls_B_13"/>
      <sheetName val="_입찰안_xls__입찰안_xls__입찰안_xls_B_12"/>
      <sheetName val="_입찰안_xls__입찰안_xls__입찰안_xls_B_14"/>
      <sheetName val="_입찰안_xls__입찰안_xls__입찰안_xls_B_15"/>
      <sheetName val="_입찰안_xls__입찰안_xls__입찰안_xls_B_16"/>
      <sheetName val="_입찰안_xls__입찰안_xls__입찰안_xls_B_17"/>
      <sheetName val="_입찰안_xls__입찰안_xls__입찰안_xls_B_23"/>
      <sheetName val="_입찰안_xls__입찰안_xls__입찰안_xls_B_18"/>
      <sheetName val="_입찰안_xls__입찰안_xls__입찰안_xls_B_19"/>
      <sheetName val="_입찰안_xls__입찰안_xls__입찰안_xls_B_20"/>
      <sheetName val="_입찰안_xls__입찰안_xls__입찰안_xls_B_21"/>
      <sheetName val="_입찰안_xls__입찰안_xls__입찰안_xls_B_22"/>
      <sheetName val="_입찰안_xls__입찰안_xls__입찰안_xls_B_25"/>
      <sheetName val="_입찰안_xls__입찰안_xls__입찰안_xls_B_24"/>
      <sheetName val="_입찰안_xls__입찰안_xls__입찰안_xls_B_26"/>
      <sheetName val="_입찰안_xls__입찰안_xls__입찰안_xls_B_27"/>
      <sheetName val="_입찰안_xls__입찰안_xls__입찰안_xls_B_29"/>
      <sheetName val="_입찰안_xls__입찰안_xls__입찰안_xls_B_28"/>
      <sheetName val="1공구원가계산서"/>
      <sheetName val="환율c­_x0000_Ԁ_x0000_쀀"/>
      <sheetName val="[입찰안.xls][입찰안.xls]_입___xls_1000"/>
      <sheetName val="참고2.조달내역"/>
      <sheetName val="working_load_¾_x0000_Ԁ_x0000_䀀ꄲ_x0007__x0000__x0000__x0000_Ā_x0000_ऀ_x0008_"/>
      <sheetName val="working_load_¾_x0000_Ԁ_x0000__x0000_툇_x000f__x0000__x0000__x0000_Ā_x0000_ऀ_x0008_"/>
      <sheetName val="working_load_¾_x0000_Ԁ_x0000_䀀붚_x000f__x0000__x0000__x0000_Ā_x0000_ऀ_x0008_"/>
      <sheetName val="working_load_¾_x0000_Ԁ_x0000__x0000_㾃_x000b__x0000__x0000__x0000_Ā_x0000_ऀ_x0008_"/>
      <sheetName val="working_load_¾_x0000_Ԁ_x0000_쀀毾_x0009__x0000__x0000__x0000_Ā_x0000_ऀ_x0008_"/>
      <sheetName val="working_load_¾_x0000_Ԁ_x0000__x0000_덯_x000e__x0000__x0000__x0000_Ā_x0000_ऀ_x0008_"/>
      <sheetName val="working_load_¾_x0000_Ԁ_x0000_쀀毾 _x0000__x0000__x0000_Ā_x0000_ऀ_x0008_"/>
      <sheetName val="working_load__x0000__x0000_Ԁ_x0000_쀀哦깠_x0001__x0000__x0000_Ā_x0000_倀"/>
      <sheetName val="working_load__x0000__x0000_Ԁ_x0000_退秚㎆_x0002__x0000__x0000_Ā_x0000_က鼪"/>
      <sheetName val="working_load__x0000__x0000_Ԁ_x0000_瀀즫㎒_x0002__x0000__x0000_Ā_x0000_က鼪"/>
      <sheetName val="working_load__x0000__x0000_Ԁ_x0000_က晻㎆_x0002__x0000__x0000_Ā_x0000_က鼪"/>
      <sheetName val="working_load__x0000__x0000_Ԁ_x0000_ 탮㎒_x0002__x0000__x0000_Ā_x0000_က鼪"/>
      <sheetName val="working_load__x0000__x0000_Ԁ_x0000_᠉㎘_x0002__x0000__x0000_Ā_x0000_က鼪"/>
      <sheetName val="working_load__x0000__x0000_Ԁ_x0000_ᕅ㎏_x0002__x0000__x0000_Ā_x0000_က鼪"/>
      <sheetName val="working_load__x0000__x0000_Ԁ_x0000_뀀㪫쏩_x0002__x0000__x0000_Ā_x0000_退렱"/>
      <sheetName val="[입찰안.xls][입찰안.xls]_입찰안_xls_1000"/>
      <sheetName val="[입찰안.xls][입찰안.xls]__찰안_xls_1000"/>
      <sheetName val="재공품(3)"/>
      <sheetName val="표준원가표(2)"/>
      <sheetName val="관현간선입력"/>
      <sheetName val="design_critఀ_x0002_땚"/>
      <sheetName val="패널"/>
      <sheetName val="기안문"/>
      <sheetName val="E䣉᜵᠀"/>
      <sheetName val="작업일보"/>
      <sheetName val="equip"/>
      <sheetName val="주안3차A-A"/>
      <sheetName val="[입찰안.xls][입찰안.xls]_____xls_1473"/>
      <sheetName val="[입찰안.xls][입찰안.xls]_____xls_1474"/>
      <sheetName val="[입찰안.xls][입찰안.xls]_____xls_1478"/>
      <sheetName val="[입찰안.xls][입찰안.xls]_____xls_1475"/>
      <sheetName val="[입찰안.xls][입찰안.xls]_____xls_1476"/>
      <sheetName val="[입찰안.xls][입찰안.xls]_____xls_1477"/>
      <sheetName val="[입찰안.xls][입찰안.xls]_____xls_1479"/>
      <sheetName val="Div10"/>
      <sheetName val="Div13"/>
      <sheetName val="Div4"/>
      <sheetName val="Div5"/>
      <sheetName val="Div6"/>
      <sheetName val="Div7"/>
      <sheetName val="Div9"/>
      <sheetName val="Earthwork"/>
      <sheetName val="Đơn giá theo m2"/>
      <sheetName val="plan&amp;section_of勉_x0010__x0000__x0000__x0000__x0000__x0000__x0001_Ԁ_x0000_�"/>
      <sheetName val="노원열병합__"/>
      <sheetName val="덕"/>
      <sheetName val="수량산출서집²"/>
      <sheetName val="장비단"/>
      <sheetName val="[입찰안.xls][입찰안.xls]_입찰__xls_1000"/>
      <sheetName val="97_사업추정(їEKI)"/>
      <sheetName val="Bill No.1.6"/>
      <sheetName val="Bill No.1.10"/>
      <sheetName val="Bill No.3.3"/>
      <sheetName val="Bill No.1.4"/>
      <sheetName val="Bill No.1.7"/>
      <sheetName val="Summary Bill No. 3"/>
      <sheetName val="COA-17"/>
      <sheetName val="C-18"/>
      <sheetName val="VTP tham khảo"/>
      <sheetName val="Bang THKP-DMDT"/>
      <sheetName val="[입찰안.xls][입찰안.xls]_____xls_2233"/>
      <sheetName val="[입찰안.xls][입찰안.xls]_____xls_2234"/>
      <sheetName val="[입찰안.xls][입찰안.xls]_____xls_2225"/>
      <sheetName val="[입찰안.xls][입찰안.xls]_____xls_2229"/>
      <sheetName val="[입찰안.xls][입찰안.xls]_____xls_2228"/>
      <sheetName val="[입찰안.xls][입찰안.xls]_____xls_2214"/>
      <sheetName val="[입찰안.xls][입찰안.xls]_____xls_2213"/>
      <sheetName val="[입찰안.xls][입찰안.xls]_____xls_2198"/>
      <sheetName val="[입찰안.xls][입찰안.xls]_____xls_2197"/>
      <sheetName val="[입찰안.xls][입찰안.xls]_____xls_2196"/>
      <sheetName val="[입찰안.xls][입찰안.xls]_____xls_2154"/>
      <sheetName val="pile_bearing_capa_&amp;_¬_x0000_Ԁ_x0000_　촖蹻"/>
      <sheetName val="pile_bearing_capa_&amp;_¬_x0000_Ԁ_x0000_瀀濓蹮"/>
      <sheetName val="pile_bearing_capa_&amp;_¬_x0000_Ԁ_x0000_팉蹨"/>
      <sheetName val="pile_bearing_capa_&amp;_¬_x0000_Ԁ_x0000_瀀竒蹩"/>
      <sheetName val="pile_bearing_capa_&amp;_¬_x0000_Ԁ_x0000_뀀蹭"/>
      <sheetName val="pile_bearing_capa_&amp;_¬_x0000_Ԁ_x0000_℘撦"/>
      <sheetName val="[입찰안.xls][입찰안.xls]_____xls_2145"/>
      <sheetName val="[입찰안.xls][입찰안.xls]_____xls_2146"/>
      <sheetName val="[입찰안.xls][입찰안.xls]_____xls_1972"/>
      <sheetName val="[입찰안.xls][입찰안.xls]_____xls_1995"/>
      <sheetName val="[입찰안.xls][입찰안.xls]_____xls_1994"/>
      <sheetName val="[입찰안.xls][입찰안.xls]_____xls_1483"/>
      <sheetName val="[입찰안.xls][입찰안.xls]_____xls_1482"/>
      <sheetName val="[입찰안.xls][입찰안.xls]_____xls_1480"/>
      <sheetName val="[입찰안.xls][입찰안.xls]_____xls_1481"/>
      <sheetName val="[입찰안.xls][입찰안.xls]_____xls_1484"/>
      <sheetName val="[입찰안.xls][입찰안.xls]_____xls_1485"/>
      <sheetName val="[입찰안.xls][입찰안.xls]_____xls_1497"/>
      <sheetName val="[입찰안.xls][입찰안.xls]_____xls_1489"/>
      <sheetName val="[입찰안.xls][입찰안.xls]_____xls_1488"/>
      <sheetName val="[입찰안.xls][입찰안.xls]_____xls_1486"/>
      <sheetName val="[입찰안.xls][입찰안.xls]_____xls_1487"/>
      <sheetName val="[입찰안.xls][입찰안.xls]_____xls_1501"/>
      <sheetName val="[입찰안.xls][입찰안.xls]_____xls_1490"/>
      <sheetName val="[입찰안.xls][입찰안.xls]_____xls_1491"/>
      <sheetName val="[입찰안.xls][입찰안.xls]_____xls_1492"/>
      <sheetName val="[입찰안.xls][입찰안.xls]_____xls_1493"/>
      <sheetName val="[입찰안.xls][입찰안.xls]_____xls_1494"/>
      <sheetName val="[입찰안.xls][입찰안.xls]_____xls_1495"/>
      <sheetName val="[입찰안.xls][입찰안.xls]_____xls_1496"/>
      <sheetName val="[입찰안.xls][입찰안.xls]_____xls_1498"/>
      <sheetName val="[입찰안.xls][입찰안.xls]_____xls_1500"/>
      <sheetName val="[입찰안.xls][입찰안.xls]_____xls_1499"/>
      <sheetName val="[입찰안.xls][입찰안.xls]_____xls_1505"/>
      <sheetName val="[입찰안.xls][입찰안.xls]_____xls_1507"/>
      <sheetName val="[입찰안.xls][입찰안.xls]_____xls_1502"/>
      <sheetName val="[입찰안.xls][입찰안.xls]_____xls_1503"/>
      <sheetName val="[입찰안.xls][입찰안.xls]_____xls_1504"/>
      <sheetName val="[입찰안.xls][입찰안.xls]_____xls_1518"/>
      <sheetName val="[입찰안.xls][입찰안.xls]_____xls_1506"/>
      <sheetName val="[입찰안.xls][입찰안.xls]_____xls_1530"/>
      <sheetName val="[입찰안.xls][입찰안.xls]_____xls_1508"/>
      <sheetName val="[입찰안.xls][입찰안.xls]_____xls_1509"/>
      <sheetName val="[입찰안.xls][입찰안.xls]_____xls_1510"/>
      <sheetName val="[입찰안.xls][입찰안.xls]_____xls_1511"/>
      <sheetName val="[입찰안.xls][입찰안.xls]_____xls_1513"/>
      <sheetName val="[입찰안.xls][입찰안.xls]_____xls_1512"/>
      <sheetName val="[입찰안.xls][입찰안.xls]_____xls_1514"/>
      <sheetName val="[입찰안.xls][입찰안.xls]_____xls_1515"/>
      <sheetName val="[입찰안.xls][입찰안.xls]_____xls_1517"/>
      <sheetName val="[입찰안.xls][입찰안.xls]_____xls_1516"/>
      <sheetName val="[입찰안.xls][입찰안.xls]_____xls_1526"/>
      <sheetName val="[입찰안.xls][입찰안.xls]_____xls_1519"/>
      <sheetName val="[입찰안.xls][입찰안.xls]_____xls_1520"/>
      <sheetName val="[입찰안.xls][입찰안.xls]_____xls_1522"/>
      <sheetName val="[입찰안.xls][입찰안.xls]_____xls_1521"/>
      <sheetName val="[입찰안.xls][입찰안.xls]_____xls_1523"/>
      <sheetName val="[입찰안.xls][입찰안.xls]_____xls_1525"/>
      <sheetName val="[입찰안.xls][입찰안.xls]_____xls_1524"/>
      <sheetName val="[입찰안.xls][입찰안.xls]_____xls_1527"/>
      <sheetName val="[입찰안.xls][입찰안.xls]_____xls_1543"/>
      <sheetName val="[입찰안.xls][입찰안.xls]_____xls_1528"/>
      <sheetName val="[입찰안.xls][입찰안.xls]_____xls_1529"/>
      <sheetName val="[입찰안.xls][입찰안.xls]_____xls_1535"/>
      <sheetName val="[입찰안.xls][입찰안.xls]_____xls_1531"/>
      <sheetName val="[입찰안.xls][입찰안.xls]_____xls_1532"/>
      <sheetName val="[입찰안.xls][입찰안.xls]_____xls_1534"/>
      <sheetName val="[입찰안.xls][입찰안.xls]_____xls_1533"/>
      <sheetName val="[입찰안.xls][입찰안.xls]_____xls_1536"/>
      <sheetName val="[입찰안.xls][입찰안.xls]_____xls_1538"/>
      <sheetName val="[입찰안.xls][입찰안.xls]_____xls_1537"/>
      <sheetName val="[입찰안.xls][입찰안.xls]_____xls_1539"/>
      <sheetName val="[입찰안.xls][입찰안.xls]_____xls_1540"/>
      <sheetName val="[입찰안.xls][입찰안.xls]_____xls_1541"/>
      <sheetName val="[입찰안.xls][입찰안.xls]_____xls_1542"/>
      <sheetName val="[입찰안.xls][입찰안.xls]_____xls_1544"/>
      <sheetName val="[입찰안.xls][입찰안.xls]_____xls_1547"/>
      <sheetName val="[입찰안.xls][입찰안.xls]_____xls_1545"/>
      <sheetName val="[입찰안.xls][입찰안.xls]_____xls_1546"/>
      <sheetName val="[입찰안.xls][입찰안.xls]_____xls_1552"/>
      <sheetName val="[입찰안.xls][입찰안.xls]_____xls_1548"/>
      <sheetName val="[입찰안.xls][입찰안.xls]_____xls_1549"/>
      <sheetName val="[입찰안.xls][입찰안.xls]_____xls_1560"/>
      <sheetName val="[입찰안.xls][입찰안.xls]_____xls_1550"/>
      <sheetName val="[입찰안.xls][입찰안.xls]_____xls_1551"/>
      <sheetName val="[입찰안.xls][입찰안.xls]_____xls_1572"/>
      <sheetName val="[입찰안.xls][입찰안.xls]_____xls_1553"/>
      <sheetName val="[입찰안.xls][입찰안.xls]_____xls_1558"/>
      <sheetName val="[입찰안.xls][입찰안.xls]_____xls_1554"/>
      <sheetName val="[입찰안.xls][입찰안.xls]_____xls_1556"/>
      <sheetName val="[입찰안.xls][입찰안.xls]_____xls_1555"/>
      <sheetName val="[입찰안.xls][입찰안.xls]_____xls_1557"/>
      <sheetName val="[입찰안.xls][입찰안.xls]_____xls_1559"/>
      <sheetName val="[입찰안.xls][입찰안.xls]_____xls_1561"/>
      <sheetName val="[입찰안.xls][입찰안.xls]_____xls_1563"/>
      <sheetName val="[입찰안.xls][입찰안.xls]_____xls_1562"/>
      <sheetName val="[입찰안.xls][입찰안.xls]_____xls_1581"/>
      <sheetName val="[입찰안.xls][입찰안.xls]_____xls_1564"/>
      <sheetName val="[입찰안.xls][입찰안.xls]_____xls_1566"/>
      <sheetName val="[입찰안.xls][입찰안.xls]_____xls_1565"/>
      <sheetName val="[입찰안.xls][입찰안.xls]_____xls_1568"/>
      <sheetName val="[입찰안.xls][입찰안.xls]_____xls_1567"/>
      <sheetName val="[입찰안.xls][입찰안.xls]_____xls_1569"/>
      <sheetName val="[입찰안.xls][입찰안.xls]_____xls_1570"/>
      <sheetName val="[입찰안.xls][입찰안.xls]_____xls_1571"/>
      <sheetName val="[입찰안.xls][입찰안.xls]_____xls_1580"/>
      <sheetName val="[입찰안.xls][입찰안.xls]_____xls_1579"/>
      <sheetName val="[입찰안.xls][입찰안.xls]_____xls_1574"/>
      <sheetName val="[입찰안.xls][입찰안.xls]_____xls_1573"/>
      <sheetName val="[입찰안.xls][입찰안.xls]_____xls_1575"/>
      <sheetName val="[입찰안.xls][입찰안.xls]_____xls_1576"/>
      <sheetName val="[입찰안.xls][입찰안.xls]_____xls_1577"/>
      <sheetName val="[입찰안.xls][입찰안.xls]_____xls_1578"/>
      <sheetName val="[입찰안.xls][입찰안.xls]_____xls_1582"/>
      <sheetName val="[입찰안.xls][입찰안.xls]_____xls_1583"/>
      <sheetName val="[입찰안.xls][입찰안.xls]_____xls_1593"/>
      <sheetName val="[입찰안.xls][입찰안.xls]_____xls_1586"/>
      <sheetName val="[입찰안.xls][입찰안.xls]_____xls_1584"/>
      <sheetName val="[입찰안.xls][입찰안.xls]_____xls_1585"/>
      <sheetName val="[입찰안.xls][입찰안.xls]_____xls_1587"/>
      <sheetName val="[입찰안.xls][입찰안.xls]_____xls_1588"/>
      <sheetName val="[입찰안.xls][입찰안.xls]_____xls_1591"/>
      <sheetName val="[입찰안.xls][입찰안.xls]_____xls_1589"/>
      <sheetName val="[입찰안.xls][입찰안.xls]_____xls_1590"/>
      <sheetName val="[입찰안.xls][입찰안.xls]_____xls_1592"/>
      <sheetName val="[입찰안.xls][입찰안.xls]_____xls_1598"/>
      <sheetName val="[입찰안.xls][입찰안.xls]_____xls_1594"/>
      <sheetName val="[입찰안.xls][입찰안.xls]_____xls_1595"/>
      <sheetName val="[입찰안.xls][입찰안.xls]_____xls_1596"/>
      <sheetName val="[입찰안.xls][입찰안.xls]_____xls_1613"/>
      <sheetName val="[입찰안.xls][입찰안.xls]_____xls_1597"/>
      <sheetName val="[입찰안.xls][입찰안.xls]_____xls_1603"/>
      <sheetName val="[입찰안.xls][입찰안.xls]_____xls_1601"/>
      <sheetName val="[입찰안.xls][입찰안.xls]_____xls_1599"/>
      <sheetName val="[입찰안.xls][입찰안.xls]_____xls_1600"/>
      <sheetName val="[입찰안.xls][입찰안.xls]_____xls_1602"/>
      <sheetName val="[입찰안.xls][입찰안.xls]_____xls_1604"/>
      <sheetName val="[입찰안.xls][입찰안.xls]_____xls_1612"/>
      <sheetName val="[입찰안.xls][입찰안.xls]_____xls_1609"/>
      <sheetName val="[입찰안.xls][입찰안.xls]_____xls_1605"/>
      <sheetName val="[입찰안.xls][입찰안.xls]_____xls_1608"/>
      <sheetName val="[입찰안.xls][입찰안.xls]_____xls_1606"/>
      <sheetName val="[입찰안.xls][입찰안.xls]_____xls_1607"/>
      <sheetName val="[입찰안.xls][입찰안.xls]_____xls_1617"/>
      <sheetName val="[입찰안.xls][입찰안.xls]_____xls_1610"/>
      <sheetName val="[입찰안.xls][입찰안.xls]_____xls_1611"/>
      <sheetName val="[입찰안.xls][입찰안.xls]_____xls_1614"/>
      <sheetName val="[입찰안.xls][입찰안.xls]_____xls_1653"/>
      <sheetName val="[입찰안.xls][입찰안.xls]_____xls_1615"/>
      <sheetName val="[입찰안.xls][입찰안.xls]_____xls_1616"/>
      <sheetName val="[입찰안.xls][입찰안.xls]_____xls_1619"/>
      <sheetName val="[입찰안.xls][입찰안.xls]_____xls_1618"/>
      <sheetName val="[입찰안.xls][입찰안.xls]_____xls_1620"/>
      <sheetName val="[입찰안.xls][입찰안.xls]_____xls_1621"/>
      <sheetName val="[입찰안.xls][입찰안.xls]_____xls_1622"/>
      <sheetName val="[입찰안.xls][입찰안.xls]_____xls_1623"/>
      <sheetName val="[입찰안.xls][입찰안.xls]_____xls_1625"/>
      <sheetName val="[입찰안.xls][입찰안.xls]_____xls_1624"/>
      <sheetName val="[입찰안.xls][입찰안.xls]_____xls_1626"/>
      <sheetName val="[입찰안.xls][입찰안.xls]_____xls_1630"/>
      <sheetName val="[입찰안.xls][입찰안.xls]_____xls_1627"/>
      <sheetName val="[입찰안.xls][입찰안.xls]_____xls_1628"/>
      <sheetName val="[입찰안.xls][입찰안.xls]_____xls_1629"/>
      <sheetName val="[입찰안.xls][입찰안.xls]_____xls_1635"/>
      <sheetName val="[입찰안.xls][입찰안.xls]_____xls_1631"/>
      <sheetName val="[입찰안.xls][입찰안.xls]_____xls_1632"/>
      <sheetName val="[입찰안.xls][입찰안.xls]_____xls_1633"/>
      <sheetName val="[입찰안.xls][입찰안.xls]_____xls_1634"/>
      <sheetName val="[입찰안.xls][입찰안.xls]_____xls_1636"/>
      <sheetName val="[입찰안.xls][입찰안.xls]_____xls_1637"/>
      <sheetName val="[입찰안.xls][입찰안.xls]_____xls_1638"/>
      <sheetName val="[입찰안.xls][입찰안.xls]_____xls_1649"/>
      <sheetName val="[입찰안.xls][입찰안.xls]_____xls_1643"/>
      <sheetName val="[입찰안.xls][입찰안.xls]_____xls_1639"/>
      <sheetName val="[입찰안.xls][입찰안.xls]_____xls_1640"/>
      <sheetName val="[입찰안.xls][입찰안.xls]_____xls_1641"/>
      <sheetName val="[입찰안.xls][입찰안.xls]_____xls_1642"/>
      <sheetName val="[입찰안.xls][입찰안.xls]_____xls_1644"/>
      <sheetName val="[입찰안.xls][입찰안.xls]_____xls_1645"/>
      <sheetName val="[입찰안.xls][입찰안.xls]_____xls_1647"/>
      <sheetName val="[입찰안.xls][입찰안.xls]_____xls_1646"/>
      <sheetName val="[입찰안.xls][입찰안.xls]_____xls_1648"/>
      <sheetName val="[입찰안.xls][입찰안.xls]_____xls_1668"/>
      <sheetName val="[입찰안.xls][입찰안.xls]_____xls_1650"/>
      <sheetName val="[입찰안.xls][입찰안.xls]_____xls_1651"/>
      <sheetName val="[입찰안.xls][입찰안.xls]_____xls_1652"/>
      <sheetName val="[입찰안.xls][입찰안.xls]_____xls_1655"/>
      <sheetName val="[입찰안.xls][입찰안.xls]_____xls_1654"/>
      <sheetName val="[입찰안.xls][입찰안.xls]_____xls_1656"/>
      <sheetName val="[입찰안.xls][입찰안.xls]_____xls_1657"/>
      <sheetName val="[입찰안.xls][입찰안.xls]_____xls_1658"/>
      <sheetName val="[입찰안.xls][입찰안.xls]_____xls_1659"/>
      <sheetName val="[입찰안.xls][입찰안.xls]_____xls_1662"/>
      <sheetName val="[입찰안.xls][입찰안.xls]_____xls_1660"/>
      <sheetName val="[입찰안.xls][입찰안.xls]_____xls_1661"/>
      <sheetName val="[입찰안.xls][입찰안.xls]_____xls_1675"/>
      <sheetName val="[입찰안.xls][입찰안.xls]_____xls_1663"/>
      <sheetName val="[입찰안.xls][입찰안.xls]_____xls_1664"/>
      <sheetName val="[입찰안.xls][입찰안.xls]_____xls_1667"/>
      <sheetName val="[입찰안.xls][입찰안.xls]_____xls_1665"/>
      <sheetName val="[입찰안.xls][입찰안.xls]_____xls_1666"/>
      <sheetName val="[입찰안.xls][입찰안.xls]_____xls_1671"/>
      <sheetName val="[입찰안.xls][입찰안.xls]_____xls_1669"/>
      <sheetName val="[입찰안.xls][입찰안.xls]_____xls_1670"/>
      <sheetName val="[입찰안.xls][입찰안.xls]_____xls_1672"/>
      <sheetName val="[입찰안.xls][입찰안.xls]_____xls_1673"/>
      <sheetName val="[입찰안.xls][입찰안.xls]_____xls_1674"/>
      <sheetName val="[입찰안.xls][입찰안.xls]_____xls_1681"/>
      <sheetName val="[입찰안.xls][입찰안.xls]_____xls_1676"/>
      <sheetName val="[입찰안.xls][입찰안.xls]_____xls_1677"/>
      <sheetName val="[입찰안.xls][입찰안.xls]_____xls_1678"/>
      <sheetName val="[입찰안.xls][입찰안.xls]_____xls_1679"/>
      <sheetName val="[입찰안.xls][입찰안.xls]_____xls_1680"/>
      <sheetName val="[입찰안.xls][입찰안.xls]_____xls_1686"/>
      <sheetName val="[입찰안.xls][입찰안.xls]_____xls_1682"/>
      <sheetName val="[입찰안.xls][입찰안.xls]_____xls_1683"/>
      <sheetName val="[입찰안.xls][입찰안.xls]_____xls_1684"/>
      <sheetName val="[입찰안.xls][입찰안.xls]_____xls_1685"/>
      <sheetName val="[입찰안.xls][입찰안.xls]_____xls_1693"/>
      <sheetName val="[입찰안.xls][입찰안.xls]_____xls_1695"/>
      <sheetName val="[입찰안.xls][입찰안.xls]_____xls_1694"/>
      <sheetName val="[입찰안.xls][입찰안.xls]_____xls_1687"/>
      <sheetName val="[입찰안.xls][입찰안.xls]_____xls_1688"/>
      <sheetName val="[입찰안.xls][입찰안.xls]_____xls_1689"/>
      <sheetName val="[입찰안.xls][입찰안.xls]_____xls_1690"/>
      <sheetName val="[입찰안.xls][입찰안.xls]_____xls_1691"/>
      <sheetName val="[입찰안.xls][입찰안.xls]_____xls_1692"/>
      <sheetName val="[입찰안.xls][입찰안.xls]_____xls_1707"/>
      <sheetName val="[입찰안.xls][입찰안.xls]_____xls_1708"/>
      <sheetName val="[입찰안.xls][입찰안.xls]_____xls_1698"/>
      <sheetName val="[입찰안.xls][입찰안.xls]_____xls_1696"/>
      <sheetName val="[입찰안.xls][입찰안.xls]_____xls_1697"/>
      <sheetName val="[입찰안.xls][입찰안.xls]_____xls_1699"/>
      <sheetName val="[입찰안.xls][입찰안.xls]_____xls_1700"/>
      <sheetName val="[입찰안.xls][입찰안.xls]_____xls_1701"/>
      <sheetName val="[입찰안.xls][입찰안.xls]_____xls_1702"/>
      <sheetName val="[입찰안.xls][입찰안.xls]_____xls_1703"/>
      <sheetName val="[입찰안.xls][입찰안.xls]_____xls_1704"/>
      <sheetName val="[입찰안.xls][입찰안.xls]_____xls_1705"/>
      <sheetName val="[입찰안.xls][입찰안.xls]_____xls_1706"/>
      <sheetName val="[입찰안.xls][입찰안.xls]_____xls_1739"/>
      <sheetName val="[입찰안.xls][입찰안.xls]_____xls_1733"/>
      <sheetName val="[입찰안.xls][입찰안.xls]_____xls_1730"/>
      <sheetName val="[입찰안.xls][입찰안.xls]_____xls_1715"/>
      <sheetName val="[입찰안.xls][입찰안.xls]_____xls_1709"/>
      <sheetName val="[입찰안.xls][입찰안.xls]_____xls_1710"/>
      <sheetName val="[입찰안.xls][입찰안.xls]_____xls_1711"/>
      <sheetName val="[입찰안.xls][입찰안.xls]_____xls_1713"/>
      <sheetName val="[입찰안.xls][입찰안.xls]_____xls_1712"/>
      <sheetName val="[입찰안.xls][입찰안.xls]_____xls_1714"/>
      <sheetName val="[입찰안.xls][입찰안.xls]_____xls_1723"/>
      <sheetName val="[입찰안.xls][입찰안.xls]_____xls_1719"/>
      <sheetName val="[입찰안.xls][입찰안.xls]_____xls_1718"/>
      <sheetName val="[입찰안.xls][입찰안.xls]_____xls_1716"/>
      <sheetName val="[입찰안.xls][입찰안.xls]_____xls_1717"/>
      <sheetName val="[입찰안.xls][입찰안.xls]_____xls_1720"/>
      <sheetName val="[입찰안.xls][입찰안.xls]_____xls_1721"/>
      <sheetName val="[입찰안.xls][입찰안.xls]_____xls_1722"/>
      <sheetName val="[입찰안.xls][입찰안.xls]_____xls_1725"/>
      <sheetName val="[입찰안.xls][입찰안.xls]_____xls_1724"/>
      <sheetName val="[입찰안.xls][입찰안.xls]_____xls_1729"/>
      <sheetName val="[입찰안.xls][입찰안.xls]_____xls_1726"/>
      <sheetName val="[입찰안.xls][입찰안.xls]_____xls_1727"/>
      <sheetName val="[입찰안.xls][입찰안.xls]_____xls_1728"/>
      <sheetName val="[입찰안.xls][입찰안.xls]_____xls_1731"/>
      <sheetName val="[입찰안.xls][입찰안.xls]_____xls_1732"/>
      <sheetName val="[입찰안.xls][입찰안.xls]_____xls_1734"/>
      <sheetName val="[입찰안.xls][입찰안.xls]_____xls_1736"/>
      <sheetName val="[입찰안.xls][입찰안.xls]_____xls_1735"/>
      <sheetName val="[입찰안.xls][입찰안.xls]_____xls_1737"/>
      <sheetName val="[입찰안.xls][입찰안.xls]_____xls_1738"/>
      <sheetName val="[입찰안.xls][입찰안.xls]_____xls_1787"/>
      <sheetName val="[입찰안.xls][입찰안.xls]_____xls_1740"/>
      <sheetName val="[입찰안.xls][입찰안.xls]_____xls_1746"/>
      <sheetName val="[입찰안.xls][입찰안.xls]_____xls_1741"/>
      <sheetName val="[입찰안.xls][입찰안.xls]_____xls_1742"/>
      <sheetName val="[입찰안.xls][입찰안.xls]_____xls_1745"/>
      <sheetName val="[입찰안.xls][입찰안.xls]_____xls_1743"/>
      <sheetName val="[입찰안.xls][입찰안.xls]_____xls_1744"/>
      <sheetName val="[입찰안.xls][입찰안.xls]_____xls_1750"/>
      <sheetName val="[입찰안.xls][입찰안.xls]_____xls_1747"/>
      <sheetName val="[입찰안.xls][입찰안.xls]_____xls_1758"/>
      <sheetName val="[입찰안.xls][입찰안.xls]_____xls_1748"/>
      <sheetName val="[입찰안.xls][입찰안.xls]_____xls_1749"/>
      <sheetName val="[입찰안.xls][입찰안.xls]_____xls_1751"/>
      <sheetName val="[입찰안.xls][입찰안.xls]_____xls_1752"/>
      <sheetName val="[입찰안.xls][입찰안.xls]_____xls_1753"/>
      <sheetName val="[입찰안.xls][입찰안.xls]_____xls_1754"/>
      <sheetName val="[입찰안.xls][입찰안.xls]_____xls_1755"/>
      <sheetName val="[입찰안.xls][입찰안.xls]_____xls_1756"/>
      <sheetName val="[입찰안.xls][입찰안.xls]_____xls_1757"/>
      <sheetName val="[입찰안.xls][입찰안.xls]_____xls_1761"/>
      <sheetName val="[입찰안.xls][입찰안.xls]_____xls_1759"/>
      <sheetName val="[입찰안.xls][입찰안.xls]_____xls_1768"/>
      <sheetName val="[입찰안.xls][입찰안.xls]_____xls_1760"/>
      <sheetName val="[입찰안.xls][입찰안.xls]_____xls_1762"/>
      <sheetName val="[입찰안.xls][입찰안.xls]_____xls_1763"/>
      <sheetName val="[입찰안.xls][입찰안.xls]_____xls_1764"/>
      <sheetName val="[입찰안.xls][입찰안.xls]_____xls_1769"/>
      <sheetName val="[입찰안.xls][입찰안.xls]_____xls_1765"/>
      <sheetName val="[입찰안.xls][입찰안.xls]_____xls_1766"/>
      <sheetName val="[입찰안.xls][입찰안.xls]_____xls_1767"/>
      <sheetName val="[입찰안.xls][입찰안.xls]_____xls_1770"/>
      <sheetName val="[입찰안.xls][입찰안.xls]_____xls_1772"/>
      <sheetName val="[입찰안.xls][입찰안.xls]_____xls_1774"/>
      <sheetName val="[입찰안.xls][입찰안.xls]_____xls_1771"/>
      <sheetName val="[입찰안.xls][입찰안.xls]_____xls_1773"/>
      <sheetName val="[입찰안.xls][입찰안.xls]_____xls_1775"/>
      <sheetName val="[입찰안.xls][입찰안.xls]_____xls_1776"/>
      <sheetName val="[입찰안.xls][입찰안.xls]_____xls_1827"/>
      <sheetName val="[입찰안.xls][입찰안.xls]_____xls_1777"/>
      <sheetName val="[입찰안.xls][입찰안.xls]_____xls_1778"/>
      <sheetName val="[입찰안.xls][입찰안.xls]_____xls_1828"/>
      <sheetName val="[입찰안.xls][입찰안.xls]_____xls_1779"/>
      <sheetName val="[입찰안.xls][입찰안.xls]_____xls_1780"/>
      <sheetName val="[입찰안.xls][입찰안.xls]_____xls_1781"/>
      <sheetName val="[입찰안.xls][입찰안.xls]_____xls_1782"/>
      <sheetName val="[입찰안.xls][입찰안.xls]_____xls_1783"/>
      <sheetName val="[입찰안.xls][입찰안.xls]_____xls_1784"/>
      <sheetName val="[입찰안.xls][입찰안.xls]_____xls_1785"/>
      <sheetName val="[입찰안.xls][입찰안.xls]_____xls_1786"/>
      <sheetName val="[입찰안.xls][입찰안.xls]_____xls_1788"/>
      <sheetName val="[입찰안.xls][입찰안.xls]_____xls_1793"/>
      <sheetName val="[입찰안.xls][입찰안.xls]_____xls_1801"/>
      <sheetName val="[입찰안.xls][입찰안.xls]_____xls_1789"/>
      <sheetName val="[입찰안.xls][입찰안.xls]_____xls_1790"/>
      <sheetName val="[입찰안.xls][입찰안.xls]_____xls_1791"/>
      <sheetName val="[입찰안.xls][입찰안.xls]_____xls_1792"/>
      <sheetName val="[입찰안.xls][입찰안.xls]_____xls_1794"/>
      <sheetName val="[입찰안.xls][입찰안.xls]_____xls_1802"/>
      <sheetName val="[입찰안.xls][입찰안.xls]_____xls_1795"/>
      <sheetName val="[입찰안.xls][입찰안.xls]_____xls_1796"/>
      <sheetName val="[입찰안.xls][입찰안.xls]_____xls_1797"/>
      <sheetName val="[입찰안.xls][입찰안.xls]_____xls_1798"/>
      <sheetName val="[입찰안.xls][입찰안.xls]_____xls_1799"/>
      <sheetName val="[입찰안.xls][입찰안.xls]_____xls_1800"/>
      <sheetName val="[입찰안.xls][입찰안.xls]_____xls_1815"/>
      <sheetName val="[입찰안.xls][입찰안.xls]_____xls_1803"/>
      <sheetName val="[입찰안.xls][입찰안.xls]_____xls_1804"/>
      <sheetName val="[입찰안.xls][입찰안.xls]_____xls_1805"/>
      <sheetName val="[입찰안.xls][입찰안.xls]_____xls_1806"/>
      <sheetName val="[입찰안.xls][입찰안.xls]_____xls_1807"/>
      <sheetName val="[입찰안.xls][입찰안.xls]_____xls_1811"/>
      <sheetName val="[입찰안.xls][입찰안.xls]_____xls_1808"/>
      <sheetName val="[입찰안.xls][입찰안.xls]_____xls_1809"/>
      <sheetName val="[입찰안.xls][입찰안.xls]_____xls_1810"/>
      <sheetName val="[입찰안.xls][입찰안.xls]_____xls_1813"/>
      <sheetName val="[입찰안.xls][입찰안.xls]_____xls_1812"/>
      <sheetName val="[입찰안.xls][입찰안.xls]_____xls_1814"/>
      <sheetName val="[입찰안.xls][입찰안.xls]_____xls_1816"/>
      <sheetName val="[입찰안.xls][입찰안.xls]_____xls_1819"/>
      <sheetName val="[입찰안.xls][입찰안.xls]_____xls_1817"/>
      <sheetName val="[입찰안.xls][입찰안.xls]_____xls_1818"/>
      <sheetName val="[입찰안.xls][입찰안.xls]_____xls_1820"/>
      <sheetName val="[입찰안.xls][입찰안.xls]_____xls_1824"/>
      <sheetName val="[입찰안.xls][입찰안.xls]_____xls_1821"/>
      <sheetName val="[입찰안.xls][입찰안.xls]_____xls_1822"/>
      <sheetName val="[입찰안.xls][입찰안.xls]_____xls_1823"/>
      <sheetName val="[입찰안.xls][입찰안.xls]_____xls_1825"/>
      <sheetName val="[입찰안.xls][입찰안.xls]_____xls_1826"/>
      <sheetName val="[입찰안.xls][입찰안.xls]_____xls_1842"/>
      <sheetName val="[입찰안.xls][입찰안.xls]_____xls_1855"/>
      <sheetName val="[입찰안.xls][입찰안.xls]_____xls_1844"/>
      <sheetName val="[입찰안.xls][입찰안.xls]_____xls_1830"/>
      <sheetName val="[입찰안.xls][입찰안.xls]_____xls_1829"/>
      <sheetName val="[입찰안.xls][입찰안.xls]_____xls_1833"/>
      <sheetName val="[입찰안.xls][입찰안.xls]_____xls_1831"/>
      <sheetName val="[입찰안.xls][입찰안.xls]_____xls_1832"/>
      <sheetName val="[입찰안.xls][입찰안.xls]_____xls_1835"/>
      <sheetName val="[입찰안.xls][입찰안.xls]_____xls_1834"/>
      <sheetName val="[입찰안.xls][입찰안.xls]_____xls_1837"/>
      <sheetName val="[입찰안.xls][입찰안.xls]_____xls_1836"/>
      <sheetName val="[입찰안.xls][입찰안.xls]_____xls_1838"/>
      <sheetName val="[입찰안.xls][입찰안.xls]_____xls_1839"/>
      <sheetName val="[입찰안.xls][입찰안.xls]_____xls_1840"/>
      <sheetName val="[입찰안.xls][입찰안.xls]_____xls_1841"/>
      <sheetName val="[입찰안.xls][입찰안.xls]_____xls_1843"/>
      <sheetName val="[입찰안.xls][입찰안.xls]_____xls_1857"/>
      <sheetName val="[입찰안.xls][입찰안.xls]_____xls_1899"/>
      <sheetName val="[입찰안.xls][입찰안.xls]_____xls_1845"/>
      <sheetName val="[입찰안.xls][입찰안.xls]_____xls_1846"/>
      <sheetName val="[입찰안.xls][입찰안.xls]_____xls_1847"/>
      <sheetName val="[입찰안.xls][입찰안.xls]_____xls_1848"/>
      <sheetName val="[입찰안.xls][입찰안.xls]_____xls_1849"/>
      <sheetName val="[입찰안.xls][입찰안.xls]_____xls_1850"/>
      <sheetName val="[입찰안.xls][입찰안.xls]_____xls_1851"/>
      <sheetName val="[입찰안.xls][입찰안.xls]_____xls_1852"/>
      <sheetName val="[입찰안.xls][입찰안.xls]_____xls_1853"/>
      <sheetName val="[입찰안.xls][입찰안.xls]_____xls_1854"/>
      <sheetName val="[입찰안.xls][입찰안.xls]_____xls_1856"/>
      <sheetName val="[입찰안.xls][입찰안.xls]_____xls_1861"/>
      <sheetName val="[입찰안.xls][입찰안.xls]_____xls_1860"/>
      <sheetName val="[입찰안.xls][입찰안.xls]_____xls_1859"/>
      <sheetName val="[입찰안.xls][입찰안.xls]_____xls_1858"/>
      <sheetName val="[입찰안.xls][입찰안.xls]_____xls_1909"/>
      <sheetName val="[입찰안.xls][입찰안.xls]_____xls_1862"/>
      <sheetName val="[입찰안.xls][입찰안.xls]_____xls_1863"/>
      <sheetName val="[입찰안.xls][입찰안.xls]_____xls_1864"/>
      <sheetName val="[입찰안.xls][입찰안.xls]_____xls_1865"/>
      <sheetName val="[입찰안.xls][입찰안.xls]_____xls_1866"/>
      <sheetName val="[입찰안.xls][입찰안.xls]_____xls_1867"/>
      <sheetName val="[입찰안.xls][입찰안.xls]_____xls_1868"/>
      <sheetName val="[입찰안.xls][입찰안.xls]_____xls_1869"/>
      <sheetName val="[입찰안.xls][입찰안.xls]_____xls_1870"/>
      <sheetName val="[입찰안.xls][입찰안.xls]_____xls_1871"/>
      <sheetName val="[입찰안.xls][입찰안.xls]_____xls_1872"/>
      <sheetName val="[입찰안.xls][입찰안.xls]_____xls_1874"/>
      <sheetName val="[입찰안.xls][입찰안.xls]_____xls_1873"/>
      <sheetName val="[입찰안.xls][입찰안.xls]_____xls_1875"/>
      <sheetName val="[입찰안.xls][입찰안.xls]_____xls_1877"/>
      <sheetName val="[입찰안.xls][입찰안.xls]_____xls_1876"/>
      <sheetName val="[입찰안.xls][입찰안.xls]_____xls_1878"/>
      <sheetName val="[입찰안.xls][입찰안.xls]_____xls_1879"/>
      <sheetName val="[입찰안.xls][입찰안.xls]_____xls_1880"/>
      <sheetName val="[입찰안.xls][입찰안.xls]_____xls_1881"/>
      <sheetName val="[입찰안.xls][입찰안.xls]_____xls_1882"/>
      <sheetName val="[입찰안.xls][입찰안.xls]_____xls_1891"/>
      <sheetName val="[입찰안.xls][입찰안.xls]_____xls_1883"/>
      <sheetName val="[입찰안.xls][입찰안.xls]_____xls_1884"/>
      <sheetName val="[입찰안.xls][입찰안.xls]_____xls_1885"/>
      <sheetName val="[입찰안.xls][입찰안.xls]_____xls_1886"/>
      <sheetName val="[입찰안.xls][입찰안.xls]_____xls_1889"/>
      <sheetName val="[입찰안.xls][입찰안.xls]_____xls_1887"/>
      <sheetName val="[입찰안.xls][입찰안.xls]_____xls_1888"/>
      <sheetName val="[입찰안.xls][입찰안.xls]_____xls_1890"/>
      <sheetName val="[입찰안.xls][입찰안.xls]_____xls_1894"/>
      <sheetName val="[입찰안.xls][입찰안.xls]_____xls_1892"/>
      <sheetName val="[입찰안.xls][입찰안.xls]_____xls_1893"/>
      <sheetName val="[입찰안.xls][입찰안.xls]_____xls_1895"/>
      <sheetName val="[입찰안.xls][입찰안.xls]_____xls_1896"/>
      <sheetName val="[입찰안.xls][입찰안.xls]_____xls_1897"/>
      <sheetName val="[입찰안.xls][입찰안.xls]_____xls_1898"/>
      <sheetName val="[입찰안.xls][입찰안.xls]_____xls_1902"/>
      <sheetName val="[입찰안.xls][입찰안.xls]_____xls_1900"/>
      <sheetName val="[입찰안.xls][입찰안.xls]_____xls_1901"/>
      <sheetName val="[입찰안.xls][입찰안.xls]_____xls_1914"/>
      <sheetName val="[입찰안.xls][입찰안.xls]_____xls_1903"/>
      <sheetName val="[입찰안.xls][입찰안.xls]_____xls_1905"/>
      <sheetName val="[입찰안.xls][입찰안.xls]_____xls_1904"/>
      <sheetName val="[입찰안.xls][입찰안.xls]_____xls_1906"/>
      <sheetName val="[입찰안.xls][입찰안.xls]_____xls_1907"/>
      <sheetName val="[입찰안.xls][입찰안.xls]_____xls_1908"/>
      <sheetName val="[입찰안.xls][입찰안.xls]_____xls_1928"/>
      <sheetName val="[입찰안.xls][입찰안.xls]_____xls_1913"/>
      <sheetName val="[입찰안.xls][입찰안.xls]_____xls_1911"/>
      <sheetName val="[입찰안.xls][입찰안.xls]_____xls_1910"/>
      <sheetName val="[입찰안.xls][입찰안.xls]_____xls_1912"/>
      <sheetName val="[입찰안.xls][입찰안.xls]_____xls_1917"/>
      <sheetName val="[입찰안.xls][입찰안.xls]_____xls_1916"/>
      <sheetName val="[입찰안.xls][입찰안.xls]_____xls_1915"/>
      <sheetName val="[입찰안.xls][입찰안.xls]_____xls_1925"/>
      <sheetName val="[입찰안.xls][입찰안.xls]_____xls_1920"/>
      <sheetName val="[입찰안.xls][입찰안.xls]_____xls_1918"/>
      <sheetName val="[입찰안.xls][입찰안.xls]_____xls_1919"/>
      <sheetName val="[입찰안.xls][입찰안.xls]_____xls_1924"/>
      <sheetName val="[입찰안.xls][입찰안.xls]_____xls_1921"/>
      <sheetName val="[입찰안.xls][입찰안.xls]_____xls_1922"/>
      <sheetName val="[입찰안.xls][입찰안.xls]_____xls_1923"/>
      <sheetName val="[입찰안.xls][입찰안.xls]_____xls_1926"/>
      <sheetName val="[입찰안.xls][입찰안.xls]_____xls_1927"/>
      <sheetName val="[입찰안.xls][입찰안.xls]_____xls_1929"/>
      <sheetName val="[입찰안.xls][입찰안.xls]_____xls_1930"/>
      <sheetName val="[입찰안.xls][입찰안.xls]_____xls_1932"/>
      <sheetName val="[입찰안.xls][입찰안.xls]_____xls_1953"/>
      <sheetName val="[입찰안.xls][입찰안.xls]_____xls_1931"/>
      <sheetName val="[입찰안.xls][입찰안.xls]_____xls_1939"/>
      <sheetName val="[입찰안.xls][입찰안.xls]_____xls_1933"/>
      <sheetName val="[입찰안.xls][입찰안.xls]_____xls_1934"/>
      <sheetName val="[입찰안.xls][입찰안.xls]_____xls_1935"/>
      <sheetName val="[입찰안.xls][입찰안.xls]_____xls_1936"/>
      <sheetName val="[입찰안.xls][입찰안.xls]_____xls_1937"/>
      <sheetName val="[입찰안.xls][입찰안.xls]_____xls_1938"/>
      <sheetName val="[입찰안.xls][입찰안.xls]_____xls_1941"/>
      <sheetName val="[입찰안.xls][입찰안.xls]_____xls_1940"/>
      <sheetName val="[입찰안.xls][입찰안.xls]_____xls_1942"/>
      <sheetName val="[입찰안.xls][입찰안.xls]_____xls_1954"/>
      <sheetName val="[입찰안.xls][입찰안.xls]_____xls_1943"/>
      <sheetName val="[입찰안.xls][입찰안.xls]_____xls_1949"/>
      <sheetName val="[입찰안.xls][입찰안.xls]_____xls_1944"/>
      <sheetName val="[입찰안.xls][입찰안.xls]_____xls_1945"/>
      <sheetName val="[입찰안.xls][입찰안.xls]_____xls_1946"/>
      <sheetName val="[입찰안.xls][입찰안.xls]_____xls_1947"/>
      <sheetName val="[입찰안.xls][입찰안.xls]_____xls_1948"/>
      <sheetName val="[입찰안.xls][입찰안.xls]_____xls_1950"/>
      <sheetName val="[입찰안.xls][입찰안.xls]_____xls_1951"/>
      <sheetName val="[입찰안.xls][입찰안.xls]_____xls_1952"/>
      <sheetName val="[입찰안.xls][입찰안.xls]_____xls_1957"/>
      <sheetName val="[입찰안.xls][입찰안.xls]_____xls_1956"/>
      <sheetName val="[입찰안.xls][입찰안.xls]_____xls_1955"/>
      <sheetName val="[입찰안.xls][입찰안.xls]_____xls_1971"/>
      <sheetName val="[입찰안.xls][입찰안.xls]_____xls_1958"/>
      <sheetName val="[입찰안.xls][입찰안.xls]_____xls_1959"/>
      <sheetName val="[입찰안.xls][입찰안.xls]_____xls_1961"/>
      <sheetName val="[입찰안.xls][입찰안.xls]_____xls_1960"/>
      <sheetName val="[입찰안.xls][입찰안.xls]_____xls_1962"/>
      <sheetName val="[입찰안.xls][입찰안.xls]_____xls_1963"/>
      <sheetName val="[입찰안.xls][입찰안.xls]_____xls_1965"/>
      <sheetName val="[입찰안.xls][입찰안.xls]_____xls_1964"/>
      <sheetName val="[입찰안.xls][입찰안.xls]_____xls_1966"/>
      <sheetName val="[입찰안.xls][입찰안.xls]_____xls_1967"/>
      <sheetName val="[입찰안.xls][입찰안.xls]_____xls_1968"/>
      <sheetName val="[입찰안.xls][입찰안.xls]_____xls_1969"/>
      <sheetName val="[입찰안.xls][입찰안.xls]_____xls_1970"/>
      <sheetName val="[입찰안.xls][입찰안.xls]_____xls_1991"/>
      <sheetName val="[입찰안.xls][입찰안.xls]_____xls_1992"/>
      <sheetName val="[입찰안.xls][입찰안.xls]_____xls_1973"/>
      <sheetName val="[입찰안.xls][입찰안.xls]_____xls_1975"/>
      <sheetName val="[입찰안.xls][입찰안.xls]_____xls_1974"/>
      <sheetName val="[입찰안.xls][입찰안.xls]_____xls_1979"/>
      <sheetName val="[입찰안.xls][입찰안.xls]_____xls_1978"/>
      <sheetName val="[입찰안.xls][입찰안.xls]_____xls_1980"/>
      <sheetName val="[입찰안.xls][입찰안.xls]_____xls_1976"/>
      <sheetName val="[입찰안.xls][입찰안.xls]_____xls_1977"/>
      <sheetName val="[입찰안.xls][입찰안.xls]_____xls_1981"/>
      <sheetName val="[입찰안.xls][입찰안.xls]_____xls_1984"/>
      <sheetName val="[입찰안.xls][입찰안.xls]_____xls_1982"/>
      <sheetName val="[입찰안.xls][입찰안.xls]_____xls_1983"/>
      <sheetName val="[입찰안.xls][입찰안.xls]_____xls_1985"/>
      <sheetName val="[입찰안.xls][입찰안.xls]_____xls_1986"/>
      <sheetName val="[입찰안.xls][입찰안.xls]_____xls_1987"/>
      <sheetName val="[입찰안.xls][입찰안.xls]_____xls_1989"/>
      <sheetName val="[입찰안.xls][입찰안.xls]_____xls_1988"/>
      <sheetName val="[입찰안.xls][입찰안.xls]_____xls_1990"/>
      <sheetName val="[입찰안.xls][입찰안.xls]_____xls_1993"/>
      <sheetName val="VAT duoc khau tru"/>
      <sheetName val="VAT_duoc_khau_tru"/>
      <sheetName val="[입찰안.xls][입찰안.xls]_____xls_1997"/>
      <sheetName val="[입찰안.xls][입찰안.xls]_____xls_1998"/>
      <sheetName val="[입찰안.xls][입찰안.xls]_____xls_1996"/>
      <sheetName val="[입찰안.xls][입찰안.xls]_____xls_2006"/>
      <sheetName val="[입찰안.xls][입찰안.xls]_____xls_2001"/>
      <sheetName val="[입찰안.xls][입찰안.xls]_____xls_1999"/>
      <sheetName val="[입찰안.xls][입찰안.xls]_____xls_2000"/>
      <sheetName val="[입찰안.xls][입찰안.xls]_____xls_2003"/>
      <sheetName val="[입찰안.xls][입찰안.xls]_____xls_2002"/>
      <sheetName val="[입찰안.xls][입찰안.xls]_____xls_2005"/>
      <sheetName val="[입찰안.xls][입찰안.xls]_____xls_2004"/>
      <sheetName val="[입찰안.xls][입찰안.xls]_____xls_2007"/>
      <sheetName val="[입찰안.xls][입찰안.xls]_____xls_2014"/>
      <sheetName val="[입찰안.xls][입찰안.xls]_____xls_2038"/>
      <sheetName val="[입찰안.xls][입찰안.xls]_____xls_2008"/>
      <sheetName val="[입찰안.xls][입찰안.xls]_____xls_2009"/>
      <sheetName val="[입찰안.xls][입찰안.xls]_____xls_2010"/>
      <sheetName val="[입찰안.xls][입찰안.xls]_____xls_2011"/>
      <sheetName val="[입찰안.xls][입찰안.xls]_____xls_2012"/>
      <sheetName val="[입찰안.xls][입찰안.xls]_____xls_2013"/>
      <sheetName val="[입찰안.xls][입찰안.xls]_____xls_2015"/>
      <sheetName val="[입찰안.xls][입찰안.xls]_____xls_2016"/>
      <sheetName val="[입찰안.xls][입찰안.xls]_____xls_2017"/>
      <sheetName val="[입찰안.xls][입찰안.xls]_____xls_2018"/>
      <sheetName val="[입찰안.xls][입찰안.xls]_____xls_2019"/>
      <sheetName val="[입찰안.xls][입찰안.xls]_____xls_2026"/>
      <sheetName val="[입찰안.xls][입찰안.xls]_____xls_2020"/>
      <sheetName val="[입찰안.xls][입찰안.xls]_____xls_2021"/>
      <sheetName val="[입찰안.xls][입찰안.xls]_____xls_2022"/>
      <sheetName val="[입찰안.xls][입찰안.xls]_____xls_2023"/>
      <sheetName val="[입찰안.xls][입찰안.xls]_____xls_2024"/>
      <sheetName val="[입찰안.xls][입찰안.xls]_____xls_2025"/>
      <sheetName val="[입찰안.xls][입찰안.xls]_____xls_2028"/>
      <sheetName val="[입찰안.xls][입찰안.xls]_____xls_2027"/>
      <sheetName val="[입찰안.xls][입찰안.xls]_____xls_2029"/>
      <sheetName val="[입찰안.xls][입찰안.xls]_____xls_2041"/>
      <sheetName val="[입찰안.xls][입찰안.xls]_____xls_2030"/>
      <sheetName val="[입찰안.xls][입찰안.xls]_____xls_2032"/>
      <sheetName val="[입찰안.xls][입찰안.xls]_____xls_2031"/>
      <sheetName val="[입찰안.xls][입찰안.xls]_____xls_2034"/>
      <sheetName val="[입찰안.xls][입찰안.xls]_____xls_2033"/>
      <sheetName val="[입찰안.xls][입찰안.xls]_____xls_2035"/>
      <sheetName val="[입찰안.xls][입찰안.xls]_____xls_2036"/>
      <sheetName val="[입찰안.xls][입찰안.xls]_____xls_2037"/>
      <sheetName val="[입찰안.xls][입찰안.xls]_____xls_2039"/>
      <sheetName val="[입찰안.xls][입찰안.xls]_____xls_2040"/>
      <sheetName val="[입찰안.xls][입찰안.xls]_____xls_2043"/>
      <sheetName val="[입찰안.xls][입찰안.xls]_____xls_2045"/>
      <sheetName val="[입찰안.xls][입찰안.xls]_____xls_2042"/>
      <sheetName val="[입찰안.xls][입찰안.xls]_____xls_2044"/>
      <sheetName val="[입찰안.xls][입찰안.xls]_____xls_2072"/>
      <sheetName val="[입찰안.xls][입찰안.xls]_____xls_2050"/>
      <sheetName val="[입찰안.xls][입찰안.xls]_____xls_2053"/>
      <sheetName val="[입찰안.xls][입찰안.xls]_____xls_2047"/>
      <sheetName val="[입찰안.xls][입찰안.xls]_____xls_2046"/>
      <sheetName val="[입찰안.xls][입찰안.xls]_____xls_2048"/>
      <sheetName val="[입찰안.xls][입찰안.xls]_____xls_2049"/>
      <sheetName val="[입찰안.xls][입찰안.xls]_____xls_2051"/>
      <sheetName val="[입찰안.xls][입찰안.xls]_____xls_2052"/>
      <sheetName val="[입찰안.xls][입찰안.xls]_____xls_2054"/>
      <sheetName val="[입찰안.xls][입찰안.xls]_____xls_2055"/>
      <sheetName val="[입찰안.xls][입찰안.xls]_____xls_2056"/>
      <sheetName val="[입찰안.xls][입찰안.xls]_____xls_2057"/>
      <sheetName val="[입찰안.xls][입찰안.xls]_____xls_2060"/>
      <sheetName val="[입찰안.xls][입찰안.xls]_____xls_2059"/>
      <sheetName val="[입찰안.xls][입찰안.xls]_____xls_2058"/>
      <sheetName val="[입찰안.xls][입찰안.xls]_____xls_2061"/>
      <sheetName val="[입찰안.xls][입찰안.xls]_____xls_2074"/>
      <sheetName val="[입찰안.xls][입찰안.xls]_____xls_2062"/>
      <sheetName val="[입찰안.xls][입찰안.xls]_____xls_2063"/>
      <sheetName val="[입찰안.xls][입찰안.xls]_____xls_2064"/>
      <sheetName val="[입찰안.xls][입찰안.xls]_____xls_2066"/>
      <sheetName val="[입찰안.xls][입찰안.xls]_____xls_2065"/>
      <sheetName val="[입찰안.xls][입찰안.xls]_____xls_2067"/>
      <sheetName val="[입찰안.xls][입찰안.xls]_____xls_2070"/>
      <sheetName val="[입찰안.xls][입찰안.xls]_____xls_2068"/>
      <sheetName val="[입찰안.xls][입찰안.xls]_____xls_2069"/>
      <sheetName val="[입찰안.xls][입찰안.xls]_____xls_2071"/>
      <sheetName val="[입찰안.xls][입찰안.xls]_____xls_2073"/>
      <sheetName val="[입찰안.xls][입찰안.xls]_____xls_2082"/>
      <sheetName val="[입찰안.xls][입찰안.xls]_____xls_2075"/>
      <sheetName val="[입찰안.xls][입찰안.xls]_____xls_2076"/>
      <sheetName val="[입찰안.xls][입찰안.xls]_____xls_2077"/>
      <sheetName val="[입찰안.xls][입찰안.xls]_____xls_2079"/>
      <sheetName val="[입찰안.xls][입찰안.xls]_____xls_2078"/>
      <sheetName val="[입찰안.xls][입찰안.xls]_____xls_2104"/>
      <sheetName val="[입찰안.xls][입찰안.xls]_____xls_2080"/>
      <sheetName val="[입찰안.xls][입찰안.xls]_____xls_2081"/>
      <sheetName val="[입찰안.xls][입찰안.xls]_____xls_2103"/>
      <sheetName val="[입찰안.xls][입찰안.xls]_____xls_2083"/>
      <sheetName val="[입찰안.xls][입찰안.xls]_____xls_2087"/>
      <sheetName val="[입찰안.xls][입찰안.xls]_____xls_2095"/>
      <sheetName val="[입찰안.xls][입찰안.xls]_____xls_2085"/>
      <sheetName val="[입찰안.xls][입찰안.xls]_____xls_2084"/>
      <sheetName val="[입찰안.xls][입찰안.xls]_____xls_2086"/>
      <sheetName val="[입찰안.xls][입찰안.xls]_____xls_2088"/>
      <sheetName val="[입찰안.xls][입찰안.xls]_____xls_2090"/>
      <sheetName val="[입찰안.xls][입찰안.xls]_____xls_2089"/>
      <sheetName val="[입찰안.xls][입찰안.xls]_____xls_2091"/>
      <sheetName val="[입찰안.xls][입찰안.xls]_____xls_2092"/>
      <sheetName val="[입찰안.xls][입찰안.xls]_____xls_2093"/>
      <sheetName val="[입찰안.xls][입찰안.xls]_____xls_2094"/>
      <sheetName val="[입찰안.xls][입찰안.xls]_____xls_2096"/>
      <sheetName val="[입찰안.xls][입찰안.xls]_____xls_2097"/>
      <sheetName val="[입찰안.xls][입찰안.xls]_____xls_2098"/>
      <sheetName val="[입찰안.xls][입찰안.xls]_____xls_2100"/>
      <sheetName val="[입찰안.xls][입찰안.xls]_____xls_2099"/>
      <sheetName val="[입찰안.xls][입찰안.xls]_____xls_2101"/>
      <sheetName val="[입찰안.xls][입찰안.xls]_____xls_2102"/>
      <sheetName val="[입찰안.xls][입찰안.xls]_____xls_2105"/>
      <sheetName val="[입찰안.xls][입찰안.xls]_____xls_2129"/>
      <sheetName val="[입찰안.xls][입찰안.xls]_____xls_2128"/>
      <sheetName val="[입찰안.xls][입찰안.xls]_____xls_2107"/>
      <sheetName val="[입찰안.xls][입찰안.xls]_____xls_2106"/>
      <sheetName val="[입찰안.xls][입찰안.xls]_____xls_2110"/>
      <sheetName val="[입찰안.xls][입찰안.xls]_____xls_2108"/>
      <sheetName val="[입찰안.xls][입찰안.xls]_____xls_2109"/>
      <sheetName val="[입찰안.xls][입찰안.xls]_____xls_2112"/>
      <sheetName val="[입찰안.xls][입찰안.xls]_____xls_2111"/>
      <sheetName val="[입찰안.xls][입찰안.xls]_____xls_2114"/>
      <sheetName val="[입찰안.xls][입찰안.xls]_____xls_2113"/>
      <sheetName val="[입찰안.xls][입찰안.xls]_____xls_2115"/>
      <sheetName val="[입찰안.xls][입찰안.xls]_____xls_2116"/>
      <sheetName val="[입찰안.xls][입찰안.xls]_____xls_2119"/>
      <sheetName val="[입찰안.xls][입찰안.xls]_____xls_2117"/>
      <sheetName val="[입찰안.xls][입찰안.xls]_____xls_2118"/>
      <sheetName val="[입찰안.xls][입찰안.xls]_____xls_2120"/>
      <sheetName val="[입찰안.xls][입찰안.xls]_____xls_2121"/>
      <sheetName val="[입찰안.xls][입찰안.xls]_____xls_2122"/>
      <sheetName val="[입찰안.xls][입찰안.xls]_____xls_2123"/>
      <sheetName val="[입찰안.xls][입찰안.xls]_____xls_2127"/>
      <sheetName val="[입찰안.xls][입찰안.xls]_____xls_2124"/>
      <sheetName val="[입찰안.xls][입찰안.xls]_____xls_2125"/>
      <sheetName val="[입찰안.xls][입찰안.xls]_____xls_2126"/>
      <sheetName val="[입찰안.xls][입찰안.xls]_____xls_2134"/>
      <sheetName val="[입찰안.xls][입찰안.xls]_____xls_2130"/>
      <sheetName val="[입찰안.xls][입찰안.xls]_____xls_2131"/>
      <sheetName val="[입찰안.xls][입찰안.xls]_____xls_2132"/>
      <sheetName val="[입찰안.xls][입찰안.xls]_____xls_2133"/>
      <sheetName val="[입찰안.xls][입찰안.xls]_____xls_2135"/>
      <sheetName val="[입찰안.xls][입찰안.xls]_____xls_2136"/>
      <sheetName val="[입찰안.xls][입찰안.xls]_____xls_2138"/>
      <sheetName val="[입찰안.xls][입찰안.xls]_____xls_2137"/>
      <sheetName val="[입찰안.xls][입찰안.xls]_____xls_2139"/>
      <sheetName val="[입찰안.xls][입찰안.xls]_____xls_2141"/>
      <sheetName val="[입찰안.xls][입찰안.xls]_____xls_2140"/>
      <sheetName val="[입찰안.xls][입찰안.xls]_____xls_2142"/>
      <sheetName val="[입찰안.xls][입찰안.xls]_____xls_2143"/>
      <sheetName val="[입찰안.xls][입찰안.xls]_____xls_2144"/>
      <sheetName val="[입찰안.xls][입찰안.xls]_____xls_2147"/>
      <sheetName val="[입찰안.xls][입찰안.xls]_____xls_2148"/>
      <sheetName val="[입찰안.xls][입찰안.xls]_____xls_2151"/>
      <sheetName val="[입찰안.xls][입찰안.xls]_____xls_2149"/>
      <sheetName val="[입찰안.xls][입찰안.xls]_____xls_2152"/>
      <sheetName val="[입찰안.xls][입찰안.xls]_____xls_2153"/>
      <sheetName val="[입찰안.xls][입찰안.xls]_____xls_2150"/>
      <sheetName val="[입찰안.xls][입찰안.xls]_____xls_2195"/>
      <sheetName val="[입찰안.xls][입찰안.xls]_____xls_2187"/>
      <sheetName val="[입찰안.xls][입찰안.xls]_____xls_2189"/>
      <sheetName val="[입찰안.xls][입찰안.xls]_____xls_2190"/>
      <sheetName val="[입찰안.xls][입찰안.xls]_____xls_2184"/>
      <sheetName val="[입찰안.xls][입찰안.xls]_____xls_2185"/>
      <sheetName val="[입찰안.xls][입찰안.xls]_____xls_2158"/>
      <sheetName val="[입찰안.xls][입찰안.xls]_____xls_2160"/>
      <sheetName val="[입찰안.xls][입찰안.xls]_____xls_2157"/>
      <sheetName val="[입찰안.xls][입찰안.xls]_____xls_2155"/>
      <sheetName val="[입찰안.xls][입찰안.xls]_____xls_2156"/>
      <sheetName val="[입찰안.xls][입찰안.xls]_____xls_2159"/>
      <sheetName val="[입찰안.xls][입찰안.xls]_____xls_2164"/>
      <sheetName val="[입찰안.xls][입찰안.xls]_____xls_2165"/>
      <sheetName val="[입찰안.xls][입찰안.xls]_____xls_2163"/>
      <sheetName val="[입찰안.xls][입찰안.xls]_____xls_2161"/>
      <sheetName val="[입찰안.xls][입찰안.xls]_____xls_2162"/>
      <sheetName val="[입찰안.xls][입찰안.xls]_____xls_2166"/>
      <sheetName val="[입찰안.xls][입찰안.xls]_____xls_2180"/>
      <sheetName val="[입찰안.xls][입찰안.xls]_____xls_2167"/>
      <sheetName val="[입찰안.xls][입찰안.xls]_____xls_2169"/>
      <sheetName val="[입찰안.xls][입찰안.xls]_____xls_2170"/>
      <sheetName val="[입찰안.xls][입찰안.xls]_____xls_2177"/>
      <sheetName val="[입찰안.xls][입찰안.xls]_____xls_2168"/>
      <sheetName val="[입찰안.xls][입찰안.xls]_____xls_2181"/>
      <sheetName val="[입찰안.xls][입찰안.xls]_____xls_2171"/>
      <sheetName val="[입찰안.xls][입찰안.xls]_____xls_2172"/>
      <sheetName val="[입찰안.xls][입찰안.xls]_____xls_2173"/>
      <sheetName val="[입찰안.xls][입찰안.xls]_____xls_2174"/>
      <sheetName val="[입찰안.xls][입찰안.xls]_____xls_2175"/>
      <sheetName val="[입찰안.xls][입찰안.xls]_____xls_2176"/>
      <sheetName val="[입찰안.xls][입찰안.xls]_____xls_2182"/>
      <sheetName val="[입찰안.xls][입찰안.xls]_____xls_2178"/>
      <sheetName val="[입찰안.xls][입찰안.xls]_____xls_2179"/>
      <sheetName val="[입찰안.xls][입찰안.xls]_____xls_2183"/>
      <sheetName val="[입찰안.xls][입찰안.xls]_____xls_2186"/>
      <sheetName val="[입찰안.xls][입찰안.xls]_____xls_2191"/>
      <sheetName val="[입찰안.xls][입찰안.xls]_____xls_2188"/>
      <sheetName val="[입찰안.xls][입찰안.xls]_____xls_2193"/>
      <sheetName val="[입찰안.xls][입찰안.xls]_____xls_2194"/>
      <sheetName val="[입찰안.xls][입찰안.xls]_____xls_2192"/>
      <sheetName val="해평견적"/>
      <sheetName val="SS"/>
      <sheetName val="인계"/>
      <sheetName val="0226"/>
      <sheetName val="[입찰안.xls][입찰안.xls]_____xls_2199"/>
      <sheetName val="[입찰안.xls][입찰안.xls]_____xls_2200"/>
      <sheetName val="[입찰안.xls][입찰안.xls]_____xls_2203"/>
      <sheetName val="[입찰안.xls][입찰안.xls]_____xls_2204"/>
      <sheetName val="[입찰안.xls][입찰안.xls]_____xls_2202"/>
      <sheetName val="[입찰안.xls][입찰안.xls]_____xls_2201"/>
      <sheetName val="[입찰안.xls][입찰안.xls]_____xls_2205"/>
      <sheetName val="[입찰안.xls][입찰안.xls]_____xls_2206"/>
      <sheetName val="[입찰안.xls][입찰안.xls]_____xls_2207"/>
      <sheetName val="[입찰안.xls][입찰안.xls]_____xls_2212"/>
      <sheetName val="[입찰안.xls][입찰안.xls]_____xls_2208"/>
      <sheetName val="[입찰안.xls][입찰안.xls]_____xls_2209"/>
      <sheetName val="[입찰안.xls][입찰안.xls]_____xls_2210"/>
      <sheetName val="[입찰안.xls][입찰안.xls]_____xls_2211"/>
      <sheetName val="[입찰안.xls][입찰안.xls]_____xls_2221"/>
      <sheetName val="[입찰안.xls][입찰안.xls]_____xls_2223"/>
      <sheetName val="원데이타"/>
      <sheetName val="노원열병합__건축공사기성내역ၒ"/>
      <sheetName val="[입찰안.xls][입찰안.xls]_____xls_2220"/>
      <sheetName val="[입찰안.xls][입찰안.xls]_____xls_2215"/>
      <sheetName val="[입찰안.xls][입찰안.xls]_____xls_2219"/>
      <sheetName val="[입찰안.xls][입찰안.xls]_____xls_2217"/>
      <sheetName val="[입찰안.xls][입찰안.xls]_____xls_2216"/>
      <sheetName val="[입찰안.xls][입찰안.xls]_____xls_2218"/>
      <sheetName val="[입찰안.xls][입찰안.xls]_____xls_2224"/>
      <sheetName val="[입찰안.xls][입찰안.xls]_____xls_2222"/>
      <sheetName val="[입찰안.xls][입찰안.xls]_____xls_2226"/>
      <sheetName val="[입찰안.xls][입찰안.xls]_____xls_2230"/>
      <sheetName val="[입찰안.xls][입찰안.xls]_____xls_2227"/>
      <sheetName val="[입찰안.xls][입찰안.xls]_입___xls_1002"/>
      <sheetName val="[입찰안.xls][입찰안.xls]_입___xls_1001"/>
      <sheetName val="UXSLCNK4"/>
      <sheetName val="직접뀀鞖/_x005f_x0000_"/>
      <sheetName val="정리계槜〚_x005f_x0000__x005f_x0000_䇀"/>
      <sheetName val="design_crit_x005f_x0000__x005f_x0000__x00_2"/>
      <sheetName val="내역_verᔈ_x005f_x0000__x005f_x0000_"/>
      <sheetName val="계산_x005f_x0000__x005f_x0000_"/>
      <sheetName val="1_2_3_4_x005f_x0005__x005f_x0000___x005f_x0000__2"/>
      <sheetName val="6_산출닑⾱_x005f_x0005__x005f_x0000_"/>
      <sheetName val="조도계산서Å_x005f_x0000_Ԁ_x005f_x0000__x005f_x0000_"/>
      <sheetName val="조도계산서Å_x005f_x0000_Ԁ_x005f_x0000_耀"/>
      <sheetName val="공량·_x005f_x0000__x005f_x0000_"/>
      <sheetName val="working_load_at_______x005f_x0000___2"/>
      <sheetName val="[입찰안.xls]직접뀀鞖/_x005f_x0000_"/>
      <sheetName val="[입찰안.xls][입찰안.xls]직접뀀鞖/_x005f_x0000_"/>
      <sheetName val="_____x005f_x0000__x005f_x0000__x005f_x0005__x00_2"/>
      <sheetName val="plan_section_of__x005f_x0000__x005f_x0000_2"/>
      <sheetName val="원_x005f_x0000__x005f_x0000_"/>
      <sheetName val="1,2,3,4_x005f_x0005_"/>
      <sheetName val="단_x005f_x0005__x005f_x0000_"/>
      <sheetName val="공기압¬_x005f_x0000_Ԁ"/>
      <sheetName val="pile_bearing_capa__________x0_2"/>
      <sheetName val="pile_bearing_capa________x000_2"/>
      <sheetName val="일위대가(집계_x005f_x0000_"/>
      <sheetName val="정리계槜で_x005f_x0000__x005f_x0000_ｐ"/>
      <sheetName val="정리계槜で_x005f_x0000__x005f_x0000_㟠"/>
      <sheetName val="_________x005f_x0000__x005f_x0000__x005f_x0005__2"/>
      <sheetName val="_________x005f_x0000__x005f_x0000__x005f_x0005__3"/>
      <sheetName val="pile_bearing_ca____x005f_x0000______2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수량산출서집´_x005f_x0000_Ԁ_x005f_x0000_耀֜䌛"/>
      <sheetName val="전기혼잡제경⻉ⴋԯ_x005f_x0000_缀"/>
      <sheetName val="일위대가_x005f_x0000__x005f_x0000_렀"/>
      <sheetName val="일위대가耀쾑_x005f_x0000_"/>
      <sheetName val="조도계산서Ì_x005f_x0000_Ԁ_x005f_x0000_耀"/>
      <sheetName val="______x005f_x005f_x005f_x0000__x005f_x005f_x000_2"/>
      <sheetName val="____x005f_x005f_x005f_x0000__x005f_x005f_x005f_x0000__2"/>
      <sheetName val="공기압舓⿫_x005f_x005f_x005f_x0005_"/>
      <sheetName val="I_설계조_x005f_x005f_x005f_x0000_"/>
      <sheetName val="조도계산서_(도서_x005f_x005f_x005f_x0000_"/>
      <sheetName val="주bea_x005f_x005f_x005f_xdcf0_"/>
      <sheetName val="대_x005f_x005f_x005f_x0000__x005f_x005f_x005f_x0000_"/>
      <sheetName val="장悱_x005f_x0017_"/>
      <sheetName val="3련_BÈ_x005f_x0000_"/>
      <sheetName val="plan_section_of__x005f_x0010__x005f_x0000_2"/>
      <sheetName val="집계장(Â_x005f_x0000_蠀1_x005f_x0000__x005f_x0000_"/>
      <sheetName val="집계장(뀀ﰡ_x005f_x0000_䀰"/>
      <sheetName val="design_c_x005f_x0000__x005f_x0000______x0_2"/>
      <sheetName val="POL6차-PIPÁ_x005f_x0000_Ԁ"/>
      <sheetName val="stability_x005f_xdc00_䘢䠂檱䠛檳"/>
      <sheetName val="노원열병합__건축공사기성내역_x005f_x0000_"/>
      <sheetName val="[입찰안.xls][입찰안.xls]_____xls_2231"/>
      <sheetName val="[입찰안.xls][입찰안.xls]_____xls_2232"/>
      <sheetName val="지하시설물작성"/>
      <sheetName val="기초입력 DATA"/>
      <sheetName val="[입찰안.xls][입찰안.xls]_____xls_2425"/>
      <sheetName val="[입찰안.xls][입찰안.xls]_입_안_xls_1004"/>
      <sheetName val="[입찰안.xls][입찰안.xls]_입_안_xls_1003"/>
      <sheetName val="[입찰안.xls][입찰안.xls]_입_안_xls_1001"/>
      <sheetName val="[입찰안.xls][입찰안.xls]_입_안_xls_1002"/>
      <sheetName val="[입찰안.xls][입찰안.xls]_입_안_xls_1005"/>
      <sheetName val="[입찰안.xls][입찰안.xls]_입_안_xls_1008"/>
      <sheetName val="[입찰안.xls][입찰안.xls]_입_안_xls_1009"/>
      <sheetName val="[입찰안.xls][입찰안.xls]_입_안_xls_1010"/>
      <sheetName val="[입찰안.xls][입찰안.xls]_입_안_xls_1006"/>
      <sheetName val="[입찰안.xls][입찰안.xls]_입_안_xls_1007"/>
      <sheetName val="[입찰안.xls][입찰안.xls]_입_안_xls_1011"/>
      <sheetName val="[입찰안.xls][입찰안.xls]_입찰안_xls_1001"/>
      <sheetName val="[입찰안.xls][입찰안.xls]_입_안_xls_1012"/>
      <sheetName val="[입찰안.xls][입찰안.xls]_입_안_xls_1013"/>
      <sheetName val="[입찰안.xls][입찰안.xls]_입찰안_xls_1002"/>
      <sheetName val="[입찰안.xls][입찰안.xls]_입찰안_xls_1003"/>
      <sheetName val="[입찰안.xls][입찰안.xls]_입_안_xls_1015"/>
      <sheetName val="[입찰안.xls][입찰안.xls]_입_안_xls_1014"/>
      <sheetName val="[입찰안.xls][입찰안.xls]_입찰안_xls_1004"/>
      <sheetName val="[입찰안.xls][입찰안.xls]_입_안_xls_1016"/>
      <sheetName val="[입찰안.xls][입찰안.xls]_입찰안_xls_1005"/>
      <sheetName val="[입찰안.xls][입찰안.xls]_입_안_xls_1017"/>
      <sheetName val="[입찰안.xls][입찰안.xls]_입찰안_xls_1006"/>
      <sheetName val="[입찰안.xls][입찰안.xls]_입_안_xls_1018"/>
      <sheetName val="[입찰안.xls][입찰안.xls]_입_안_xls_1019"/>
      <sheetName val="[입찰안.xls][입찰안.xls]_입찰안_xls_1009"/>
      <sheetName val="[입찰안.xls][입찰안.xls]_입찰안_xls_1007"/>
      <sheetName val="[입찰안.xls][입찰안.xls]_입찰안_xls_1008"/>
      <sheetName val="[입찰안.xls][입찰안.xls]_입_안_xls_1020"/>
      <sheetName val="[입찰안.xls][입찰안.xls]_입_안_xls_1021"/>
      <sheetName val="[입찰안.xls][입찰안.xls]_입_안_xls_1022"/>
      <sheetName val="[입찰안.xls][입찰안.xls]_____xls_2399"/>
      <sheetName val="[입찰안.xls][입찰안.xls]_____xls_2338"/>
      <sheetName val="[입찰안.xls][입찰안.xls]_____xls_2340"/>
      <sheetName val="[입찰안.xls][입찰안.xls]_____xls_2336"/>
      <sheetName val="[입찰안.xls][입찰안.xls]_____xls_2337"/>
      <sheetName val="[입찰안.xls][입찰안.xls]_____xls_2331"/>
      <sheetName val="[입찰안.xls][입찰안.xls]_____xls_2235"/>
      <sheetName val="[입찰안.xls][입찰안.xls]_____xls_2236"/>
      <sheetName val="[입찰안.xls][입찰안.xls]_____xls_2237"/>
      <sheetName val="[입찰안.xls][입찰안.xls]_____xls_2240"/>
      <sheetName val="[입찰안.xls][입찰안.xls]_____xls_2239"/>
      <sheetName val="[입찰안.xls][입찰안.xls]_____xls_2242"/>
      <sheetName val="[입찰안.xls][입찰안.xls]_____xls_2238"/>
      <sheetName val="[입찰안.xls][입찰안.xls]_____xls_2243"/>
      <sheetName val="[입찰안.xls][입찰안.xls]_____xls_2241"/>
      <sheetName val="[입찰안.xls][입찰안.xls]_____xls_2244"/>
      <sheetName val="[입찰안.xls][입찰안.xls]_____xls_2245"/>
      <sheetName val="[입찰안.xls][입찰안.xls]_____xls_2246"/>
      <sheetName val="[입찰안.xls][입찰안.xls]_____xls_2316"/>
      <sheetName val="[입찰안.xls][입찰안.xls]_____xls_2317"/>
      <sheetName val="[입찰안.xls][입찰안.xls]_____xls_2247"/>
      <sheetName val="[입찰안.xls][입찰안.xls]_____xls_2315"/>
      <sheetName val="[입찰안.xls][입찰안.xls]_____xls_2273"/>
      <sheetName val="[입찰안.xls][입찰안.xls]_____xls_2275"/>
      <sheetName val="[입찰안.xls][입찰안.xls]_____xls_2268"/>
      <sheetName val="[입찰안.xls][입찰안.xls]_____xls_2271"/>
      <sheetName val="[입찰안.xls][입찰안.xls]_____xls_2267"/>
      <sheetName val="[입찰안.xls][입찰안.xls]_____xls_2265"/>
      <sheetName val="[입찰안.xls][입찰안.xls]_____xls_2266"/>
      <sheetName val="[입찰안.xls][입찰안.xls]_____xls_2248"/>
      <sheetName val="[입찰안.xls][입찰안.xls]_____xls_2257"/>
      <sheetName val="[입찰안.xls][입찰안.xls]_____xls_2249"/>
      <sheetName val="[입찰안.xls][입찰안.xls]_____xls_2255"/>
      <sheetName val="[입찰안.xls][입찰안.xls]_____xls_2256"/>
      <sheetName val="[입찰안.xls][입찰안.xls]_____xls_2250"/>
      <sheetName val="[입찰안.xls][입찰안.xls]_____xls_2251"/>
      <sheetName val="[입찰안.xls][입찰안.xls]_____xls_2252"/>
      <sheetName val="[입찰안.xls][입찰안.xls]_____xls_2253"/>
      <sheetName val="[입찰안.xls][입찰안.xls]_____xls_2254"/>
      <sheetName val="[입찰안.xls][입찰안.xls]_____xls_2258"/>
      <sheetName val="[입찰안.xls][입찰안.xls]_____xls_2259"/>
      <sheetName val="[입찰안.xls][입찰안.xls]_____xls_2260"/>
      <sheetName val="[입찰안.xls][입찰안.xls]_____xls_2261"/>
      <sheetName val="[입찰안.xls][입찰안.xls]_____xls_2262"/>
      <sheetName val="[입찰안.xls][입찰안.xls]_____xls_2263"/>
      <sheetName val="[입찰안.xls][입찰안.xls]_____xls_2264"/>
      <sheetName val="[입찰안.xls][입찰안.xls]_____xls_2272"/>
      <sheetName val="[입찰안.xls][입찰안.xls]_____xls_2269"/>
      <sheetName val="[입찰안.xls][입찰안.xls]_____xls_2270"/>
      <sheetName val="[입찰안.xls][입찰안.xls]_____xls_2276"/>
      <sheetName val="[입찰안.xls][입찰안.xls]_____xls_2274"/>
      <sheetName val="[입찰안.xls][입찰안.xls]_____xls_2280"/>
      <sheetName val="[입찰안.xls][입찰안.xls]_____xls_2277"/>
      <sheetName val="[입찰안.xls][입찰안.xls]_____xls_2278"/>
      <sheetName val="[입찰안.xls][입찰안.xls]_____xls_2279"/>
      <sheetName val="[입찰안.xls][입찰안.xls]_____xls_2281"/>
      <sheetName val="[입찰안.xls][입찰안.xls]_____xls_2286"/>
      <sheetName val="[입찰안.xls][입찰안.xls]_____xls_2285"/>
      <sheetName val="PSCbeam설계"/>
      <sheetName val="[입찰안.xls][입찰안.xls]_____xls_2287"/>
      <sheetName val="[입찰안.xls][입찰안.xls]_____xls_2282"/>
      <sheetName val="[입찰안.xls][입찰안.xls]_____xls_2283"/>
      <sheetName val="[입찰안.xls][입찰안.xls]_____xls_2284"/>
      <sheetName val="[입찰안.xls][입찰안.xls]_____xls_2289"/>
      <sheetName val="[입찰안.xls][입찰안.xls]_____xls_2288"/>
      <sheetName val="[입찰안.xls][입찰안.xls]_____xls_2293"/>
      <sheetName val="[입찰안.xls][입찰안.xls]_____xls_2292"/>
      <sheetName val="[입찰안.xls][입찰안.xls]_____xls_2290"/>
      <sheetName val="[입찰안.xls][입찰안.xls]_____xls_2291"/>
      <sheetName val="[입찰안.xls][입찰안.xls]_____xls_2294"/>
      <sheetName val="[입찰안.xls][입찰안.xls]_____xls_2295"/>
      <sheetName val="[입찰안.xls][입찰안.xls]_____xls_2296"/>
      <sheetName val="[입찰안.xls][입찰안.xls]_____xls_2297"/>
      <sheetName val="[입찰안.xls][입찰안.xls]_____xls_2299"/>
      <sheetName val="[입찰안.xls][입찰안.xls]_____xls_2301"/>
      <sheetName val="[입찰안.xls][입찰안.xls]_____xls_2302"/>
      <sheetName val="[입찰안.xls][입찰안.xls]_____xls_2298"/>
      <sheetName val="[입찰안.xls][입찰안.xls]_____xls_2300"/>
      <sheetName val="[입찰안.xls][입찰안.xls]_____xls_2304"/>
      <sheetName val="[입찰안.xls][입찰안.xls]_____xls_2303"/>
      <sheetName val="[입찰안.xls][입찰안.xls]_____xls_2313"/>
      <sheetName val="[입찰안.xls][입찰안.xls]_____xls_2306"/>
      <sheetName val="[입찰안.xls][입찰안.xls]_____xls_2305"/>
      <sheetName val="[입찰안.xls][입찰안.xls]_____xls_2307"/>
      <sheetName val="[입찰안.xls][입찰안.xls]_____xls_2309"/>
      <sheetName val="[입찰안.xls][입찰안.xls]_____xls_2308"/>
      <sheetName val="[입찰안.xls][입찰안.xls]_____xls_2310"/>
      <sheetName val="[입찰안.xls][입찰안.xls]_____xls_2311"/>
      <sheetName val="[입찰안.xls][입찰안.xls]_____xls_2312"/>
      <sheetName val="[입찰안.xls][입찰안.xls]_____xls_2314"/>
      <sheetName val="[입찰안.xls][입찰안.xls]_____xls_2318"/>
      <sheetName val="[입찰안.xls][입찰안.xls]_____xls_2320"/>
      <sheetName val="[입찰안.xls][입찰안.xls]_____xls_2322"/>
      <sheetName val="[입찰안.xls][입찰안.xls]_____xls_2319"/>
      <sheetName val="[입찰안.xls][입찰안.xls]_____xls_2321"/>
      <sheetName val="[입찰안.xls][입찰안.xls]_____xls_2323"/>
      <sheetName val="[입찰안.xls][입찰안.xls]_____xls_2324"/>
      <sheetName val="[입찰안.xls][입찰안.xls]_____xls_2325"/>
      <sheetName val="(A)내역서"/>
      <sheetName val="[입찰안.xls][입찰안.xls]_____xls_2326"/>
      <sheetName val="[입찰안.xls][입찰안.xls]_____xls_2327"/>
      <sheetName val="[입찰안.xls][입찰안.xls]_____xls_2328"/>
      <sheetName val="[입찰안.xls][입찰안.xls]_____xls_2329"/>
      <sheetName val="[입찰안.xls][입찰안.xls]_____xls_2330"/>
      <sheetName val="[입찰안.xls][입찰안.xls]_____xls_2335"/>
      <sheetName val="[입찰안.xls][입찰안.xls]_____xls_2332"/>
      <sheetName val="[입찰안.xls][입찰안.xls]_____xls_2333"/>
      <sheetName val="[입찰안.xls][입찰안.xls]_____xls_2334"/>
      <sheetName val="[입찰안.xls][입찰안.xls]_____xls_2339"/>
      <sheetName val="[입찰안.xls][입찰안.xls]_____xls_2345"/>
      <sheetName val="[입찰안.xls][입찰안.xls]_____xls_2341"/>
      <sheetName val="[입찰안.xls][입찰안.xls]_____xls_2347"/>
      <sheetName val="[입찰안.xls][입찰안.xls]_____xls_2342"/>
      <sheetName val="[입찰안.xls][입찰안.xls]_____xls_2343"/>
      <sheetName val="[입찰안.xls][입찰안.xls]_____xls_2344"/>
      <sheetName val="[입찰안.xls][입찰안.xls]_____xls_2346"/>
      <sheetName val="[입찰안.xls][입찰안.xls]_____xls_2349"/>
      <sheetName val="[입찰안.xls][입찰안.xls]_____xls_2356"/>
      <sheetName val="[입찰안.xls][입찰안.xls]_____xls_2355"/>
      <sheetName val="[입찰안.xls][입찰안.xls]_____xls_2348"/>
      <sheetName val="[입찰안.xls][입찰안.xls]_____xls_2350"/>
      <sheetName val="[입찰안.xls][입찰안.xls]_____xls_2351"/>
      <sheetName val="[입찰안.xls][입찰안.xls]_____xls_2352"/>
      <sheetName val="[입찰안.xls][입찰안.xls]_____xls_2353"/>
      <sheetName val="[입찰안.xls][입찰안.xls]_____xls_2354"/>
      <sheetName val="[입찰안.xls][입찰안.xls]_____xls_2357"/>
      <sheetName val="[입찰안.xls][입찰안.xls]_____xls_2359"/>
      <sheetName val="[입찰안.xls][입찰안.xls]_____xls_2360"/>
      <sheetName val="[입찰안.xls][입찰안.xls]_____xls_2358"/>
      <sheetName val="[입찰안.xls][입찰안.xls]_____xls_2361"/>
      <sheetName val="[입찰안.xls][입찰안.xls]_____xls_2362"/>
      <sheetName val="[입찰안.xls][입찰안.xls]_____xls_2363"/>
      <sheetName val="[입찰안.xls][입찰안.xls]_____xls_2365"/>
      <sheetName val="[입찰안.xls][입찰안.xls]_____xls_2366"/>
      <sheetName val="[입찰안.xls][입찰안.xls]_____xls_2364"/>
      <sheetName val="[입찰안.xls][입찰안.xls]_____xls_2367"/>
      <sheetName val="[입찰안.xls][입찰안.xls]_____xls_2368"/>
      <sheetName val="[입찰안.xls][입찰안.xls]_____xls_2369"/>
      <sheetName val="[입찰안.xls][입찰안.xls]_____xls_2370"/>
      <sheetName val="[입찰안.xls][입찰안.xls]_____xls_2373"/>
      <sheetName val="[입찰안.xls][입찰안.xls]_____xls_2372"/>
      <sheetName val="[입찰안.xls][입찰안.xls]_____xls_2371"/>
      <sheetName val="[입찰안.xls][입찰안.xls]_____xls_2374"/>
      <sheetName val="[입찰안.xls][입찰안.xls]_____xls_2377"/>
      <sheetName val="[입찰안.xls][입찰안.xls]_____xls_2376"/>
      <sheetName val="[입찰안.xls][입찰안.xls]_____xls_2378"/>
      <sheetName val="[입찰안.xls][입찰안.xls]_입_안_xls_1023"/>
      <sheetName val="[입찰안.xls][입찰안.xls]_입_안_xls_1024"/>
      <sheetName val="[입찰안.xls][입찰안.xls]_입찰안_xls_1010"/>
      <sheetName val="[입찰안.xls][입찰안.xls]_입_안_xls_1025"/>
      <sheetName val="[입찰안.xls][입찰안.xls]_입찰안_xls_1011"/>
      <sheetName val="[입찰안.xls][입찰안.xls]_입_안_xls_1028"/>
      <sheetName val="[입찰안.xls][입찰안.xls]_입_안_xls_1026"/>
      <sheetName val="[입찰안.xls][입찰안.xls]_입찰안_xls_1012"/>
      <sheetName val="[입찰안.xls][입찰안.xls]_입_안_xls_1027"/>
      <sheetName val="[입찰안.xls][입찰안.xls]_입_안_xls_1029"/>
      <sheetName val="[입찰안.xls][입찰안.xls]_입_안_xls_1030"/>
      <sheetName val="[입찰안.xls][입찰안.xls]_입_안_xls_1032"/>
      <sheetName val="[입찰안.xls][입찰안.xls]_입_안_xls_1031"/>
      <sheetName val="[입찰안.xls][입찰안.xls]_입찰안_xls_1014"/>
      <sheetName val="[입찰안.xls][입찰안.xls]_입_안_xls_1034"/>
      <sheetName val="[입찰안.xls][입찰안.xls]_입찰안_xls_1013"/>
      <sheetName val="[입찰안.xls][입찰안.xls]_입_안_xls_1033"/>
      <sheetName val="[입찰안.xls][입찰안.xls]_입찰안_xls_1015"/>
      <sheetName val="[입찰안.xls][입찰안.xls]_입찰안_xls_1016"/>
      <sheetName val="[입찰안.xls][입찰안.xls]_입_안_xls_1035"/>
      <sheetName val="[입찰안.xls][입찰안.xls]_입_안_xls_1036"/>
      <sheetName val="[입찰안.xls][입찰안.xls]_입찰안_xls_1020"/>
      <sheetName val="[입찰안.xls][입찰안.xls]_입찰안_xls_1017"/>
      <sheetName val="[입찰안.xls][입찰안.xls]_입찰안_xls_1018"/>
      <sheetName val="[입찰안.xls][입찰안.xls]_입찰안_xls_1019"/>
      <sheetName val="[입찰안.xls][입찰안.xls]_입찰안_xls_1021"/>
      <sheetName val="[입찰안.xls][입찰안.xls]_입_안_xls_1038"/>
      <sheetName val="[입찰안.xls][입찰안.xls]_입_안_xls_1037"/>
      <sheetName val="[입찰안.xls][입찰안.xls]_입찰안_xls_1022"/>
      <sheetName val="[입찰안.xls][입찰안.xls]_입찰안_xls_1023"/>
      <sheetName val="[입찰안.xls][입찰안.xls]_입찰안_xls_1024"/>
      <sheetName val="[입찰안.xls][입찰안.xls]_입찰안_xls_1025"/>
      <sheetName val="[입찰안.xls][입찰안.xls]_입_안_xls_1040"/>
      <sheetName val="[입찰안.xls][입찰안.xls]_입_안_xls_1048"/>
      <sheetName val="[입찰안.xls][입찰안.xls]_입_안_xls_1049"/>
      <sheetName val="[입찰안.xls][입찰안.xls]_입_안_xls_1039"/>
      <sheetName val="[입찰안.xls][입찰안.xls]_입_안_xls_1041"/>
      <sheetName val="[입찰안.xls][입찰안.xls]_입_안_xls_1042"/>
      <sheetName val="[입찰안.xls][입찰안.xls]_입_안_xls_1043"/>
      <sheetName val="[입찰안.xls][입찰안.xls]_입찰안_xls_1026"/>
      <sheetName val="[입찰안.xls][입찰안.xls]_입_안_xls_1044"/>
      <sheetName val="[입찰안.xls][입찰안.xls]_입_안_xls_1045"/>
      <sheetName val="[입찰안.xls][입찰안.xls]_입_안_xls_1046"/>
      <sheetName val="[입찰안.xls][입찰안.xls]_입_안_xls_1047"/>
      <sheetName val="[입찰안.xls][입찰안.xls]_입_안_xls_1052"/>
      <sheetName val="[입찰안.xls][입찰안.xls]_입찰안_xls_1028"/>
      <sheetName val="[입찰안.xls][입찰안.xls]_입찰안_xls_1027"/>
      <sheetName val="기초단가"/>
      <sheetName val="[입찰안.xls][입찰안.xls]__찰안_xls_1001"/>
      <sheetName val="_HIT__HM_x0000__x0000__x0005__x0000_᱀倨Ǖ_x0000__x0000__x0000_"/>
      <sheetName val="[입찰안.xls][입찰안.xls]_입_안_xls_1050"/>
      <sheetName val="[입찰안.xls][입찰안.xls]_입_안_xls_1051"/>
      <sheetName val="[입찰안.xls][입찰안.xls]_____xls_2375"/>
      <sheetName val="[입찰안.xls][입찰안.xls]_____xls_2379"/>
      <sheetName val="[입찰안.xls][입찰안.xls]_____xls_2380"/>
      <sheetName val="[입찰안.xls][입찰안.xls]_____xls_2381"/>
      <sheetName val="[입찰안.xls][입찰안.xls]_____xls_2382"/>
      <sheetName val="[입찰안.xls][입찰안.xls]_____xls_2386"/>
      <sheetName val="[입찰안.xls][입찰안.xls]_____xls_2384"/>
      <sheetName val="[입찰안.xls][입찰안.xls]_____xls_2387"/>
      <sheetName val="[입찰안.xls][입찰안.xls]_____xls_2383"/>
      <sheetName val="[입찰안.xls][입찰안.xls]_____xls_2385"/>
      <sheetName val="[입찰안.xls][입찰안.xls]_____xls_2388"/>
      <sheetName val="[입찰안.xls][입찰안.xls]_____xls_2389"/>
      <sheetName val="[입찰안.xls][입찰안.xls]_____xls_2390"/>
      <sheetName val="[입찰안.xls][입찰안.xls]_____xls_2391"/>
      <sheetName val="[입찰안.xls][입찰안.xls]_____xls_2393"/>
      <sheetName val="[입찰안.xls][입찰안.xls]_____xls_2392"/>
      <sheetName val="[입찰안.xls][입찰안.xls]_____xls_2396"/>
      <sheetName val="[입찰안.xls][입찰안.xls]_____xls_2394"/>
      <sheetName val="[입찰안.xls][입찰안.xls]_____xls_2395"/>
      <sheetName val="[입찰안.xls][입찰안.xls]_____xls_2397"/>
      <sheetName val="[입찰안.xls][입찰안.xls]_____xls_2398"/>
      <sheetName val="[입찰안.xls][입찰안.xls]_____xls_2401"/>
      <sheetName val="[입찰안.xls][입찰안.xls]_____xls_2400"/>
      <sheetName val="[입찰안.xls][입찰안.xls]_____xls_2403"/>
      <sheetName val="[입찰안.xls][입찰안.xls]_____xls_2402"/>
      <sheetName val="[입찰안.xls][입찰안.xls]_____xls_2404"/>
      <sheetName val="[입찰안.xls][입찰안.xls]_____xls_2405"/>
      <sheetName val="[입찰안.xls][입찰안.xls]_____xls_2407"/>
      <sheetName val="[입찰안.xls][입찰안.xls]_____xls_2406"/>
      <sheetName val="[입찰안.xls][입찰안.xls]_____xls_2408"/>
      <sheetName val="[입찰안.xls][입찰안.xls]_____xls_2409"/>
      <sheetName val="[입찰안.xls][입찰안.xls]_____xls_2410"/>
      <sheetName val="[입찰안.xls][입찰안.xls]_____xls_2412"/>
      <sheetName val="[입찰안.xls][입찰안.xls]_____xls_2411"/>
      <sheetName val="[입찰안.xls][입찰안.xls]_____xls_2413"/>
      <sheetName val="[입찰안.xls][입찰안.xls]_____xls_2415"/>
      <sheetName val="[입찰안.xls][입찰안.xls]_____xls_2418"/>
      <sheetName val="[입찰안.xls][입찰안.xls]_____xls_2414"/>
      <sheetName val="[입찰안.xls][입찰안.xls]_____xls_2416"/>
      <sheetName val="[입찰안.xls][입찰안.xls]_____xls_2417"/>
      <sheetName val="[입찰안.xls][입찰안.xls]_____xls_2421"/>
      <sheetName val="[입찰안.xls][입찰안.xls]_____xls_2419"/>
      <sheetName val="[입찰안.xls][입찰안.xls]_____xls_2420"/>
      <sheetName val="[입찰안.xls][입찰안.xls]_____xls_2424"/>
      <sheetName val="[입찰안.xls][입찰안.xls]_____xls_2422"/>
      <sheetName val="[입찰안.xls][입찰안.xls]_____xls_2423"/>
      <sheetName val="[입찰안.xls][입찰안.xls]_____xls_2426"/>
      <sheetName val="[입찰안.xls][입찰안.xls]_____xls_2427"/>
      <sheetName val="[입찰안.xls][입찰안.xls]_____xls_2428"/>
      <sheetName val="[입찰안.xls][입찰안.xls]_____xls_2429"/>
      <sheetName val="지질조사분석"/>
      <sheetName val="대비2"/>
      <sheetName val="SCE_LOG"/>
      <sheetName val="[입찰안.xls][입찰안.xls]_____xls_2430"/>
      <sheetName val="[입찰안.xls][입찰안.xls]_____xls_2442"/>
      <sheetName val="[입찰안.xls][입찰안.xls]_____xls_2432"/>
      <sheetName val="[입찰안.xls][입찰안.xls]_____xls_2431"/>
      <sheetName val="[입찰안.xls][입찰안.xls]_____xls_2433"/>
      <sheetName val="[입찰안.xls][입찰안.xls]_____xls_2434"/>
      <sheetName val="[입찰안.xls][입찰안.xls]_____xls_2435"/>
      <sheetName val="[입찰안.xls][입찰안.xls]_____xls_2436"/>
      <sheetName val="[입찰안.xls][입찰안.xls]_____xls_2437"/>
      <sheetName val="[입찰안.xls][입찰안.xls]_____xls_2438"/>
      <sheetName val="[입찰안.xls][입찰안.xls]_____xls_2439"/>
      <sheetName val="[입찰안.xls][입찰안.xls]_____xls_2440"/>
      <sheetName val="[입찰안.xls][입찰안.xls]_____xls_2441"/>
      <sheetName val="[입찰안.xls][입찰안.xls]_____xls_2443"/>
      <sheetName val="[입찰안.xls][입찰안.xls]_____xls_2444"/>
      <sheetName val="[입찰안.xls][입찰안.xls]_____xls_2448"/>
      <sheetName val="[입찰안.xls][입찰안.xls]_____xls_2445"/>
      <sheetName val="[입찰안.xls][입찰안.xls]_____xls_2446"/>
      <sheetName val="[입찰안.xls][입찰안.xls]_____xls_2447"/>
      <sheetName val="[입찰안.xls][입찰안.xls]_____xls_2450"/>
      <sheetName val="[입찰안.xls][입찰안.xls]_____xls_2449"/>
      <sheetName val="[입찰안.xls][입찰안.xls]_____xls_2451"/>
      <sheetName val="design_crit_x0000__x0000__x0005"/>
      <sheetName val="1,2,3,4_x0005__x0000__x0000__x"/>
      <sheetName val="소포내역_x0000__x0000__x0005__x0000"/>
      <sheetName val="working_load_at０ʵŚÃ堠ᴕ_x0000__x0"/>
      <sheetName val="plan&amp;section_of__x0000__x0000__"/>
      <sheetName val="pile_bearing_capa_&amp;_¬웰ﾕ쀀_x000"/>
      <sheetName val="수량산출서집계(_x0000__x0000__x0005__x"/>
      <sheetName val="ጵ_x0000__x0000_Ոጶ_x0000__x0000_"/>
      <sheetName val="ጲ_x0000__x0000_Ոፍ_x0000__x0000_"/>
      <sheetName val="ጳ_x0000__x0000_Ոጴ_x0000__x0000_"/>
      <sheetName val="ጳ_x0000__x0000_Ոጳ_x0000__x0000_"/>
      <sheetName val="ፋ_x0000__x0000_Ոፌ_x0000__x0000_"/>
      <sheetName val="ጴ_x0000__x0000_Ոጳ_x0000__x0000_"/>
      <sheetName val="ጿ_x0000__x0000_Ոጊ_x0000__x0000_"/>
      <sheetName val="ጱ_x0000__x0000_Ոጼ_x0000__x0000_"/>
      <sheetName val="ጷ_x0000__x0000_Ոጸ_x0000__x0000_"/>
      <sheetName val="ጿ_x0000__x0000_Ոጿ_x0000__x0000_"/>
      <sheetName val="ጵ_x0000__x0000_Ոፋ_x0000__x0000_"/>
      <sheetName val="ጻ_x0000__x0000_Ոጻ_x0000__x0000_"/>
      <sheetName val="ጴ_x0000__x0000_Ոጾ_x0000__x0000_"/>
      <sheetName val="ጶ_x0000__x0000_Ոጷ_x0000__x0000_"/>
      <sheetName val="ጊ_x0000__x0000_Ոጊ_x0000__x0000_"/>
      <sheetName val="ጸ_x0000__x0000_Ոጿ_x0000__x0000_"/>
      <sheetName val="ጴ_x0000__x0000_Ոጵ_x0000__x0000_"/>
      <sheetName val="ፍ_x0000__x0000_Ոጳ_x0000__x0000_"/>
      <sheetName val="ጊ_x0000__x0000_Ոጱ_x0000__x0000_"/>
      <sheetName val="ጱ_x0000__x0000_Ոጲ_x0000__x0000_"/>
      <sheetName val="ጴ_x0000__x0000_Ոፊ_x0000__x0000_"/>
      <sheetName val="ድ_x0000__x0000_Ոጳ_x0000__x0000_"/>
      <sheetName val="ፊ_x0000__x0000_Ոጵ_x0000__x0000_"/>
      <sheetName val="ፌ_x0000__x0000_Ոጿ_x0000__x0000_"/>
      <sheetName val="ጴ_x0000__x0000_Ոጴ_x0000__x0000_"/>
      <sheetName val="ጲ_x0000__x0000_Ոድ_x0000__x0000_"/>
      <sheetName val="일위대㐀븁_x005f_x0000__x005f_x0000_"/>
      <sheetName val="일위대_x005f_x0000__x005f_x0000_Ԁ_"/>
      <sheetName val="pile_bearing_ca怀꿟세_x0000_䘀뤙_x"/>
      <sheetName val="plan&amp;section_of勉_x0010__x0000__"/>
      <sheetName val="design_c_x0000__x0000_Ȑꙭî_x000"/>
      <sheetName val="_HIT__HMC_견_x0000__x0000__x0005"/>
      <sheetName val="정리계_x0000__x0000__x0005__x0000_"/>
      <sheetName val="plan&amp;section_of__x0000__x0000_Ā"/>
      <sheetName val="노원열병합___x0000__x0000__x0005__x0"/>
      <sheetName val="1,2,3,4_x005f_x0000__x000"/>
      <sheetName val="_HIT__HM_x0000__x0000__x0005__x"/>
      <sheetName val="수량산출서집²_x0000_㘀_x0000__x0000__x"/>
      <sheetName val="pile_bearing_capa_&amp;_¬_x0000_Ԁ_x"/>
      <sheetName val="plan&amp;section_of_fo뮽◽_x0000__x00"/>
      <sheetName val="plan&amp;section_of_fo_xd8e4_꼉_x00"/>
      <sheetName val="일위대¼_x0000__x0000__x0000__x0000"/>
      <sheetName val="[입찰안.xls][입찰안.xls]__찰안_xls_1002"/>
      <sheetName val="[입찰안.xls][입찰안.xls]_____xls_2455"/>
      <sheetName val="[입찰안.xls][입찰안.xls]_____xls_2452"/>
      <sheetName val="[입찰안.xls][입찰안.xls]_____xls_2453"/>
      <sheetName val="[입찰안.xls][입찰안.xls]_____xls_2454"/>
      <sheetName val="[입찰안.xls][입찰안.xls]_____xls_2457"/>
      <sheetName val="[입찰안.xls][입찰안.xls]_____xls_2456"/>
      <sheetName val="[입찰안.xls][입찰안.xls]_____xls_2458"/>
      <sheetName val="[입찰안.xls][입찰안.xls]_____xls_2459"/>
      <sheetName val="[입찰안.xls][입찰안.xls]_____xls_2460"/>
      <sheetName val="[입찰안.xls][입찰안.xls]_____xls_2476"/>
      <sheetName val="[입찰안.xls][입찰안.xls]_____xls_2474"/>
      <sheetName val="design_cꙭķ_x0000__x0000_㻰Ⅽ㿔"/>
      <sheetName val="[입찰안.xls][입찰안.xls]_____xls_2461"/>
      <sheetName val="[입찰안.xls][입찰안.xls]_____xls_2462"/>
      <sheetName val="[입찰안.xls][입찰안.xls]_____xls_2463"/>
      <sheetName val="[입찰안.xls][입찰안.xls]_____xls_2466"/>
      <sheetName val="[입찰안.xls][입찰안.xls]_____xls_2464"/>
      <sheetName val="[입찰안.xls][입찰안.xls]_____xls_2465"/>
      <sheetName val="[입찰안.xls][입찰안.xls]_____xls_2467"/>
      <sheetName val="[입찰안.xls][입찰안.xls]_____xls_2468"/>
      <sheetName val="[입찰안.xls][입찰안.xls]_____xls_2469"/>
      <sheetName val="[입찰안.xls][입찰안.xls]_____xls_2470"/>
      <sheetName val="[입찰안.xls][입찰안.xls]_____xls_2471"/>
      <sheetName val="[입찰안.xls][입찰안.xls]_____xls_2472"/>
      <sheetName val="[입찰안.xls][입찰안.xls]_____xls_2473"/>
      <sheetName val="[입찰안.xls][입찰안.xls]_____xls_2481"/>
      <sheetName val="[입찰안.xls][입찰안.xls]_____xls_2475"/>
      <sheetName val="공조기휀"/>
      <sheetName val="PAC(전자기기실)"/>
      <sheetName val="[입찰안.xls][입찰안.xls]_____xls_2477"/>
      <sheetName val="[입찰안.xls][입찰안.xls]_____xls_2478"/>
      <sheetName val="[입찰안.xls][입찰안.xls]_____xls_2479"/>
      <sheetName val="[입찰안.xls][입찰안.xls]_____xls_2480"/>
      <sheetName val="Du lieu"/>
      <sheetName val="건물"/>
      <sheetName val="수리결과"/>
      <sheetName val="B:\입찰안_xls1"/>
      <sheetName val="[입찰안_xls]B:\입찰안_xls1"/>
      <sheetName val="À_x0000__x0000__x0000__x0000__x0000__x0000__x0000__x0000_"/>
      <sheetName val="현금및현금등가물1"/>
      <sheetName val="1221"/>
      <sheetName val="가격표"/>
      <sheetName val="환율차"/>
      <sheetName val="[입찰안.xls][입찰안.xls][입찰안.xls]___9"/>
      <sheetName val="[입찰안.xls][입찰안_xls][입찰안_xls]___5"/>
      <sheetName val="[입찰안.xls][입찰안.xls][입찰안_xls]___4"/>
      <sheetName val="VAT_duoc_khau_tru1"/>
      <sheetName val="자산TOTAL"/>
      <sheetName val="Job Assign"/>
      <sheetName val="정미시간"/>
      <sheetName val="주민번호"/>
      <sheetName val="CAUDIT"/>
      <sheetName val="콤보박스와_리스트박스의_연결"/>
      <sheetName val="chiet_tinh"/>
      <sheetName val="남양시작동자105노65기1_3화1_2"/>
      <sheetName val="plan&amp;section_of_Ā翹조ꤟ"/>
      <sheetName val="노원열병합__츀ɮ"/>
      <sheetName val="Thoat_nuoc"/>
      <sheetName val="1__Dashboard"/>
      <sheetName val="PHU_LUC_01"/>
      <sheetName val="Đầu_vào"/>
      <sheetName val="Bill_02_INF"/>
      <sheetName val="7_"/>
      <sheetName val="6-1_Summary_Of_Cost"/>
      <sheetName val="6-2_In-Direct_Cost"/>
      <sheetName val="6-3_EQ_Cost"/>
      <sheetName val="6-4-1_MP_Status(107,125,12)"/>
      <sheetName val="6-4-2_MP_Status(144)"/>
      <sheetName val="6-5-1_EQ_Status(107,125,12)"/>
      <sheetName val="6-5-2_EQ_Status(144)"/>
      <sheetName val="6-6_Agree_Other&amp;Expanse_(Att_1)"/>
      <sheetName val="6-7_EQ_Apply"/>
      <sheetName val="MP_U107,125,12"/>
      <sheetName val="MP_U144"/>
      <sheetName val="EQ_U107,125,12"/>
      <sheetName val="EQ_U144"/>
      <sheetName val="Agrement_Day_W_Cost"/>
      <sheetName val="Agrement_Day_EQ_Cost"/>
      <sheetName val="Indirect_Cost"/>
      <sheetName val="MAIN_GATE_HOUSE"/>
      <sheetName val="worksheet_inchican"/>
      <sheetName val="combined_9-30"/>
      <sheetName val="CT_Thang_Mo"/>
      <sheetName val="Cst_Pkg-Eden"/>
      <sheetName val="Unt_rate_SS"/>
      <sheetName val="TONG_HOP_GIA_TRI"/>
      <sheetName val="CHITIET_VL-NC-TT_-1p"/>
      <sheetName val="CHITIET_VL-NC-TT-3p"/>
      <sheetName val="TONG_HOP_VL-NC_TT"/>
      <sheetName val="KPVC-BD_"/>
      <sheetName val="KLDT_DIEN"/>
      <sheetName val="전기혼잡제경비(45"/>
      <sheetName val="#2_노임단가"/>
      <sheetName val="원료비2(2000_10-09)"/>
      <sheetName val="노임단가(인쇄제외)"/>
      <sheetName val="자재목록"/>
      <sheetName val="DD EST."/>
      <sheetName val="단면A-A(TR)"/>
      <sheetName val="DG ke"/>
      <sheetName val="DTXL"/>
      <sheetName val="수정시산표"/>
      <sheetName val="CT35"/>
      <sheetName val="Calculations"/>
      <sheetName val="PSW_Sheet"/>
      <sheetName val="7.안전관㣸C"/>
      <sheetName val="기성금내역서"/>
      <sheetName val="집계장(뀀刡䠀減蠌渙"/>
      <sheetName val="[입찰안.xls][입찰안.xls]_____xls_2492"/>
      <sheetName val="[입찰안.xls][입찰안.xls]_____xls_2482"/>
      <sheetName val="[입찰안.xls][입찰안.xls]_____xls_2483"/>
      <sheetName val="[입찰안.xls][입찰안.xls]_____xls_2484"/>
      <sheetName val="[입찰안.xls][입찰안.xls]_____xls_2485"/>
      <sheetName val="[입찰안.xls][입찰안.xls]_____xls_2486"/>
      <sheetName val="[입찰안.xls][입찰안.xls]_____xls_2487"/>
      <sheetName val="[입찰안.xls][입찰안.xls]_____xls_2488"/>
      <sheetName val="[입찰안.xls][입찰안.xls]_____xls_2489"/>
      <sheetName val="[입찰안.xls][입찰안.xls]_____xls_2490"/>
      <sheetName val="[입찰안.xls][입찰안.xls]_____xls_2491"/>
      <sheetName val="[입찰안.xls][입찰안.xls]_____xls_2493"/>
      <sheetName val="FORM-0"/>
      <sheetName val="stability?䘢䠂檱䠛檳"/>
      <sheetName val="6__안전"/>
      <sheetName val="unitpric"/>
      <sheetName val="기성(1차)_9"/>
      <sheetName val="5호광장_(만점)12"/>
      <sheetName val="인천국제_(만점)_(2)12"/>
      <sheetName val="Total_단위경유량집계12"/>
      <sheetName val="앉음벽_(2)12"/>
      <sheetName val="BH-1_(2)12"/>
      <sheetName val="표__지12"/>
      <sheetName val="준검_내역서12"/>
      <sheetName val="토공유동표(전체_당초)12"/>
      <sheetName val="1_수인터널12"/>
      <sheetName val="4_전기12"/>
      <sheetName val="I_설계조건12"/>
      <sheetName val="노원열병합__건축공사기성내역서12"/>
      <sheetName val="1_설계조건12"/>
      <sheetName val="조도계산서_(도서)12"/>
      <sheetName val="_HIT__HMC_견적_3900_12"/>
      <sheetName val="7__현장관리비_12"/>
      <sheetName val="6__안전관리비12"/>
      <sheetName val="보고서_기기리스트11"/>
      <sheetName val="소포내역_(2)12"/>
      <sheetName val="unit_411"/>
      <sheetName val="plan&amp;section_of_foundation12"/>
      <sheetName val="pile_bearing_capa_&amp;_arrenge12"/>
      <sheetName val="working_load_at_the_btm_ft_12"/>
      <sheetName val="stability_check12"/>
      <sheetName val="design_criteria12"/>
      <sheetName val="내역_ver1_012"/>
      <sheetName val="11_산출(전열)12"/>
      <sheetName val="6_산출(동력)12"/>
      <sheetName val="7_산출(TRAY)12"/>
      <sheetName val="우수관매설및_우수받이12"/>
      <sheetName val="11_우각부_보강12"/>
      <sheetName val="제출내역_(2)12"/>
      <sheetName val="배수공_시멘트_및_골재량_산출11"/>
      <sheetName val="내___역11"/>
      <sheetName val="플랜트_설치11"/>
      <sheetName val="3련_BOX12"/>
      <sheetName val="2_1__노무비_평균단가산출11"/>
      <sheetName val="5_산출(전력)11"/>
      <sheetName val="A_견적11"/>
      <sheetName val="배수내역_(2)11"/>
      <sheetName val="수량산출서(전력간선_지하D_C)11"/>
      <sheetName val="Customer_Databas11"/>
      <sheetName val="개인별_순위표11"/>
      <sheetName val="投标材料清单_11"/>
      <sheetName val="spc_배관견적11"/>
      <sheetName val="_HIT-&gt;HMC_견적(3900)11"/>
      <sheetName val="1_취수장11"/>
      <sheetName val="Cash_Flow-111"/>
      <sheetName val="3_1공사현황_공정표11"/>
      <sheetName val="전_기11"/>
      <sheetName val="SHEET_PILE단가11"/>
      <sheetName val="화재_탐지_설비11"/>
      <sheetName val="2차전체변경예정_(2)11"/>
      <sheetName val="노임_단가11"/>
      <sheetName val="6PILE__(돌출)11"/>
      <sheetName val="내역서_11"/>
      <sheetName val="8_현장관리비11"/>
      <sheetName val="7_안전관리비11"/>
      <sheetName val="BH_1__2_11"/>
      <sheetName val="목차_11"/>
      <sheetName val="귀래_설계_공내역서11"/>
      <sheetName val="설_계11"/>
      <sheetName val="1_설계기준11"/>
      <sheetName val="집_계_표11"/>
      <sheetName val="세골재__T2_변경_현황11"/>
      <sheetName val="별표_11"/>
      <sheetName val="일위대가_10"/>
      <sheetName val="4_LINE10"/>
      <sheetName val="7_th10"/>
      <sheetName val="도담구내_개소별_명세11"/>
      <sheetName val="단___산10"/>
      <sheetName val="실____단10"/>
      <sheetName val="노무비_근거10"/>
      <sheetName val="암거_제원표10"/>
      <sheetName val="5_동별횡주관경10"/>
      <sheetName val="장비_(2)10"/>
      <sheetName val="참조_(2)10"/>
      <sheetName val="Sheet1_(2)10"/>
      <sheetName val="제수변_수량집계표(보통)10"/>
      <sheetName val="3BL공동구_수량10"/>
      <sheetName val="전선_및_전선관10"/>
      <sheetName val="내역서1999_8최종10"/>
      <sheetName val="기성(1차)_10"/>
      <sheetName val="_갑지10"/>
      <sheetName val="5F_계약단가"/>
      <sheetName val="5호광장_(만점)13"/>
      <sheetName val="인천국제_(만점)_(2)13"/>
      <sheetName val="Total_단위경유량집계13"/>
      <sheetName val="앉음벽_(2)13"/>
      <sheetName val="BH-1_(2)13"/>
      <sheetName val="표__지13"/>
      <sheetName val="준검_내역서13"/>
      <sheetName val="토공유동표(전체_당초)13"/>
      <sheetName val="1_수인터널13"/>
      <sheetName val="4_전기13"/>
      <sheetName val="I_설계조건13"/>
      <sheetName val="노원열병합__건축공사기성내역서13"/>
      <sheetName val="1_설계조건13"/>
      <sheetName val="조도계산서_(도서)13"/>
      <sheetName val="_HIT__HMC_견적_3900_13"/>
      <sheetName val="7__현장관리비_13"/>
      <sheetName val="6__안전관리비13"/>
      <sheetName val="보고서_기기리스트12"/>
      <sheetName val="소포내역_(2)13"/>
      <sheetName val="unit_412"/>
      <sheetName val="plan&amp;section_of_foundation13"/>
      <sheetName val="pile_bearing_capa_&amp;_arrenge13"/>
      <sheetName val="working_load_at_the_btm_ft_13"/>
      <sheetName val="stability_check13"/>
      <sheetName val="design_criteria13"/>
      <sheetName val="내역_ver1_013"/>
      <sheetName val="11_산출(전열)13"/>
      <sheetName val="6_산출(동력)13"/>
      <sheetName val="7_산출(TRAY)13"/>
      <sheetName val="우수관매설및_우수받이13"/>
      <sheetName val="11_우각부_보강13"/>
      <sheetName val="제출내역_(2)13"/>
      <sheetName val="배수공_시멘트_및_골재량_산출12"/>
      <sheetName val="내___역12"/>
      <sheetName val="플랜트_설치12"/>
      <sheetName val="3련_BOX13"/>
      <sheetName val="MSS_212"/>
      <sheetName val="2_1__노무비_평균단가산출12"/>
      <sheetName val="5_산출(전력)12"/>
      <sheetName val="A_견적12"/>
      <sheetName val="배수내역_(2)12"/>
      <sheetName val="수량산출서(전력간선_지하D_C)12"/>
      <sheetName val="Customer_Databas12"/>
      <sheetName val="개인별_순위표12"/>
      <sheetName val="投标材料清单_12"/>
      <sheetName val="spc_배관견적12"/>
      <sheetName val="_HIT-&gt;HMC_견적(3900)12"/>
      <sheetName val="1_취수장12"/>
      <sheetName val="Cash_Flow-112"/>
      <sheetName val="3_1공사현황_공정표12"/>
      <sheetName val="전_기12"/>
      <sheetName val="SHEET_PILE단가12"/>
      <sheetName val="화재_탐지_설비12"/>
      <sheetName val="2차전체변경예정_(2)12"/>
      <sheetName val="노임_단가12"/>
      <sheetName val="6PILE__(돌출)12"/>
      <sheetName val="내역서_12"/>
      <sheetName val="8_현장관리비12"/>
      <sheetName val="7_안전관리비12"/>
      <sheetName val="BH_1__2_12"/>
      <sheetName val="목차_12"/>
      <sheetName val="귀래_설계_공내역서12"/>
      <sheetName val="설_계12"/>
      <sheetName val="1_설계기준12"/>
      <sheetName val="집_계_표12"/>
      <sheetName val="세골재__T2_변경_현황12"/>
      <sheetName val="별표_12"/>
      <sheetName val="일위대가_11"/>
      <sheetName val="4_LINE11"/>
      <sheetName val="7_th11"/>
      <sheetName val="도담구내_개소별_명세12"/>
      <sheetName val="3_공통공사대비11"/>
      <sheetName val="단가_및_재료비11"/>
      <sheetName val="노임단가_(2)11"/>
      <sheetName val="단___산11"/>
      <sheetName val="실____단11"/>
      <sheetName val="7_공정표11"/>
      <sheetName val="단면_(2)11"/>
      <sheetName val="장비비_명세서111"/>
      <sheetName val="RETAIL_(ABOVE)11"/>
      <sheetName val="5__현장관리비(new)_11"/>
      <sheetName val="노무비_근거11"/>
      <sheetName val="암거_제원표11"/>
      <sheetName val="5_동별횡주관경11"/>
      <sheetName val="2_대외공문11"/>
      <sheetName val="장비_(2)11"/>
      <sheetName val="참조_(2)11"/>
      <sheetName val="Sheet1_(2)11"/>
      <sheetName val="제수변_수량집계표(보통)11"/>
      <sheetName val="Eq__Mobilization11"/>
      <sheetName val="3BL공동구_수량11"/>
      <sheetName val="전선_및_전선관11"/>
      <sheetName val="내역서1999_8최종11"/>
      <sheetName val="_갑지11"/>
      <sheetName val="기성(1차)_11"/>
      <sheetName val="[입찰안_xls]직접뀀鞖/3"/>
      <sheetName val="5F_계약단가1"/>
      <sheetName val="MAIN_GATE_HOUSE1"/>
      <sheetName val="PHU_LUC_011"/>
      <sheetName val="Đầu_vào1"/>
      <sheetName val="chiet_tinh1"/>
      <sheetName val="1__Dashboard1"/>
      <sheetName val="제조_경영"/>
      <sheetName val="Báo_cáo2"/>
      <sheetName val="Đơn_giá_theo_m2"/>
      <sheetName val="Bill_No_1_6"/>
      <sheetName val="Bill_No_1_10"/>
      <sheetName val="Bill_No_3_3"/>
      <sheetName val="Bill_No_1_4"/>
      <sheetName val="Bill_No_1_7"/>
      <sheetName val="Summary_Bill_No__3"/>
      <sheetName val="[입찰안.xls][입찰안.xls]_____xls_2547"/>
      <sheetName val="[입찰안.xls][입찰안.xls]_____xls_2542"/>
      <sheetName val="[입찰안.xls][입찰안.xls]_____xls_2548"/>
      <sheetName val="대가표(품셈)"/>
      <sheetName val="요약&amp;결과"/>
      <sheetName val="7내역"/>
      <sheetName val="결재탔"/>
      <sheetName val="[입찰안.xls][입찰안.xls]__찰안_xls_1003"/>
      <sheetName val="[입찰안.xls][입찰안.xls]__찰안_xls_1005"/>
      <sheetName val="[입찰안.xls][입찰안.xls]__찰안_xls_1004"/>
      <sheetName val="[입찰안.xls][입찰안.xls]_____xls_2527"/>
      <sheetName val="[입찰안.xls][입찰안.xls]_____xls_2526"/>
      <sheetName val="[입찰안.xls][입찰안.xls]_____xls_2530"/>
      <sheetName val="[입찰안.xls][입찰안.xls]_____xls_2506"/>
      <sheetName val="[입찰안.xls][입찰안.xls]_____xls_2505"/>
      <sheetName val="[입찰안.xls][입찰안.xls]_____xls_2507"/>
      <sheetName val="[입찰안.xls][입찰안.xls]_____xls_2502"/>
      <sheetName val="[입찰안.xls][입찰안.xls]_____xls_2504"/>
      <sheetName val="증감조서"/>
      <sheetName val="Main"/>
      <sheetName val="ENG_prog"/>
      <sheetName val="2선재"/>
      <sheetName val="Regenerator  Concrete Structure"/>
      <sheetName val="Ts&amp;Cs"/>
      <sheetName val="Variables"/>
      <sheetName val="대운산출"/>
      <sheetName val="공사비"/>
      <sheetName val="산출서양식01"/>
      <sheetName val="B__입찰안.xls"/>
      <sheetName val="_입찰안.xls_B__입찰안.xls"/>
      <sheetName val="_입찰안.xls__입찰안.xls_B__입찰안.xls"/>
      <sheetName val="_입찰안.xls__입찰안.xls__입찰안.xls__267"/>
      <sheetName val="_입찰안.xls__입찰안.xls__입찰안.xls__269"/>
      <sheetName val="_입찰안.xls__입찰안.xls__입찰안.xls__268"/>
      <sheetName val="_입찰안.xls__입찰안.xls__입찰안.xls__115"/>
      <sheetName val="_입찰안.xls__입찰안.xls__입찰안.xls__113"/>
      <sheetName val="_입찰안.xls__입찰안.xls__입찰안.xls__114"/>
      <sheetName val="_입찰안.xls__입찰안.xls__입찰안.xls__117"/>
      <sheetName val="_입찰안.xls__입찰안.xls__입찰안.xls__116"/>
      <sheetName val="_입찰안.xls__입찰안.xls__입찰안.xls__122"/>
      <sheetName val="_입찰안.xls__입찰안.xls__입찰안.xls__120"/>
      <sheetName val="_입찰안.xls__입찰안.xls__입찰안.xls__118"/>
      <sheetName val="_입찰안.xls__입찰안.xls__입찰안.xls__119"/>
      <sheetName val="_입찰안.xls__입찰안.xls__입찰안.xls__121"/>
      <sheetName val="_입찰안.xls__입찰안.xls__입찰안.xls__124"/>
      <sheetName val="_입찰안.xls__입찰안.xls__입찰안.xls__123"/>
      <sheetName val="_입찰안.xls__입찰안.xls__입찰안.xls__131"/>
      <sheetName val="_입찰안.xls__입찰안.xls__입찰안.xls__128"/>
      <sheetName val="_입찰안.xls__입찰안.xls__입찰안.xls__125"/>
      <sheetName val="_입찰안.xls__입찰안.xls__입찰안.xls__126"/>
      <sheetName val="_입찰안.xls__입찰안.xls__입찰안.xls__127"/>
      <sheetName val="_입찰안.xls__입찰안.xls__입찰안.xls__129"/>
      <sheetName val="_입찰안.xls__입찰안.xls__입찰안.xls__130"/>
      <sheetName val="_입찰안.xls__입찰안.xls__입찰안.xls__132"/>
      <sheetName val="_입찰안.xls__입찰안.xls__입찰안.xls__140"/>
      <sheetName val="_입찰안.xls__입찰안.xls__입찰안.xls__135"/>
      <sheetName val="_입찰안.xls__입찰안.xls__입찰안.xls__134"/>
      <sheetName val="_입찰안.xls__입찰안.xls__입찰안.xls__133"/>
      <sheetName val="_입찰안.xls__입찰안.xls__입찰안.xls__139"/>
      <sheetName val="_입찰안.xls__입찰안.xls__입찰안.xls__136"/>
      <sheetName val="_입찰안.xls__입찰안.xls__입찰안.xls__137"/>
      <sheetName val="_입찰안.xls__입찰안.xls__입찰안.xls__138"/>
      <sheetName val="_입찰안.xls__입찰안.xls__입찰안.xls__142"/>
      <sheetName val="_입찰안.xls__입찰안.xls__입찰안.xls__141"/>
      <sheetName val="_입찰안.xls__입찰안.xls__입찰안.xls__143"/>
      <sheetName val="_입찰안.xls__입찰안.xls__입찰안.xls__145"/>
      <sheetName val="_입찰안.xls__입찰안.xls__입찰안.xls__144"/>
      <sheetName val="_입찰안.xls__입찰안.xls__입찰안.xls__146"/>
      <sheetName val="_입찰안.xls__입찰안.xls__입찰안.xls__147"/>
      <sheetName val="_입찰안.xls__입찰안.xls__입찰안.xls__149"/>
      <sheetName val="_입찰안.xls__입찰안.xls__입찰안.xls__148"/>
      <sheetName val="_입찰안.xls__입찰안.xls__입찰안.xls__152"/>
      <sheetName val="_입찰안.xls__입찰안.xls__입찰안.xls__153"/>
      <sheetName val="_입찰안.xls__입찰안.xls__입찰안.xls__150"/>
      <sheetName val="_입찰안.xls__입찰안.xls__입찰안.xls__151"/>
      <sheetName val="_입찰안.xls__입찰안.xls__입찰안.xls__155"/>
      <sheetName val="_입찰안.xls__입찰안.xls__입찰안.xls__154"/>
      <sheetName val="_입찰안.xls__입찰안.xls__입찰안.xls__156"/>
      <sheetName val="_입찰안.xls__입찰안.xls__입찰안.xls__158"/>
      <sheetName val="_입찰안.xls__입찰안.xls__입찰안.xls__157"/>
      <sheetName val="_입찰안.xls__입찰안.xls__입찰안.xls__159"/>
      <sheetName val="_입찰안.xls__입찰안.xls__입찰안.xls__160"/>
      <sheetName val="_입찰안.xls__입찰안.xls__입찰안.xls__164"/>
      <sheetName val="_입찰안.xls__입찰안.xls__입찰안.xls__163"/>
      <sheetName val="_입찰안.xls__입찰안.xls__입찰안.xls__162"/>
      <sheetName val="_입찰안.xls__입찰안.xls__입찰안.xls__161"/>
      <sheetName val="_입찰안.xls__입찰안.xls__입찰안.xls____4"/>
      <sheetName val="_입찰안.xls__입찰안.xls__입찰안.xls__166"/>
      <sheetName val="_입찰안.xls__입찰안.xls__입찰안.xls__165"/>
      <sheetName val="_입찰안.xls__입찰안.xls__입찰안.xls__170"/>
      <sheetName val="_입찰안.xls__입찰안.xls__입찰안.xls__171"/>
      <sheetName val="_입찰안.xls__입찰안.xls__입찰안.xls__167"/>
      <sheetName val="_입찰안.xls__입찰안.xls__입찰안.xls__169"/>
      <sheetName val="_입찰안.xls__입찰안.xls__입찰안.xls__168"/>
      <sheetName val="_입찰안.xls__입찰안.xls__입찰안.xls__175"/>
      <sheetName val="_입찰안.xls__입찰안.xls__입찰안.xls__172"/>
      <sheetName val="_입찰안.xls__입찰안.xls__입찰안.xls__174"/>
      <sheetName val="_입찰안.xls__입찰안.xls__입찰안.xls__173"/>
      <sheetName val="_입찰안.xls__입찰안.xls__입찰안.xls__176"/>
      <sheetName val="_입찰안.xls__입찰안.xls__입찰안.xls__177"/>
      <sheetName val="_입찰안.xls__입찰안.xls__입찰안.xls__178"/>
      <sheetName val="_입찰안.xls__입찰안.xls__입찰안.xls__179"/>
      <sheetName val="_입찰안.xls__입찰안.xls__입찰안.xls__181"/>
      <sheetName val="_입찰안.xls__입찰안.xls__입찰안.xls__180"/>
      <sheetName val="_입찰안.xls__입찰안.xls__입찰안.xls__182"/>
      <sheetName val="_입찰안.xls__입찰안.xls__입찰안.xls__184"/>
      <sheetName val="_입찰안.xls__입찰안.xls__입찰안.xls__183"/>
      <sheetName val="_입찰안.xls__입찰안.xls__입찰안.xls__185"/>
      <sheetName val="_입찰안.xls__입찰안.xls__입찰안.xls__186"/>
      <sheetName val="_입찰안.xls__입찰안.xls__입찰안.xls__187"/>
      <sheetName val="_입찰안.xls__입찰안.xls__입찰안.xls__188"/>
      <sheetName val="_입찰안.xls__입찰안.xls__입찰안.xls__190"/>
      <sheetName val="_입찰안.xls__입찰안.xls__입찰안.xls__189"/>
      <sheetName val="_입찰안.xls__입찰안.xls__입찰안.xls__253"/>
      <sheetName val="_입찰안.xls__입찰안.xls__입찰안.xls__255"/>
      <sheetName val="_입찰안.xls__입찰안.xls__입찰안.xls__258"/>
      <sheetName val="_입찰안.xls__입찰안.xls__입찰안.xls__222"/>
      <sheetName val="_입찰안.xls__입찰안.xls__입찰안.xls__200"/>
      <sheetName val="_입찰안.xls__입찰안.xls__입찰안.xls__199"/>
      <sheetName val="_입찰안.xls__입찰안.xls__입찰안.xls__202"/>
      <sheetName val="_입찰안.xls__입찰안.xls__입찰안.xls__193"/>
      <sheetName val="_입찰안.xls__입찰안.xls__입찰안.xls__191"/>
      <sheetName val="_입찰안.xls__입찰안.xls__입찰안.xls__196"/>
      <sheetName val="_입찰안.xls__입찰안.xls__입찰안.xls__192"/>
      <sheetName val="_입찰안.xls__입찰안.xls__입찰안.xls__194"/>
      <sheetName val="_입찰안.xls__입찰안.xls__입찰안.xls__195"/>
      <sheetName val="_입찰안.xls__입찰안.xls__입찰안.xls__197"/>
      <sheetName val="_입찰안.xls__입찰안.xls__입찰안.xls__198"/>
      <sheetName val="_입찰안.xls__입찰안.xls__입찰안.xls__201"/>
      <sheetName val="_입찰안.xls__입찰안.xls__입찰안.xls__203"/>
      <sheetName val="_입찰안.xls__입찰안.xls__입찰안.xls__205"/>
      <sheetName val="_입찰안.xls__입찰안.xls__입찰안.xls__206"/>
      <sheetName val="_입찰안.xls__입찰안.xls__입찰안.xls__204"/>
      <sheetName val="_입찰안.xls__입찰안.xls__입찰안.xls__207"/>
      <sheetName val="_입찰안.xls__입찰안.xls__입찰안.xls__208"/>
      <sheetName val="_입찰안.xls__입찰안.xls__입찰안.xls__209"/>
      <sheetName val="_입찰안.xls__입찰안.xls__입찰안.xls__211"/>
      <sheetName val="_입찰안.xls__입찰안.xls__입찰안.xls__210"/>
      <sheetName val="_입찰안.xls__입찰안.xls__입찰안.xls__212"/>
      <sheetName val="_입찰안.xls__입찰안.xls__입찰안.xls__213"/>
      <sheetName val="_입찰안.xls__입찰안.xls__입찰안.xls__214"/>
      <sheetName val="_입찰안.xls__입찰안.xls__입찰안.xls__216"/>
      <sheetName val="_입찰안.xls__입찰안.xls__입찰안.xls__217"/>
      <sheetName val="_입찰안.xls__입찰안.xls__입찰안.xls__215"/>
      <sheetName val="_입찰안.xls__입찰안.xls__입찰안.xls__218"/>
      <sheetName val="_입찰안.xls__입찰안.xls__입찰안.xls__220"/>
      <sheetName val="_입찰안.xls__입찰안.xls__입찰안.xls__221"/>
      <sheetName val="_입찰안.xls__입찰안.xls__입찰안.xls__219"/>
      <sheetName val="_입찰안.xls__입찰안.xls__입찰안.xls__226"/>
      <sheetName val="_입찰안.xls__입찰안.xls__입찰안.xls__225"/>
      <sheetName val="_입찰안.xls__입찰안.xls__입찰안.xls__223"/>
      <sheetName val="_입찰안.xls__입찰안.xls__입찰안.xls__224"/>
      <sheetName val="_입찰안.xls__입찰안.xls__입찰안.xls__228"/>
      <sheetName val="_입찰안.xls__입찰안.xls__입찰안.xls__227"/>
      <sheetName val="_입찰안.xls__입찰안.xls__입찰안.xls__230"/>
      <sheetName val="_입찰안.xls__입찰안.xls__입찰안.xls__229"/>
      <sheetName val="_입찰안.xls__입찰안.xls__입찰안.xls__231"/>
      <sheetName val="_입찰안.xls__입찰안.xls__입찰안.xls__235"/>
      <sheetName val="_입찰안.xls__입찰안.xls__입찰안.xls__238"/>
      <sheetName val="_입찰안.xls__입찰안.xls__입찰안.xls__237"/>
      <sheetName val="_입찰안.xls__입찰안.xls__입찰안.xls__232"/>
      <sheetName val="_입찰안.xls__입찰안.xls__입찰안.xls__233"/>
      <sheetName val="_입찰안.xls__입찰안.xls__입찰안.xls__234"/>
      <sheetName val="_입찰안.xls__입찰안.xls__입찰안.xls__236"/>
      <sheetName val="_입찰안.xls__입찰안.xls__입찰안.xls__240"/>
      <sheetName val="_입찰안.xls__입찰안.xls__입찰안.xls__239"/>
      <sheetName val="_입찰안.xls__입찰안.xls__입찰안.xls__246"/>
      <sheetName val="_입찰안.xls__입찰안.xls__입찰안.xls__241"/>
      <sheetName val="_입찰안.xls__입찰안.xls__입찰안.xls__242"/>
      <sheetName val="_입찰안.xls__입찰안.xls__입찰안.xls__243"/>
      <sheetName val="_입찰안.xls__입찰안.xls__입찰안.xls__244"/>
      <sheetName val="_입찰안.xls__입찰안.xls__입찰안.xls__245"/>
      <sheetName val="_입찰안.xls__입찰안.xls__입찰안.xls__248"/>
      <sheetName val="_입찰안.xls__입찰안.xls__입찰안.xls__247"/>
      <sheetName val="_입찰안.xls__입찰안.xls__입찰안.xls__249"/>
      <sheetName val="_입찰안.xls__입찰안.xls__입찰안.xls__250"/>
      <sheetName val="_입찰안.xls__입찰안.xls__입찰안.xls__251"/>
      <sheetName val="_입찰안.xls__입찰안.xls__입찰안.xls__252"/>
      <sheetName val="_입찰안.xls__입찰안.xls__입찰안.xls__254"/>
      <sheetName val="_입찰안.xls__입찰안.xls__입찰안.xls__259"/>
      <sheetName val="_입찰안.xls__입찰안.xls__입찰안.xls__256"/>
      <sheetName val="_입찰안.xls__입찰안.xls__입찰안.xls__257"/>
      <sheetName val="_입찰안.xls__입찰안.xls__입찰안.xls__260"/>
      <sheetName val="_입찰안.xls__입찰안.xls__입찰안.xls__261"/>
      <sheetName val="_입찰안.xls__입찰안.xls__입찰안.xls__264"/>
      <sheetName val="_입찰안.xls__입찰안.xls__입찰안.xls__263"/>
      <sheetName val="_입찰안.xls__입찰안.xls__입찰안.xls__262"/>
      <sheetName val="_입찰안.xls__입찰안.xls__입찰안.xls__265"/>
      <sheetName val="_입찰안.xls__입찰안.xls__입찰안.xls__266"/>
      <sheetName val="_입찰안.xls__입찰안.xls__입찰안.xls__270"/>
      <sheetName val="_입찰안.xls__입찰안.xls__입찰안.xls__272"/>
      <sheetName val="_입찰안.xls__입찰안.xls__입찰안.xls__271"/>
      <sheetName val="_입찰안.xls__입찰안.xls__입찰안.xls__283"/>
      <sheetName val="_입찰안.xls__입찰안.xls__입찰안.xls__285"/>
      <sheetName val="_입찰안.xls__입찰안.xls__입찰안.xls__284"/>
      <sheetName val="_입찰안.xls__입찰안.xls__입찰안.xls__282"/>
      <sheetName val="_입찰안.xls__입찰안.xls__입찰안.xls__273"/>
      <sheetName val="_입찰안.xls__입찰안.xls__입찰안.xls__274"/>
      <sheetName val="_입찰안.xls__입찰안.xls__입찰안.xls__275"/>
      <sheetName val="_입찰안.xls__입찰안.xls__입찰안.xls__276"/>
      <sheetName val="_입찰안.xls__입찰안.xls__입찰안.xls__278"/>
      <sheetName val="_입찰안.xls__입찰안.xls__입찰안.xls____5"/>
      <sheetName val="_입찰안.xls__입찰안.xls__입찰안.xls__277"/>
      <sheetName val="_입찰안.xls__입찰안.xls__입찰안.xls__280"/>
      <sheetName val="_입찰안.xls__입찰안.xls__입찰안.xls__279"/>
      <sheetName val="_입찰안.xls__입찰안.xls__입찰안.xls__281"/>
      <sheetName val="_입찰안.xls__입찰안.xls__입찰안.xls__286"/>
      <sheetName val="_입찰안.xls__입찰안.xls__입찰안.xls__287"/>
      <sheetName val="_입찰안.xls__입찰안.xls__입찰안.xls__289"/>
      <sheetName val="_입찰안.xls__입찰안.xls__입찰안.xls__288"/>
      <sheetName val="_입찰안.xls__입찰안.xls__입찰안.xls__290"/>
      <sheetName val="_입찰안.xls__입찰안.xls__입찰안.xls____6"/>
      <sheetName val="_입찰안.xls__입찰안_xls_직접뀀鞖_"/>
      <sheetName val="_입찰안.xls__입찰안_xls__입찰안_xls____2"/>
      <sheetName val="_입찰안.xls__입찰안.xls__입찰안.xls__291"/>
      <sheetName val="_입찰안.xls__입찰안.xls__입찰안.xls__298"/>
      <sheetName val="_입찰안.xls__입찰안.xls__입찰안.xls__292"/>
      <sheetName val="_입찰안.xls__입찰안.xls__입찰안.xls__294"/>
      <sheetName val="_입찰안.xls__입찰안.xls__입찰안.xls__293"/>
      <sheetName val="_입찰안.xls__입찰안.xls__입찰안.xls__295"/>
      <sheetName val="_입찰안.xls__입찰안.xls__입찰안.xls__297"/>
      <sheetName val="_입찰안.xls__입찰안.xls__입찰안.xls__296"/>
      <sheetName val="_입찰안.xls__입찰안.xls__입찰안.xls__299"/>
      <sheetName val="_입찰안.xls____2"/>
      <sheetName val="_입찰안.xls____3"/>
      <sheetName val="_입찰안.xls_B__2"/>
      <sheetName val="_입찰안.xls_B__3"/>
      <sheetName val="_입찰안.xls__입찰안.xls__입찰안.xls__316"/>
      <sheetName val="_입찰안.xls__입찰안.xls__입찰안.xls__302"/>
      <sheetName val="_입찰안.xls__입찰안.xls__입찰안.xls__300"/>
      <sheetName val="_입찰안.xls__입찰안.xls__입찰안.xls__301"/>
      <sheetName val="_입찰안.xls__입찰안.xls__입찰안.xls__313"/>
      <sheetName val="_입찰안.xls__입찰안.xls__입찰안.xls__304"/>
      <sheetName val="_입찰안.xls__입찰안.xls__입찰안.xls__303"/>
      <sheetName val="_입찰안.xls__입찰안.xls__입찰안.xls__306"/>
      <sheetName val="_입찰안.xls__입찰안.xls__입찰안.xls__305"/>
      <sheetName val="_입찰안.xls__입찰안.xls__입찰안.xls__308"/>
      <sheetName val="_입찰안.xls__입찰안.xls__입찰안.xls__307"/>
      <sheetName val="_입찰안.xls__입찰안.xls__입찰안.xls__309"/>
      <sheetName val="_입찰안.xls__입찰안.xls__입찰안.xls__310"/>
      <sheetName val="_입찰안.xls__입찰안.xls__입찰안.xls__311"/>
      <sheetName val="_입찰안.xls__입찰안.xls__입찰안.xls__312"/>
      <sheetName val="_입찰안.xls__입찰안.xls__입찰안.xls__314"/>
      <sheetName val="_입찰안.xls__입찰안.xls__입찰안.xls__315"/>
      <sheetName val="_입찰안.xls__입찰안.xls__입찰안.xls__319"/>
      <sheetName val="_입찰안.xls__입찰안.xls__입찰안.xls__318"/>
      <sheetName val="_입찰안.xls__입찰안.xls__입찰안.xls__317"/>
      <sheetName val="_입찰안.xls__입찰안.xls__입찰안.xls__321"/>
      <sheetName val="_입찰안.xls__입찰안.xls__입찰안.xls__320"/>
      <sheetName val="_입찰안.xls__입찰안.xls__입찰안.xls__322"/>
      <sheetName val="_입찰안.xls__입찰안.xls__입찰안.xls__323"/>
      <sheetName val="_입찰안.xls__입찰안.xls__입찰안.xls__324"/>
      <sheetName val="_입찰안.xls__입찰안.xls__입찰안.xls__339"/>
      <sheetName val="_입찰안.xls__입찰안.xls__입찰안.xls__338"/>
      <sheetName val="_입찰안.xls__입찰안.xls__입찰안.xls__337"/>
      <sheetName val="_입찰안.xls__입찰안.xls__입찰안.xls__335"/>
      <sheetName val="_입찰안.xls__입찰안.xls__입찰안.xls__328"/>
      <sheetName val="_입찰안.xls__입찰안.xls__입찰안.xls__326"/>
      <sheetName val="_입찰안.xls__입찰안.xls__입찰안.xls__330"/>
      <sheetName val="_입찰안.xls__입찰안.xls__입찰안.xls__325"/>
      <sheetName val="_입찰안.xls__입찰안.xls__입찰안.xls__327"/>
      <sheetName val="_입찰안.xls__입찰안.xls__입찰안.xls__332"/>
      <sheetName val="_입찰안.xls__입찰안.xls__입찰안.xls__331"/>
      <sheetName val="_입찰안.xls__입찰안.xls__입찰안.xls__329"/>
      <sheetName val="_입찰안.xls__입찰안.xls__입찰안.xls__334"/>
      <sheetName val="_입찰안.xls__입찰안.xls__입찰안.xls__336"/>
      <sheetName val="_입찰안.xls__입찰안.xls__입찰안.xls__333"/>
      <sheetName val="_입찰안.xls__입찰안.xls__입찰안.xls__341"/>
      <sheetName val="_입찰안.xls__입찰안.xls__입찰안.xls__340"/>
      <sheetName val="_입찰안.xls__입찰안.xls__입찰안.xls__744"/>
      <sheetName val="_입찰안.xls__입찰안.xls__입찰안.xls__343"/>
      <sheetName val="_입찰안.xls__입찰안.xls__입찰안.xls__347"/>
      <sheetName val="_입찰안.xls__입찰안.xls__입찰안.xls__342"/>
      <sheetName val="_입찰안.xls__입찰안.xls__입찰안.xls__355"/>
      <sheetName val="_입찰안.xls__입찰안.xls__입찰안.xls__346"/>
      <sheetName val="_입찰안.xls__입찰안.xls__입찰안.xls__344"/>
      <sheetName val="_입찰안.xls__입찰안.xls__입찰안.xls__345"/>
      <sheetName val="_입찰안.xls__입찰안.xls__입찰안.xls__375"/>
      <sheetName val="_입찰안.xls__입찰안.xls__입찰안.xls__348"/>
      <sheetName val="_입찰안.xls__입찰안.xls__입찰안.xls__349"/>
      <sheetName val="_입찰안.xls__입찰안.xls__입찰안.xls__351"/>
      <sheetName val="_입찰안.xls__입찰안.xls__입찰안.xls__350"/>
      <sheetName val="_입찰안.xls__입찰안.xls__입찰안.xls__352"/>
      <sheetName val="_입찰안.xls__입찰안.xls__입찰안.xls__353"/>
      <sheetName val="_입찰안.xls__입찰안.xls__입찰안.xls__354"/>
      <sheetName val="_입찰안.xls__입찰안.xls__입찰안.xls__357"/>
      <sheetName val="_입찰안.xls__입찰안.xls__입찰안.xls__356"/>
      <sheetName val="_입찰안.xls__입찰안.xls__입찰안.xls__389"/>
      <sheetName val="_입찰안.xls__입찰안.xls__입찰안.xls__358"/>
      <sheetName val="_입찰안.xls__입찰안.xls__입찰안.xls__359"/>
      <sheetName val="_입찰안.xls__입찰안.xls__입찰안.xls__360"/>
      <sheetName val="_입찰안.xls__입찰안.xls__입찰안.xls__361"/>
      <sheetName val="_입찰안.xls__입찰안.xls__입찰안.xls__362"/>
      <sheetName val="_입찰안.xls__입찰안.xls__입찰안.xls__363"/>
      <sheetName val="_입찰안.xls__입찰안.xls__입찰안.xls__364"/>
      <sheetName val="_입찰안.xls__입찰안.xls__입찰안.xls__365"/>
      <sheetName val="_입찰안.xls__입찰안.xls__입찰안.xls__366"/>
      <sheetName val="_입찰안.xls__입찰안.xls__입찰안.xls__367"/>
      <sheetName val="_입찰안.xls__입찰안.xls__입찰안.xls__368"/>
      <sheetName val="_입찰안.xls__입찰안.xls__입찰안.xls__370"/>
      <sheetName val="_입찰안.xls__입찰안.xls__입찰안.xls__369"/>
      <sheetName val="_입찰안.xls__입찰안.xls__입찰안.xls__373"/>
      <sheetName val="_입찰안.xls__입찰안.xls__입찰안.xls__371"/>
      <sheetName val="_입찰안.xls__입찰안.xls__입찰안.xls__372"/>
      <sheetName val="_입찰안.xls__입찰안.xls__입찰안.xls__374"/>
      <sheetName val="_입찰안.xls__입찰안.xls__입찰안.xls__390"/>
      <sheetName val="_입찰안.xls__입찰안.xls__입찰안.xls__388"/>
      <sheetName val="_입찰안.xls__입찰안.xls__입찰안.xls__376"/>
      <sheetName val="_입찰안.xls__입찰안.xls__입찰안.xls__377"/>
      <sheetName val="_입찰안.xls__입찰안.xls__입찰안.xls__378"/>
      <sheetName val="_입찰안.xls__입찰안.xls__입찰안.xls__379"/>
      <sheetName val="_입찰안.xls__입찰안.xls__입찰안.xls__380"/>
      <sheetName val="_입찰안.xls__입찰안.xls__입찰안.xls__381"/>
      <sheetName val="_입찰안.xls__입찰안.xls__입찰안.xls__382"/>
      <sheetName val="_입찰안.xls__입찰안.xls__입찰안.xls__384"/>
      <sheetName val="_입찰안.xls__입찰안.xls__입찰안.xls__383"/>
      <sheetName val="_입찰안.xls__입찰안.xls__입찰안.xls__387"/>
      <sheetName val="_입찰안.xls__입찰안.xls__입찰안.xls__385"/>
      <sheetName val="_입찰안.xls__입찰안.xls__입찰안.xls__386"/>
      <sheetName val="_입찰안.xls__입찰안.xls__입찰안.xls__412"/>
      <sheetName val="_입찰안.xls__입찰안.xls__입찰안.xls__419"/>
      <sheetName val="_입찰안.xls__입찰안.xls__입찰안.xls__391"/>
      <sheetName val="_입찰안.xls__입찰안.xls__입찰안.xls__392"/>
      <sheetName val="_입찰안.xls__입찰안.xls__입찰안.xls__394"/>
      <sheetName val="_입찰안.xls__입찰안.xls__입찰안.xls__393"/>
      <sheetName val="_입찰안.xls__입찰안.xls__입찰안.xls__395"/>
      <sheetName val="_입찰안.xls__입찰안.xls__입찰안.xls__396"/>
      <sheetName val="_입찰안.xls__입찰안.xls__입찰안.xls__397"/>
      <sheetName val="_입찰안.xls__입찰안.xls__입찰안.xls__398"/>
      <sheetName val="_입찰안.xls__입찰안.xls__입찰안.xls__399"/>
      <sheetName val="_입찰안.xls__입찰안.xls__입찰안.xls__400"/>
      <sheetName val="_입찰안.xls__입찰안.xls__입찰안.xls__401"/>
      <sheetName val="_입찰안.xls__입찰안.xls__입찰안.xls__402"/>
      <sheetName val="_입찰안.xls__입찰안.xls__입찰안.xls__403"/>
      <sheetName val="_입찰안.xls__입찰안.xls__입찰안.xls__405"/>
      <sheetName val="_입찰안.xls__입찰안.xls__입찰안.xls__404"/>
      <sheetName val="_입찰안.xls__입찰안.xls__입찰안.xls__406"/>
      <sheetName val="_입찰안.xls__입찰안.xls__입찰안.xls__407"/>
      <sheetName val="_입찰안.xls__입찰안.xls__입찰안.xls__409"/>
      <sheetName val="_입찰안.xls__입찰안.xls__입찰안.xls__408"/>
      <sheetName val="_입찰안.xls__입찰안.xls__입찰안.xls__410"/>
      <sheetName val="_입찰안.xls__입찰안.xls__입찰안.xls__411"/>
      <sheetName val="_입찰안.xls__입찰안.xls__입찰안.xls__418"/>
      <sheetName val="_입찰안.xls__입찰안.xls__입찰안.xls__416"/>
      <sheetName val="_입찰안.xls__입찰안.xls__입찰안.xls__413"/>
      <sheetName val="_입찰안.xls__입찰안.xls__입찰안.xls__414"/>
      <sheetName val="_입찰안.xls__입찰안.xls__입찰안.xls__415"/>
      <sheetName val="_입찰안.xls__입찰안.xls__입찰안.xls__417"/>
      <sheetName val="_입찰안.xls__입찰안.xls__입찰안.xls__421"/>
      <sheetName val="_입찰안.xls__입찰안.xls__입찰안.xls__420"/>
      <sheetName val="_입찰안.xls__입찰안.xls__입찰안.xls__483"/>
      <sheetName val="_입찰안.xls__입찰안.xls__입찰안.xls__424"/>
      <sheetName val="_입찰안.xls__입찰안.xls__입찰안.xls__422"/>
      <sheetName val="_입찰안.xls__입찰안.xls__입찰안.xls__423"/>
      <sheetName val="_입찰안.xls__입찰안.xls__입찰안.xls__426"/>
      <sheetName val="_입찰안.xls__입찰안.xls__입찰안.xls__425"/>
      <sheetName val="_입찰안.xls__입찰안.xls__입찰안.xls__427"/>
      <sheetName val="_입찰안.xls__입찰안.xls__입찰안.xls__485"/>
      <sheetName val="_입찰안.xls__입찰안.xls__입찰안.xls__428"/>
      <sheetName val="_입찰안.xls__입찰안.xls__입찰안.xls__429"/>
      <sheetName val="_입찰안.xls__입찰안.xls__입찰안.xls__432"/>
      <sheetName val="_입찰안.xls__입찰안.xls__입찰안.xls__430"/>
      <sheetName val="_입찰안.xls__입찰안.xls__입찰안.xls__431"/>
      <sheetName val="_입찰안.xls__입찰안.xls__입찰안.xls__433"/>
      <sheetName val="_입찰안.xls__입찰안.xls__입찰안.xls__435"/>
      <sheetName val="_입찰안.xls__입찰안.xls__입찰안.xls__434"/>
      <sheetName val="_입찰안.xls__입찰안.xls__입찰안.xls__436"/>
      <sheetName val="_입찰안.xls__입찰안.xls__입찰안.xls__437"/>
      <sheetName val="_입찰안.xls__입찰안.xls__입찰안.xls__438"/>
      <sheetName val="_입찰안.xls__입찰안.xls__입찰안.xls__439"/>
      <sheetName val="_입찰안.xls__입찰안.xls__입찰안.xls__441"/>
      <sheetName val="_입찰안.xls__입찰안.xls__입찰안.xls__440"/>
      <sheetName val="_입찰안.xls__입찰안.xls__입찰안.xls__442"/>
      <sheetName val="_입찰안.xls__입찰안.xls__입찰안.xls__443"/>
      <sheetName val="_입찰안.xls__입찰안.xls__입찰안.xls__444"/>
      <sheetName val="_입찰안.xls__입찰안.xls__입찰안.xls__446"/>
      <sheetName val="_입찰안.xls__입찰안.xls__입찰안.xls__445"/>
      <sheetName val="_입찰안.xls__입찰안.xls__입찰안.xls__450"/>
      <sheetName val="_입찰안.xls__입찰안.xls__입찰안.xls__447"/>
      <sheetName val="_입찰안.xls__입찰안.xls__입찰안.xls__448"/>
      <sheetName val="_입찰안.xls__입찰안.xls__입찰안.xls__449"/>
      <sheetName val="_입찰안.xls__입찰안.xls__입찰안.xls__452"/>
      <sheetName val="_입찰안.xls__입찰안.xls__입찰안.xls__451"/>
      <sheetName val="_입찰안.xls__입찰안.xls__입찰안.xls__453"/>
      <sheetName val="_입찰안.xls__입찰안.xls__입찰안.xls__454"/>
      <sheetName val="_입찰안.xls__입찰안.xls__입찰안.xls__455"/>
      <sheetName val="_입찰안.xls__입찰안.xls__입찰안.xls__456"/>
      <sheetName val="_입찰안.xls__입찰안.xls__입찰안.xls__457"/>
      <sheetName val="_입찰안.xls__입찰안.xls__입찰안.xls__458"/>
      <sheetName val="_입찰안.xls__입찰안.xls__입찰안.xls__459"/>
      <sheetName val="_입찰안.xls__입찰안.xls__입찰안.xls__460"/>
      <sheetName val="_입찰안.xls__입찰안.xls__입찰안.xls__462"/>
      <sheetName val="_입찰안.xls__입찰안.xls__입찰안.xls__461"/>
      <sheetName val="_입찰안.xls__입찰안.xls__입찰안.xls__463"/>
      <sheetName val="_입찰안.xls__입찰안.xls__입찰안.xls__464"/>
      <sheetName val="_입찰안.xls__입찰안.xls__입찰안.xls__465"/>
      <sheetName val="_입찰안.xls__입찰안.xls__입찰안.xls__466"/>
      <sheetName val="_입찰안.xls__입찰안.xls__입찰안.xls__467"/>
      <sheetName val="_입찰안.xls__입찰안.xls__입찰안.xls__468"/>
      <sheetName val="_입찰안.xls__입찰안.xls__입찰안.xls__470"/>
      <sheetName val="_입찰안.xls__입찰안.xls__입찰안.xls__469"/>
      <sheetName val="_입찰안.xls__입찰안.xls__입찰안.xls__472"/>
      <sheetName val="_입찰안.xls__입찰안.xls__입찰안.xls__471"/>
      <sheetName val="_입찰안.xls__입찰안.xls__입찰안.xls__476"/>
      <sheetName val="_입찰안.xls__입찰안.xls__입찰안.xls__474"/>
      <sheetName val="_입찰안.xls__입찰안.xls__입찰안.xls__473"/>
      <sheetName val="_입찰안.xls__입찰안.xls__입찰안.xls__475"/>
      <sheetName val="_입찰안.xls__입찰안.xls__입찰안.xls__478"/>
      <sheetName val="_입찰안.xls__입찰안.xls__입찰안.xls__477"/>
      <sheetName val="_입찰안.xls__입찰안.xls__입찰안.xls__480"/>
      <sheetName val="_입찰안.xls__입찰안.xls__입찰안.xls__479"/>
      <sheetName val="_입찰안.xls__입찰안.xls__입찰안.xls__482"/>
      <sheetName val="_입찰안.xls__입찰안.xls__입찰안.xls__481"/>
      <sheetName val="_입찰안.xls__입찰안.xls__입찰안.xls__486"/>
      <sheetName val="_입찰안.xls__입찰안.xls__입찰안.xls__484"/>
      <sheetName val="_입찰안.xls__입찰안.xls__입찰안.xls__496"/>
      <sheetName val="_입찰안.xls__입찰안.xls__입찰안.xls__487"/>
      <sheetName val="_입찰안.xls__입찰안.xls__입찰안.xls__488"/>
      <sheetName val="_입찰안.xls__입찰안.xls__입찰안.xls__527"/>
      <sheetName val="_입찰안.xls__입찰안.xls__입찰안.xls__521"/>
      <sheetName val="_입찰안.xls__입찰안.xls__입찰안.xls__489"/>
      <sheetName val="_입찰안.xls__입찰안.xls__입찰안.xls__490"/>
      <sheetName val="_입찰안.xls__입찰안.xls__입찰안.xls__492"/>
      <sheetName val="_입찰안.xls__입찰안.xls__입찰안.xls__491"/>
      <sheetName val="_입찰안.xls__입찰안.xls__입찰안.xls__495"/>
      <sheetName val="_입찰안.xls__입찰안.xls__입찰안.xls__494"/>
      <sheetName val="_입찰안.xls__입찰안.xls__입찰안.xls__493"/>
      <sheetName val="_입찰안.xls__입찰안.xls__입찰안.xls__512"/>
      <sheetName val="_입찰안.xls__입찰안.xls__입찰안.xls__502"/>
      <sheetName val="_입찰안.xls__입찰안.xls__입찰안.xls__499"/>
      <sheetName val="_입찰안.xls__입찰안.xls__입찰안.xls__497"/>
      <sheetName val="_입찰안.xls__입찰안.xls__입찰안.xls__498"/>
      <sheetName val="_입찰안.xls__입찰안.xls__입찰안.xls__500"/>
      <sheetName val="_입찰안.xls__입찰안.xls__입찰안.xls__501"/>
      <sheetName val="_입찰안.xls__입찰안.xls__입찰안.xls__504"/>
      <sheetName val="_입찰안.xls__입찰안.xls__입찰안.xls__503"/>
      <sheetName val="_입찰안.xls__입찰안.xls__입찰안.xls__505"/>
      <sheetName val="_입찰안.xls__입찰안.xls__입찰안.xls__508"/>
      <sheetName val="_입찰안.xls__입찰안.xls__입찰안.xls__506"/>
      <sheetName val="_입찰안.xls__입찰안.xls__입찰안.xls__507"/>
      <sheetName val="_입찰안.xls__입찰안.xls__입찰안.xls__509"/>
      <sheetName val="_입찰안.xls__입찰안.xls__입찰안.xls__511"/>
      <sheetName val="_입찰안.xls__입찰안.xls__입찰안.xls__510"/>
      <sheetName val="_입찰안.xls__입찰안.xls__입찰안.xls__514"/>
      <sheetName val="_입찰안.xls__입찰안.xls__입찰안.xls__513"/>
      <sheetName val="_입찰안.xls__입찰안.xls__입찰안.xls__515"/>
      <sheetName val="_입찰안.xls__입찰안.xls__입찰안.xls__517"/>
      <sheetName val="_입찰안.xls__입찰안.xls__입찰안.xls__516"/>
      <sheetName val="_입찰안.xls__입찰안.xls__입찰안.xls__518"/>
      <sheetName val="_입찰안.xls__입찰안.xls__입찰안.xls__520"/>
      <sheetName val="_입찰안.xls__입찰안.xls__입찰안.xls__519"/>
      <sheetName val="_입찰안.xls__입찰안.xls__입찰안.xls__526"/>
      <sheetName val="_입찰안.xls__입찰안.xls__입찰안.xls__523"/>
      <sheetName val="_입찰안.xls__입찰안.xls__입찰안.xls__522"/>
      <sheetName val="_입찰안.xls__입찰안.xls__입찰안.xls__524"/>
      <sheetName val="_입찰안.xls__입찰안.xls__입찰안.xls__525"/>
      <sheetName val="_입찰안.xls__입찰안.xls__입찰안.xls__533"/>
      <sheetName val="_입찰안.xls__입찰안.xls__입찰안.xls__529"/>
      <sheetName val="_입찰안.xls__입찰안.xls__입찰안.xls__528"/>
      <sheetName val="_입찰안.xls__입찰안.xls__입찰안.xls__530"/>
      <sheetName val="_입찰안.xls__입찰안.xls__입찰안.xls__531"/>
      <sheetName val="_입찰안.xls__입찰안.xls__입찰안.xls__562"/>
      <sheetName val="_입찰안.xls__입찰안.xls__입찰안.xls__532"/>
      <sheetName val="_입찰안.xls__입찰안.xls__입찰안.xls__574"/>
      <sheetName val="_입찰안.xls__입찰안.xls__입찰안.xls__535"/>
      <sheetName val="_입찰안.xls__입찰안.xls__입찰안.xls__534"/>
      <sheetName val="_입찰안.xls__입찰안.xls__입찰안.xls__536"/>
      <sheetName val="_입찰안.xls__입찰안.xls__입찰안.xls__537"/>
      <sheetName val="_입찰안.xls__입찰안.xls__입찰안.xls__538"/>
      <sheetName val="_입찰안.xls__입찰안.xls__입찰안.xls__539"/>
      <sheetName val="_입찰안.xls__입찰안.xls__입찰안.xls__541"/>
      <sheetName val="_입찰안.xls__입찰안.xls__입찰안.xls__540"/>
      <sheetName val="_입찰안.xls__입찰안.xls__입찰안.xls__542"/>
      <sheetName val="_입찰안.xls__입찰안.xls__입찰안.xls__543"/>
      <sheetName val="_입찰안.xls__입찰안.xls__입찰안.xls__544"/>
      <sheetName val="_입찰안.xls__입찰안.xls__입찰안.xls__546"/>
      <sheetName val="_입찰안.xls__입찰안.xls__입찰안.xls__545"/>
      <sheetName val="_입찰안.xls__입찰안.xls__입찰안.xls__547"/>
      <sheetName val="_입찰안.xls__입찰안.xls__입찰안.xls__548"/>
      <sheetName val="_입찰안.xls__입찰안.xls__입찰안.xls__549"/>
      <sheetName val="_입찰안.xls__입찰안.xls__입찰안.xls__551"/>
      <sheetName val="_입찰안.xls__입찰안.xls__입찰안.xls__550"/>
      <sheetName val="_입찰안.xls__입찰안.xls__입찰안.xls__554"/>
      <sheetName val="_입찰안.xls__입찰안.xls__입찰안.xls__552"/>
      <sheetName val="_입찰안.xls__입찰안.xls__입찰안.xls__553"/>
      <sheetName val="_입찰안.xls__입찰안.xls__입찰안.xls__556"/>
      <sheetName val="_입찰안.xls__입찰안.xls__입찰안.xls__555"/>
      <sheetName val="_입찰안.xls__입찰안.xls__입찰안.xls__559"/>
      <sheetName val="_입찰안.xls__입찰안.xls__입찰안.xls__557"/>
      <sheetName val="_입찰안.xls__입찰안.xls__입찰안.xls__558"/>
      <sheetName val="_입찰안.xls__입찰안.xls__입찰안.xls__561"/>
      <sheetName val="_입찰안.xls__입찰안.xls__입찰안.xls__560"/>
      <sheetName val="_입찰안.xls__입찰안.xls__입찰안.xls__563"/>
      <sheetName val="_입찰안.xls__입찰안.xls__입찰안.xls__564"/>
      <sheetName val="_입찰안.xls__입찰안.xls__입찰안.xls__575"/>
      <sheetName val="_입찰안.xls__입찰안.xls__입찰안.xls__566"/>
      <sheetName val="_입찰안.xls__입찰안.xls__입찰안.xls__565"/>
      <sheetName val="_입찰안.xls__입찰안.xls__입찰안.xls__567"/>
      <sheetName val="_입찰안.xls__입찰안.xls__입찰안.xls__568"/>
      <sheetName val="_입찰안.xls__입찰안.xls__입찰안.xls__569"/>
      <sheetName val="_입찰안.xls__입찰안.xls__입찰안.xls__570"/>
      <sheetName val="_입찰안.xls__입찰안.xls__입찰안.xls__571"/>
      <sheetName val="_입찰안.xls__입찰안.xls__입찰안.xls__572"/>
      <sheetName val="_입찰안.xls__입찰안.xls__입찰안.xls__573"/>
      <sheetName val="_입찰안.xls__입찰안.xls__입찰안.xls__576"/>
      <sheetName val="_입찰안.xls__입찰안.xls__입찰안.xls__585"/>
      <sheetName val="_입찰안.xls__입찰안.xls__입찰안.xls__577"/>
      <sheetName val="_입찰안.xls__입찰안.xls__입찰안.xls__578"/>
      <sheetName val="_입찰안.xls__입찰안.xls__입찰안.xls__579"/>
      <sheetName val="_입찰안.xls__입찰안.xls__입찰안.xls__580"/>
      <sheetName val="_입찰안.xls__입찰안.xls__입찰안.xls__581"/>
      <sheetName val="_입찰안.xls__입찰안.xls__입찰안.xls__582"/>
      <sheetName val="_입찰안.xls__입찰안.xls__입찰안.xls__583"/>
      <sheetName val="_입찰안.xls__입찰안.xls__입찰안.xls__584"/>
      <sheetName val="_입찰안.xls__입찰안.xls__입찰안.xls__589"/>
      <sheetName val="_입찰안.xls__입찰안.xls__입찰안.xls__590"/>
      <sheetName val="_입찰안.xls__입찰안.xls__입찰안.xls__586"/>
      <sheetName val="_입찰안.xls__입찰안.xls__입찰안.xls__587"/>
      <sheetName val="_입찰안.xls__입찰안.xls__입찰안.xls__588"/>
      <sheetName val="_입찰안.xls__입찰안.xls__입찰안.xls__591"/>
      <sheetName val="_입찰안.xls__입찰안.xls__입찰안.xls__597"/>
      <sheetName val="_입찰안.xls__입찰안.xls__입찰안.xls__596"/>
      <sheetName val="_입찰안.xls__입찰안.xls__입찰안.xls__593"/>
      <sheetName val="_입찰안.xls__입찰안.xls__입찰안.xls__592"/>
      <sheetName val="_입찰안.xls__입찰안.xls__입찰안.xls__594"/>
      <sheetName val="_입찰안.xls__입찰안.xls__입찰안.xls__595"/>
      <sheetName val="_입찰안.xls__입찰안.xls__입찰안.xls__614"/>
      <sheetName val="_입찰안.xls__입찰안.xls__입찰안.xls__598"/>
      <sheetName val="_입찰안.xls__입찰안.xls__입찰안.xls__599"/>
      <sheetName val="_입찰안.xls__입찰안.xls__입찰안.xls__600"/>
      <sheetName val="_입찰안.xls__입찰안.xls__입찰안.xls__628"/>
      <sheetName val="_입찰안.xls__입찰안.xls__입찰안.xls__601"/>
      <sheetName val="_입찰안.xls__입찰안.xls__입찰안.xls__602"/>
      <sheetName val="_입찰안.xls__입찰안.xls__입찰안.xls__606"/>
      <sheetName val="_입찰안.xls__입찰안.xls__입찰안.xls__603"/>
      <sheetName val="_입찰안.xls__입찰안.xls__입찰안.xls__604"/>
      <sheetName val="_입찰안.xls__입찰안.xls__입찰안.xls__605"/>
      <sheetName val="_입찰안.xls__입찰안.xls__입찰안.xls__607"/>
      <sheetName val="_입찰안.xls__입찰안.xls__입찰안.xls__608"/>
      <sheetName val="_입찰안.xls__입찰안.xls__입찰안.xls__609"/>
      <sheetName val="_입찰안.xls__입찰안.xls__입찰안.xls__610"/>
      <sheetName val="_입찰안.xls__입찰안.xls__입찰안.xls__613"/>
      <sheetName val="_입찰안.xls__입찰안.xls__입찰안.xls__611"/>
      <sheetName val="_입찰안.xls__입찰안.xls__입찰안.xls__612"/>
      <sheetName val="_입찰안.xls__입찰안.xls__입찰안.xls__615"/>
      <sheetName val="_입찰안.xls__입찰안.xls__입찰안.xls__616"/>
      <sheetName val="_입찰안.xls__입찰안.xls__입찰안.xls__617"/>
      <sheetName val="_입찰안.xls__입찰안.xls__입찰안.xls__618"/>
      <sheetName val="_입찰안.xls__입찰안.xls__입찰안.xls__619"/>
      <sheetName val="_입찰안.xls__입찰안.xls__입찰안.xls__620"/>
      <sheetName val="_입찰안.xls__입찰안.xls__입찰안.xls__621"/>
      <sheetName val="_입찰안.xls__입찰안.xls__입찰안.xls__622"/>
      <sheetName val="_입찰안.xls__입찰안.xls__입찰안.xls__623"/>
      <sheetName val="_입찰안.xls__입찰안.xls__입찰안.xls__624"/>
      <sheetName val="_입찰안.xls__입찰안.xls__입찰안.xls__625"/>
      <sheetName val="_입찰안.xls__입찰안.xls__입찰안.xls__626"/>
      <sheetName val="_입찰안.xls__입찰안.xls__입찰안.xls__627"/>
      <sheetName val="_입찰안.xls__입찰안.xls__입찰안.xls__635"/>
      <sheetName val="_입찰안.xls__입찰안.xls__입찰안.xls__629"/>
      <sheetName val="_입찰안.xls__입찰안.xls__입찰안.xls__630"/>
      <sheetName val="_입찰안.xls__입찰안.xls__입찰안.xls__631"/>
      <sheetName val="_입찰안.xls__입찰안.xls__입찰안.xls__632"/>
      <sheetName val="_입찰안.xls__입찰안.xls__입찰안.xls__633"/>
      <sheetName val="_입찰안.xls__입찰안.xls__입찰안.xls__634"/>
      <sheetName val="_입찰안.xls__입찰안.xls__입찰안.xls__639"/>
      <sheetName val="_입찰안.xls__입찰안.xls__입찰안.xls__636"/>
      <sheetName val="_입찰안.xls__입찰안.xls__입찰안.xls__638"/>
      <sheetName val="_입찰안.xls__입찰안.xls__입찰안.xls__637"/>
      <sheetName val="_입찰안.xls__입찰안.xls__입찰안.xls__640"/>
      <sheetName val="_입찰안.xls__입찰안.xls__입찰안.xls__641"/>
      <sheetName val="_입찰안.xls__입찰안.xls__입찰안.xls__644"/>
      <sheetName val="_입찰안.xls__입찰안.xls__입찰안.xls__642"/>
      <sheetName val="_입찰안.xls__입찰안.xls__입찰안.xls__643"/>
      <sheetName val="_입찰안.xls__입찰안.xls__입찰안.xls__647"/>
      <sheetName val="_입찰안.xls__입찰안.xls__입찰안.xls__645"/>
      <sheetName val="_입찰안.xls__입찰안.xls__입찰안.xls__646"/>
      <sheetName val="_입찰안.xls__입찰안.xls__입찰안.xls__667"/>
      <sheetName val="_입찰안.xls__입찰안.xls__입찰안.xls__651"/>
      <sheetName val="_입찰안.xls__입찰안.xls__입찰안.xls__649"/>
      <sheetName val="_입찰안.xls__입찰안.xls__입찰안.xls__648"/>
      <sheetName val="_입찰안.xls__입찰안.xls__입찰안.xls__650"/>
      <sheetName val="_입찰안.xls__입찰안.xls__입찰안.xls__652"/>
      <sheetName val="_입찰안.xls__입찰안.xls__입찰안.xls__654"/>
      <sheetName val="_입찰안.xls__입찰안.xls__입찰안.xls__653"/>
      <sheetName val="_입찰안.xls__입찰안.xls__입찰안.xls__672"/>
      <sheetName val="_입찰안.xls__입찰안.xls__입찰안.xls__655"/>
      <sheetName val="_입찰안.xls__입찰안.xls__입찰안.xls__656"/>
      <sheetName val="_입찰안.xls__입찰안.xls__입찰안.xls__657"/>
      <sheetName val="_입찰안.xls__입찰안.xls__입찰안.xls__658"/>
      <sheetName val="_입찰안.xls__입찰안.xls__입찰안.xls__660"/>
      <sheetName val="_입찰안.xls__입찰안.xls__입찰안.xls__659"/>
      <sheetName val="_입찰안.xls__입찰안.xls__입찰안.xls__661"/>
      <sheetName val="_입찰안.xls__입찰안.xls__입찰안.xls__662"/>
      <sheetName val="_입찰안.xls__입찰안.xls__입찰안.xls__663"/>
      <sheetName val="_입찰안.xls__입찰안.xls__입찰안.xls__664"/>
      <sheetName val="_입찰안.xls__입찰안.xls__입찰안.xls__666"/>
      <sheetName val="_입찰안.xls__입찰안.xls__입찰안.xls__665"/>
      <sheetName val="_입찰안.xls__입찰안.xls__입찰안.xls__684"/>
      <sheetName val="_입찰안.xls__입찰안.xls__입찰안.xls__668"/>
      <sheetName val="_입찰안.xls__입찰안.xls__입찰안.xls__669"/>
      <sheetName val="_입찰안.xls__입찰안.xls__입찰안.xls__670"/>
      <sheetName val="_입찰안.xls__입찰안.xls__입찰안.xls__671"/>
      <sheetName val="_입찰안.xls__입찰안.xls__입찰안.xls__674"/>
      <sheetName val="_입찰안.xls__입찰안.xls__입찰안.xls__673"/>
      <sheetName val="_입찰안.xls__입찰안.xls__입찰안.xls__675"/>
      <sheetName val="_입찰안.xls__입찰안.xls__입찰안.xls__693"/>
      <sheetName val="_입찰안.xls__입찰안.xls__입찰안.xls__676"/>
      <sheetName val="_입찰안.xls__입찰안.xls__입찰안.xls__678"/>
      <sheetName val="_입찰안.xls__입찰안.xls__입찰안.xls__677"/>
      <sheetName val="_입찰안.xls__입찰안.xls__입찰안.xls__679"/>
      <sheetName val="_입찰안.xls__입찰안.xls__입찰안.xls__680"/>
      <sheetName val="_입찰안.xls__입찰안.xls__입찰안.xls__681"/>
      <sheetName val="_입찰안.xls__입찰안.xls__입찰안.xls__682"/>
      <sheetName val="_입찰안.xls__입찰안.xls__입찰안.xls__683"/>
      <sheetName val="_입찰안.xls__입찰안.xls__입찰안.xls__685"/>
      <sheetName val="_입찰안.xls__입찰안.xls__입찰안.xls__686"/>
      <sheetName val="_입찰안.xls__입찰안.xls__입찰안.xls__687"/>
      <sheetName val="_입찰안.xls__입찰안.xls__입찰안.xls__688"/>
      <sheetName val="_입찰안.xls__입찰안.xls__입찰안.xls__692"/>
      <sheetName val="_입찰안.xls__입찰안.xls__입찰안.xls__689"/>
      <sheetName val="_입찰안.xls__입찰안.xls__입찰안.xls__690"/>
      <sheetName val="_입찰안.xls__입찰안.xls__입찰안.xls__691"/>
      <sheetName val="_입찰안.xls__입찰안.xls__입찰안.xls__699"/>
      <sheetName val="_입찰안.xls__입찰안.xls__입찰안.xls__694"/>
      <sheetName val="_입찰안.xls__입찰안.xls__입찰안.xls__695"/>
      <sheetName val="_입찰안.xls__입찰안.xls__입찰안.xls__698"/>
      <sheetName val="_입찰안.xls__입찰안.xls__입찰안.xls__696"/>
      <sheetName val="_입찰안.xls__입찰안.xls__입찰안.xls__697"/>
      <sheetName val="_입찰안.xls__입찰안.xls__입찰안.xls__718"/>
      <sheetName val="_입찰안.xls__입찰안.xls__입찰안.xls__704"/>
      <sheetName val="_입찰안.xls__입찰안.xls__입찰안.xls__700"/>
      <sheetName val="_입찰안.xls__입찰안.xls__입찰안.xls__701"/>
      <sheetName val="_입찰안.xls__입찰안.xls__입찰안.xls__702"/>
      <sheetName val="_입찰안.xls__입찰안.xls__입찰안.xls__703"/>
      <sheetName val="_입찰안.xls__입찰안.xls__입찰안.xls__705"/>
      <sheetName val="_입찰안.xls__입찰안.xls__입찰안.xls__706"/>
      <sheetName val="_입찰안.xls__입찰안.xls__입찰안.xls__707"/>
      <sheetName val="_입찰안.xls__입찰안.xls__입찰안.xls__708"/>
      <sheetName val="_입찰안.xls__입찰안.xls__입찰안.xls__728"/>
      <sheetName val="_입찰안.xls__입찰안.xls__입찰안.xls__710"/>
      <sheetName val="_입찰안.xls__입찰안.xls__입찰안.xls__709"/>
      <sheetName val="_입찰안.xls__입찰안.xls__입찰안.xls__711"/>
      <sheetName val="_입찰안.xls__입찰안.xls__입찰안.xls__712"/>
      <sheetName val="_입찰안.xls__입찰안.xls__입찰안.xls__713"/>
      <sheetName val="_입찰안.xls__입찰안.xls__입찰안.xls__715"/>
      <sheetName val="_입찰안.xls__입찰안.xls__입찰안.xls__714"/>
      <sheetName val="_입찰안.xls__입찰안.xls__입찰안.xls__716"/>
      <sheetName val="_입찰안.xls__입찰안.xls__입찰안.xls__717"/>
      <sheetName val="_입찰안.xls__입찰안.xls__입찰안.xls__720"/>
      <sheetName val="_입찰안.xls__입찰안.xls__입찰안.xls__719"/>
      <sheetName val="_입찰안.xls__입찰안.xls__입찰안.xls__721"/>
      <sheetName val="_입찰안.xls__입찰안.xls__입찰안.xls__722"/>
      <sheetName val="_입찰안.xls__입찰안.xls__입찰안.xls__723"/>
      <sheetName val="_입찰안.xls__입찰안.xls__입찰안.xls__724"/>
      <sheetName val="_입찰안.xls__입찰안.xls__입찰안.xls__725"/>
      <sheetName val="_입찰안.xls__입찰안.xls__입찰안.xls__726"/>
      <sheetName val="_입찰안.xls__입찰안.xls__입찰안.xls__727"/>
      <sheetName val="_입찰안.xls__입찰안.xls__입찰안.xls__729"/>
      <sheetName val="_입찰안.xls__입찰안.xls__입찰안.xls__730"/>
      <sheetName val="_입찰안.xls__입찰안.xls__입찰안.xls__732"/>
      <sheetName val="_입찰안.xls__입찰안.xls__입찰안.xls__731"/>
      <sheetName val="_입찰안.xls__입찰안.xls__입찰안.xls__739"/>
      <sheetName val="_입찰안.xls__입찰안.xls__입찰안.xls__733"/>
      <sheetName val="_입찰안.xls__입찰안.xls__입찰안.xls__734"/>
      <sheetName val="_입찰안.xls__입찰안.xls__입찰안.xls__735"/>
      <sheetName val="_입찰안.xls__입찰안.xls__입찰안.xls__736"/>
      <sheetName val="_입찰안.xls__입찰안.xls__입찰안.xls__737"/>
      <sheetName val="_입찰안.xls__입찰안.xls__입찰안.xls__738"/>
      <sheetName val="_입찰안.xls__입찰안.xls__입찰안.xls__743"/>
      <sheetName val="_입찰안.xls__입찰안.xls__입찰안.xls__740"/>
      <sheetName val="_입찰안.xls__입찰안.xls__입찰안.xls__741"/>
      <sheetName val="_입찰안.xls__입찰안.xls__입찰안.xls__742"/>
      <sheetName val="_입찰안.xls__입찰안.xls__입찰안.xls____7"/>
      <sheetName val="_입찰안.xls__입찰안_xls__입찰안_xls____3"/>
      <sheetName val="_입찰안.xls__입찰안.xls__입찰안_xls____2"/>
      <sheetName val="_입찰안.xls__입찰안.xls__입찰안.xls____8"/>
      <sheetName val="_입찰안.xls__입찰안_xls__입찰안_xls____4"/>
      <sheetName val="_입찰안.xls__입찰안.xls__입찰안_xls____3"/>
      <sheetName val="_입찰안.xls__입찰안.xls__입찰안.xls__752"/>
      <sheetName val="_입찰안.xls__입찰안.xls__입찰안.xls__749"/>
      <sheetName val="_입찰안.xls__입찰안.xls__입찰안.xls__745"/>
      <sheetName val="_입찰안.xls__입찰안.xls__입찰안.xls__746"/>
      <sheetName val="_입찰안.xls__입찰안.xls__입찰안.xls__747"/>
      <sheetName val="_입찰안.xls__입찰안.xls__입찰안.xls__748"/>
      <sheetName val="_입찰안.xls__입찰안.xls__입찰안.xls__750"/>
      <sheetName val="_입찰안.xls__입찰안.xls__입찰안.xls__751"/>
      <sheetName val="_입찰안.xls__입찰안.xls__입찰안.xls__754"/>
      <sheetName val="_입찰안.xls__입찰안.xls__입찰안.xls__753"/>
      <sheetName val="_입찰안.xls__입찰안.xls__입찰안.xls__755"/>
      <sheetName val="_입찰안.xls__입찰안.xls__입찰안.xls__759"/>
      <sheetName val="_입찰안.xls__입찰안.xls__입찰안.xls__756"/>
      <sheetName val="_입찰안.xls__입찰안.xls__입찰안.xls__762"/>
      <sheetName val="_입찰안.xls__입찰안.xls__입찰안.xls__757"/>
      <sheetName val="_입찰안.xls__입찰안.xls__입찰안.xls__758"/>
      <sheetName val="_입찰안.xls__입찰안.xls__입찰안.xls__760"/>
      <sheetName val="_입찰안.xls__입찰안.xls__입찰안.xls__761"/>
      <sheetName val="_입찰안.xls__입찰안.xls__입찰안.xls__763"/>
      <sheetName val="_입찰안.xls__입찰안.xls__입찰안.xls__765"/>
      <sheetName val="_입찰안.xls__입찰안.xls__입찰안.xls__764"/>
      <sheetName val="_입찰안_xls__입찰안_xls__입찰안_xls_B_30"/>
      <sheetName val="_입찰안_xls__입찰안_xls__입찰안_xls_B_46"/>
      <sheetName val="_입찰안_xls__입찰안_xls__입찰안_xls_B_45"/>
      <sheetName val="_입찰안_xls__입찰안_xls__입찰안_xls_B_44"/>
      <sheetName val="_입찰안_xls__입찰안_xls__입찰안_xls_B_33"/>
      <sheetName val="_입찰안_xls__입찰안_xls__입찰안_xls_B_31"/>
      <sheetName val="_입찰안_xls__입찰안_xls__입찰안_xls_B_32"/>
      <sheetName val="_입찰안_xls__입찰안_xls__입찰안_xls_B_34"/>
      <sheetName val="_입찰안_xls__입찰안_xls__입찰안_xls_B_35"/>
      <sheetName val="_입찰안_xls__입찰안_xls__입찰안_xls_B_36"/>
      <sheetName val="_입찰안_xls__입찰안_xls__입찰안_xls_B_37"/>
      <sheetName val="_입찰안_xls__입찰안_xls__입찰안_xls_B_40"/>
      <sheetName val="_입찰안_xls__입찰안_xls__입찰안_xls_B_38"/>
      <sheetName val="_입찰안_xls__입찰안_xls__입찰안_xls_B_41"/>
      <sheetName val="_입찰안_xls__입찰안_xls__입찰안_xls_B_39"/>
      <sheetName val="_입찰안_xls__입찰안_xls__입찰안_xls_B_42"/>
      <sheetName val="_입찰안_xls__입찰안_xls__입찰안_xls_B_43"/>
      <sheetName val="_입찰안_xls__입찰안_xls__입찰안_xls_B_47"/>
      <sheetName val="_입찰안_xls__입찰안_xls__입찰안_xls_B_48"/>
      <sheetName val="_입찰안_xls__입찰안_xls__입찰안_xls_B_49"/>
      <sheetName val="_입찰안_xls__입찰안_xls__입찰안_xls_B_54"/>
      <sheetName val="_입찰안_xls__입찰안_xls__입찰안_xls_B_53"/>
      <sheetName val="_입찰안_xls__입찰안_xls__입찰안_xls_B_50"/>
      <sheetName val="_입찰안_xls__입찰안_xls__입찰안_xls_B_51"/>
      <sheetName val="_입찰안_xls__입찰안_xls__입찰안_xls_B_52"/>
      <sheetName val="_입찰안_xls__입찰안_xls__입찰안_xls_B_55"/>
      <sheetName val="_입찰안_xls__입찰안_xls__입찰안_xls_B_56"/>
      <sheetName val="_입찰안_xls__입찰안_xls__입찰안_xls_B_57"/>
      <sheetName val="_입찰안_xls__입찰안_xls__입찰안_xls_B_58"/>
      <sheetName val="_입찰안_xls__입찰안_xls__입찰안_xls_B_59"/>
      <sheetName val="_입찰안_xls__입찰안_xls__입찰안_xls_B_60"/>
      <sheetName val="_입찰안_xls__입찰안_xls__입찰안_xls_B_61"/>
      <sheetName val="_입찰안_xls__입찰안_xls__입찰안_xls_B_62"/>
      <sheetName val="_입찰안_xls__입찰안_xls__입찰안_xls_B_63"/>
      <sheetName val="_입찰안_xls__입찰안_xls__입찰안_xls_B_64"/>
      <sheetName val="_입찰안_xls__입찰안_xls__입찰안_xls__103"/>
      <sheetName val="_입찰안_xls__입찰안_xls__입찰안_xls_B_68"/>
      <sheetName val="_입찰안_xls__입찰안_xls__입찰안_xls_B_79"/>
      <sheetName val="_입찰안_xls__입찰안_xls__입찰안_xls_B_80"/>
      <sheetName val="_입찰안_xls__입찰안_xls__입찰안_xls_B_66"/>
      <sheetName val="_입찰안_xls__입찰안_xls__입찰안_xls_B_67"/>
      <sheetName val="_입찰안_xls__입찰안_xls__입찰안_xls_B_65"/>
      <sheetName val="_입찰안_xls__입찰안_xls__입찰안_xls_B_69"/>
      <sheetName val="_입찰안_xls__입찰안_xls__입찰안_xls_B_70"/>
      <sheetName val="_입찰안_xls__입찰안_xls__입찰안_xls_B_71"/>
      <sheetName val="_입찰안_xls__입찰안_xls__입찰안_xls_B_73"/>
      <sheetName val="_입찰안_xls__입찰안_xls__입찰안_xls_B_74"/>
      <sheetName val="_입찰안_xls__입찰안_xls__입찰안_xls_B_72"/>
      <sheetName val="_입찰안_xls__입찰안_xls__입찰안_xls_B_75"/>
      <sheetName val="_입찰안_xls__입찰안_xls__입찰안_xls_B_76"/>
      <sheetName val="_입찰안_xls__입찰안_xls__입찰안_xls_B_77"/>
      <sheetName val="_입찰안_xls__입찰안_xls__입찰안_xls_B_78"/>
      <sheetName val="_입찰안_xls__입찰안_xls__입찰안_xls_B_81"/>
      <sheetName val="_입찰안_xls__입찰안_xls__입찰안_xls_B_82"/>
      <sheetName val="_입찰안_xls__입찰안_xls__입찰안_xls_B_83"/>
      <sheetName val="_입찰안_xls__입찰안_xls__입찰안_xls_B_93"/>
      <sheetName val="_입찰안_xls__입찰안_xls__입찰안_xls_B_96"/>
      <sheetName val="_입찰안_xls__입찰안_xls__입찰안_xls_B_86"/>
      <sheetName val="_입찰안_xls__입찰안_xls__입찰안_xls_B_87"/>
      <sheetName val="_입찰안_xls__입찰안_xls__입찰안_xls_B_84"/>
      <sheetName val="_입찰안_xls__입찰안_xls__입찰안_xls_B_85"/>
      <sheetName val="_입찰안_xls__입찰안_xls__입찰안_xls_B_88"/>
      <sheetName val="_입찰안_xls__입찰안_xls__입찰안_xls_B_89"/>
      <sheetName val="_입찰안_xls__입찰안_xls__입찰안_xls_B_90"/>
      <sheetName val="_입찰안_xls__입찰안_xls__입찰안_xls_B_91"/>
      <sheetName val="_입찰안_xls__입찰안_xls__입찰안_xls_B_92"/>
      <sheetName val="_입찰안_xls__입찰안_xls__입찰안_xls_B_94"/>
      <sheetName val="_입찰안_xls__입찰안_xls__입찰안_xls_B_95"/>
      <sheetName val="_입찰안_xls__입찰안_xls__입찰안_xls_B_97"/>
      <sheetName val="_입찰안_xls__입찰안_xls__입찰안_xls_B_98"/>
      <sheetName val="_입찰안_xls__입찰안_xls__입찰안_xls_B_99"/>
      <sheetName val="_입찰안_xls__입찰안_xls__입찰안_xls_B100"/>
      <sheetName val="_입찰안_xls__입찰안_xls__입찰안_xls_B101"/>
      <sheetName val="_입찰안_xls__입찰안_xls__입찰안_xls__100"/>
      <sheetName val="_입찰안_xls__입찰안_xls__입찰안_xls_B102"/>
      <sheetName val="_입찰안_xls__입찰안_xls__입찰안_xls__101"/>
      <sheetName val="_입찰안_xls__입찰안_xls__입찰안_xls__102"/>
      <sheetName val="_입찰안.xls__입찰안.xls__입찰안.xls__778"/>
      <sheetName val="_입찰안.xls__입찰안.xls__입찰안.xls__770"/>
      <sheetName val="_입찰안.xls__입찰안.xls__입찰안.xls__773"/>
      <sheetName val="_입찰안.xls__입찰안.xls__입찰안.xls__772"/>
      <sheetName val="_입찰안.xls__입찰안.xls__입찰안.xls__766"/>
      <sheetName val="_입찰안.xls__입찰안.xls__입찰안.xls__767"/>
      <sheetName val="_입찰안.xls__입찰안.xls__입찰안.xls__768"/>
      <sheetName val="_입찰안.xls__입찰안.xls__입찰안.xls__769"/>
      <sheetName val="_입찰안.xls__입찰안.xls__입찰안.xls__771"/>
      <sheetName val="_입찰안.xls__입찰안.xls__입찰안.xls__774"/>
      <sheetName val="_입찰안.xls__입찰안.xls__입찰안.xls__777"/>
      <sheetName val="_입찰안.xls__입찰안.xls__입찰안.xls__775"/>
      <sheetName val="_입찰안.xls__입찰안.xls__입찰안.xls__776"/>
      <sheetName val="_입찰안.xls__입찰안.xls__입찰안.xls__779"/>
      <sheetName val="_입찰안.xls__입찰안.xls__입찰안.xls__797"/>
      <sheetName val="_입찰안.xls__입찰안.xls__입찰안.xls__781"/>
      <sheetName val="_입찰안.xls__입찰안.xls__입찰안.xls__785"/>
      <sheetName val="_입찰안.xls__입찰안.xls__입찰안.xls__784"/>
      <sheetName val="_입찰안.xls__입찰안.xls__입찰안.xls__780"/>
      <sheetName val="_입찰안.xls__입찰안.xls__입찰안.xls__783"/>
      <sheetName val="_입찰안.xls__입찰안.xls__입찰안.xls__782"/>
      <sheetName val="_입찰안.xls__입찰안.xls__입찰안.xls__790"/>
      <sheetName val="_입찰안.xls__입찰안.xls__입찰안.xls__791"/>
      <sheetName val="_입찰안.xls__입찰안.xls__입찰안.xls__787"/>
      <sheetName val="_입찰안.xls__입찰안.xls__입찰안.xls__789"/>
      <sheetName val="_입찰안.xls__입찰안.xls__입찰안.xls__786"/>
      <sheetName val="_입찰안.xls__입찰안.xls__입찰안.xls__788"/>
      <sheetName val="_입찰안.xls__입찰안.xls__입찰안.xls__793"/>
      <sheetName val="_입찰안.xls__입찰안.xls__입찰안.xls__792"/>
      <sheetName val="_입찰안.xls__입찰안.xls__입찰안.xls__794"/>
      <sheetName val="_입찰안.xls__입찰안.xls__입찰안.xls__796"/>
      <sheetName val="_입찰안.xls__입찰안.xls__입찰안.xls__795"/>
      <sheetName val="_입찰안.xls__입찰안.xls__입찰안.xls__798"/>
      <sheetName val="_입찰안.xls__입찰안.xls__입찰안.xls__799"/>
      <sheetName val="[입찰안.xls][입찰안.xls]_입___xls_1004"/>
      <sheetName val="[입찰안.xls][입찰안.xls]_입___xls_1003"/>
      <sheetName val="가시설수량"/>
      <sheetName val="04.01"/>
      <sheetName val="[입찰안.xls][입찰안.xls]_____xls_2500"/>
      <sheetName val="[입찰안.xls][입찰안.xls]_____xls_2497"/>
      <sheetName val="[입찰안.xls][입찰안.xls]_____xls_2498"/>
      <sheetName val="[입찰안.xls][입찰안.xls]_____xls_2499"/>
      <sheetName val="[입찰안.xls][입찰안.xls]_____xls_2494"/>
      <sheetName val="[입찰안.xls][입찰안.xls]_____xls_2495"/>
      <sheetName val="[입찰안.xls][입찰안.xls]_____xls_2496"/>
      <sheetName val="[입찰안.xls][입찰안.xls]_____xls_2501"/>
      <sheetName val="[입찰안.xls][입찰안.xls]_____xls_2503"/>
      <sheetName val="[입찰안.xls][입찰안.xls]_____xls_2508"/>
      <sheetName val="[입찰안.xls][입찰안.xls]_____xls_2509"/>
      <sheetName val="[입찰안.xls][입찰안.xls]_____xls_2511"/>
      <sheetName val="[입찰안.xls][입찰안.xls]_____xls_2510"/>
      <sheetName val="[입찰안.xls][입찰안.xls]_____xls_2525"/>
      <sheetName val="[입찰안.xls][입찰안.xls]_____xls_2524"/>
      <sheetName val="[입찰안.xls][입찰안.xls]_____xls_2513"/>
      <sheetName val="18.공내수압탄성자연"/>
      <sheetName val="내역_v濐Ȫ)⋘"/>
      <sheetName val="[입찰안.xls][입찰안.xls]_____xls_2512"/>
      <sheetName val="[입찰안.xls][입찰안.xls]_____xls_2523"/>
      <sheetName val="환율c­"/>
      <sheetName val="pile_bearing_capa_&amp;_¬"/>
      <sheetName val="내역전기"/>
      <sheetName val="공종별예산조서"/>
      <sheetName val="[입찰안.xls][입찰안.xls]_____xls_2514"/>
      <sheetName val="[입찰안.xls][입찰안.xls]_____xls_2515"/>
      <sheetName val="[입찰안.xls][입찰안.xls]_____xls_2516"/>
      <sheetName val="[입찰안.xls][입찰안.xls]_____xls_2518"/>
      <sheetName val="[입찰안.xls][입찰안.xls]_____xls_2517"/>
      <sheetName val="[입찰안.xls][입찰안.xls]_____xls_2519"/>
      <sheetName val="[입찰안.xls][입찰안.xls]_____xls_2522"/>
      <sheetName val="[입찰안.xls][입찰안.xls]_____xls_2520"/>
      <sheetName val="[입찰안.xls][입찰안.xls]_____xls_2521"/>
      <sheetName val="[입찰안.xls][입찰안.xls]_____xls_2533"/>
      <sheetName val="[입찰안.xls][입찰안.xls]_____xls_2528"/>
      <sheetName val="[입찰안.xls][입찰안.xls]_____xls_2529"/>
      <sheetName val="[입찰안.xls][입찰안.xls]_____xls_2531"/>
      <sheetName val="[입찰안.xls][입찰안.xls]_____xls_2532"/>
      <sheetName val="[입찰안.xls][입찰안.xls]_____xls_2534"/>
      <sheetName val="[입찰안.xls][입찰안.xls]_____xls_2535"/>
      <sheetName val="[입찰안.xls][입찰안.xls]_____xls_2536"/>
      <sheetName val="[입찰안.xls][입찰안.xls]_____xls_2537"/>
      <sheetName val="[입찰안.xls][입찰안.xls]_____xls_2538"/>
      <sheetName val="[입찰안.xls][입찰안.xls]_____xls_2540"/>
      <sheetName val="[입찰안.xls][입찰안.xls]_____xls_2539"/>
      <sheetName val="[입찰안.xls][입찰안.xls]_____xls_2541"/>
      <sheetName val="[입찰안.xls][입찰안.xls]_____xls_2545"/>
      <sheetName val="[입찰안.xls][입찰안.xls]_____xls_2546"/>
      <sheetName val="[입찰안.xls][입찰안.xls]_____xls_2543"/>
      <sheetName val="[입찰안.xls][입찰안.xls]_____xls_2544"/>
      <sheetName val="[입찰안.xls][입찰안.xls]_____xls_2549"/>
      <sheetName val="[입찰안.xls][입찰안.xls]_____xls_2554"/>
      <sheetName val="[입찰안.xls][입찰안.xls]_____xls_2550"/>
      <sheetName val="[입찰안.xls][입찰안.xls]_____xls_2551"/>
      <sheetName val="[입찰안.xls][입찰안.xls]_____xls_2559"/>
      <sheetName val="ysn"/>
      <sheetName val="[입찰안.xls][입찰안.xls]_____xls_2560"/>
      <sheetName val="[입찰안.xls][입찰안.xls]_____xls_2552"/>
      <sheetName val="[입찰안.xls][입찰안.xls]_____xls_2553"/>
      <sheetName val="[입찰안.xls][입찰안.xls]_____xls_2561"/>
      <sheetName val="[입찰안.xls][입찰안.xls]_____xls_2555"/>
      <sheetName val="[입찰안.xls][입찰안.xls]_____xls_2556"/>
      <sheetName val="[입찰안.xls][입찰안.xls]_____xls_2557"/>
      <sheetName val="[입찰안.xls][입찰안.xls]_____xls_2558"/>
      <sheetName val="[입찰안.xls][입찰안.xls]_____xls_2562"/>
      <sheetName val="[입찰안.xls][입찰안.xls]_____xls_2563"/>
      <sheetName val="[입찰안.xls][입찰안.xls]_____xls_2565"/>
      <sheetName val="[입찰안.xls][입찰안.xls]_____xls_2566"/>
      <sheetName val="[입찰안.xls][입찰안.xls]_____xls_256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/>
      <sheetData sheetId="1866"/>
      <sheetData sheetId="1867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/>
      <sheetData sheetId="1877"/>
      <sheetData sheetId="1878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 refreshError="1"/>
      <sheetData sheetId="1902" refreshError="1"/>
      <sheetData sheetId="1903" refreshError="1"/>
      <sheetData sheetId="1904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/>
      <sheetData sheetId="1981" refreshError="1"/>
      <sheetData sheetId="1982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 refreshError="1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 refreshError="1"/>
      <sheetData sheetId="2200" refreshError="1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 refreshError="1"/>
      <sheetData sheetId="2299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 refreshError="1"/>
      <sheetData sheetId="2326"/>
      <sheetData sheetId="2327"/>
      <sheetData sheetId="2328"/>
      <sheetData sheetId="2329"/>
      <sheetData sheetId="2330" refreshError="1"/>
      <sheetData sheetId="2331"/>
      <sheetData sheetId="2332"/>
      <sheetData sheetId="2333"/>
      <sheetData sheetId="2334" refreshError="1"/>
      <sheetData sheetId="2335"/>
      <sheetData sheetId="2336"/>
      <sheetData sheetId="2337"/>
      <sheetData sheetId="2338"/>
      <sheetData sheetId="2339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 refreshError="1"/>
      <sheetData sheetId="2596" refreshError="1"/>
      <sheetData sheetId="2597" refreshError="1"/>
      <sheetData sheetId="2598"/>
      <sheetData sheetId="2599"/>
      <sheetData sheetId="2600" refreshError="1"/>
      <sheetData sheetId="2601"/>
      <sheetData sheetId="2602"/>
      <sheetData sheetId="2603" refreshError="1"/>
      <sheetData sheetId="2604" refreshError="1"/>
      <sheetData sheetId="2605"/>
      <sheetData sheetId="2606"/>
      <sheetData sheetId="2607"/>
      <sheetData sheetId="2608"/>
      <sheetData sheetId="2609"/>
      <sheetData sheetId="2610" refreshError="1"/>
      <sheetData sheetId="2611"/>
      <sheetData sheetId="2612"/>
      <sheetData sheetId="2613"/>
      <sheetData sheetId="2614"/>
      <sheetData sheetId="2615"/>
      <sheetData sheetId="2616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/>
      <sheetData sheetId="2872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/>
      <sheetData sheetId="2956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/>
      <sheetData sheetId="2977"/>
      <sheetData sheetId="2978"/>
      <sheetData sheetId="2979"/>
      <sheetData sheetId="2980" refreshError="1"/>
      <sheetData sheetId="2981"/>
      <sheetData sheetId="2982"/>
      <sheetData sheetId="2983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 refreshError="1"/>
      <sheetData sheetId="3019"/>
      <sheetData sheetId="3020"/>
      <sheetData sheetId="3021"/>
      <sheetData sheetId="3022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 refreshError="1"/>
      <sheetData sheetId="3034"/>
      <sheetData sheetId="3035"/>
      <sheetData sheetId="3036" refreshError="1"/>
      <sheetData sheetId="3037" refreshError="1"/>
      <sheetData sheetId="3038" refreshError="1"/>
      <sheetData sheetId="3039"/>
      <sheetData sheetId="3040"/>
      <sheetData sheetId="3041"/>
      <sheetData sheetId="3042"/>
      <sheetData sheetId="3043" refreshError="1"/>
      <sheetData sheetId="3044"/>
      <sheetData sheetId="3045" refreshError="1"/>
      <sheetData sheetId="3046" refreshError="1"/>
      <sheetData sheetId="3047" refreshError="1"/>
      <sheetData sheetId="3048" refreshError="1"/>
      <sheetData sheetId="3049"/>
      <sheetData sheetId="3050" refreshError="1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 refreshError="1"/>
      <sheetData sheetId="3075"/>
      <sheetData sheetId="3076"/>
      <sheetData sheetId="3077" refreshError="1"/>
      <sheetData sheetId="3078"/>
      <sheetData sheetId="3079"/>
      <sheetData sheetId="3080" refreshError="1"/>
      <sheetData sheetId="3081"/>
      <sheetData sheetId="3082" refreshError="1"/>
      <sheetData sheetId="3083"/>
      <sheetData sheetId="3084"/>
      <sheetData sheetId="3085"/>
      <sheetData sheetId="3086"/>
      <sheetData sheetId="3087"/>
      <sheetData sheetId="3088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 refreshError="1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/>
      <sheetData sheetId="3108" refreshError="1"/>
      <sheetData sheetId="3109"/>
      <sheetData sheetId="3110"/>
      <sheetData sheetId="3111" refreshError="1"/>
      <sheetData sheetId="3112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/>
      <sheetData sheetId="3120" refreshError="1"/>
      <sheetData sheetId="3121" refreshError="1"/>
      <sheetData sheetId="3122" refreshError="1"/>
      <sheetData sheetId="3123" refreshError="1"/>
      <sheetData sheetId="3124"/>
      <sheetData sheetId="3125"/>
      <sheetData sheetId="3126" refreshError="1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/>
      <sheetData sheetId="3179"/>
      <sheetData sheetId="3180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/>
      <sheetData sheetId="3223"/>
      <sheetData sheetId="3224"/>
      <sheetData sheetId="3225"/>
      <sheetData sheetId="3226" refreshError="1"/>
      <sheetData sheetId="3227"/>
      <sheetData sheetId="3228"/>
      <sheetData sheetId="3229" refreshError="1"/>
      <sheetData sheetId="3230" refreshError="1"/>
      <sheetData sheetId="3231" refreshError="1"/>
      <sheetData sheetId="3232" refreshError="1"/>
      <sheetData sheetId="3233"/>
      <sheetData sheetId="3234" refreshError="1"/>
      <sheetData sheetId="3235" refreshError="1"/>
      <sheetData sheetId="3236" refreshError="1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 refreshError="1"/>
      <sheetData sheetId="3293"/>
      <sheetData sheetId="3294"/>
      <sheetData sheetId="3295"/>
      <sheetData sheetId="3296" refreshError="1"/>
      <sheetData sheetId="3297" refreshError="1"/>
      <sheetData sheetId="3298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/>
      <sheetData sheetId="3306" refreshError="1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 refreshError="1"/>
      <sheetData sheetId="3690" refreshError="1"/>
      <sheetData sheetId="3691"/>
      <sheetData sheetId="3692"/>
      <sheetData sheetId="3693"/>
      <sheetData sheetId="3694"/>
      <sheetData sheetId="3695"/>
      <sheetData sheetId="3696" refreshError="1"/>
      <sheetData sheetId="3697"/>
      <sheetData sheetId="3698"/>
      <sheetData sheetId="3699"/>
      <sheetData sheetId="3700" refreshError="1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/>
      <sheetData sheetId="3755"/>
      <sheetData sheetId="3756" refreshError="1"/>
      <sheetData sheetId="3757"/>
      <sheetData sheetId="3758"/>
      <sheetData sheetId="3759"/>
      <sheetData sheetId="3760"/>
      <sheetData sheetId="3761"/>
      <sheetData sheetId="3762"/>
      <sheetData sheetId="3763" refreshError="1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 refreshError="1"/>
      <sheetData sheetId="3773"/>
      <sheetData sheetId="3774"/>
      <sheetData sheetId="3775"/>
      <sheetData sheetId="3776" refreshError="1"/>
      <sheetData sheetId="3777" refreshError="1"/>
      <sheetData sheetId="3778" refreshError="1"/>
      <sheetData sheetId="3779"/>
      <sheetData sheetId="3780"/>
      <sheetData sheetId="3781"/>
      <sheetData sheetId="3782"/>
      <sheetData sheetId="3783" refreshError="1"/>
      <sheetData sheetId="3784" refreshError="1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/>
      <sheetData sheetId="3927"/>
      <sheetData sheetId="3928" refreshError="1"/>
      <sheetData sheetId="3929" refreshError="1"/>
      <sheetData sheetId="3930"/>
      <sheetData sheetId="3931"/>
      <sheetData sheetId="3932"/>
      <sheetData sheetId="3933" refreshError="1"/>
      <sheetData sheetId="3934" refreshError="1"/>
      <sheetData sheetId="3935"/>
      <sheetData sheetId="3936"/>
      <sheetData sheetId="3937" refreshError="1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 refreshError="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 refreshError="1"/>
      <sheetData sheetId="4075"/>
      <sheetData sheetId="4076"/>
      <sheetData sheetId="4077" refreshError="1"/>
      <sheetData sheetId="4078" refreshError="1"/>
      <sheetData sheetId="4079" refreshError="1"/>
      <sheetData sheetId="4080"/>
      <sheetData sheetId="4081"/>
      <sheetData sheetId="4082"/>
      <sheetData sheetId="4083"/>
      <sheetData sheetId="4084" refreshError="1"/>
      <sheetData sheetId="4085"/>
      <sheetData sheetId="4086"/>
      <sheetData sheetId="4087"/>
      <sheetData sheetId="4088"/>
      <sheetData sheetId="4089"/>
      <sheetData sheetId="4090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/>
      <sheetData sheetId="4108" refreshError="1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 refreshError="1"/>
      <sheetData sheetId="4121"/>
      <sheetData sheetId="4122"/>
      <sheetData sheetId="4123"/>
      <sheetData sheetId="4124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/>
      <sheetData sheetId="4135"/>
      <sheetData sheetId="4136"/>
      <sheetData sheetId="4137"/>
      <sheetData sheetId="4138" refreshError="1"/>
      <sheetData sheetId="4139" refreshError="1"/>
      <sheetData sheetId="4140" refreshError="1"/>
      <sheetData sheetId="4141"/>
      <sheetData sheetId="4142"/>
      <sheetData sheetId="4143" refreshError="1"/>
      <sheetData sheetId="4144" refreshError="1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 refreshError="1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/>
      <sheetData sheetId="4205" refreshError="1"/>
      <sheetData sheetId="4206" refreshError="1"/>
      <sheetData sheetId="4207" refreshError="1"/>
      <sheetData sheetId="4208" refreshError="1"/>
      <sheetData sheetId="4209"/>
      <sheetData sheetId="4210"/>
      <sheetData sheetId="4211"/>
      <sheetData sheetId="4212"/>
      <sheetData sheetId="4213"/>
      <sheetData sheetId="4214"/>
      <sheetData sheetId="4215" refreshError="1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/>
      <sheetData sheetId="4232"/>
      <sheetData sheetId="4233"/>
      <sheetData sheetId="4234"/>
      <sheetData sheetId="4235"/>
      <sheetData sheetId="4236" refreshError="1"/>
      <sheetData sheetId="4237" refreshError="1"/>
      <sheetData sheetId="4238"/>
      <sheetData sheetId="4239"/>
      <sheetData sheetId="4240"/>
      <sheetData sheetId="4241"/>
      <sheetData sheetId="4242"/>
      <sheetData sheetId="4243"/>
      <sheetData sheetId="4244"/>
      <sheetData sheetId="4245" refreshError="1"/>
      <sheetData sheetId="4246"/>
      <sheetData sheetId="4247" refreshError="1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 refreshError="1"/>
      <sheetData sheetId="4419" refreshError="1"/>
      <sheetData sheetId="4420" refreshError="1"/>
      <sheetData sheetId="4421"/>
      <sheetData sheetId="4422" refreshError="1"/>
      <sheetData sheetId="4423" refreshError="1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/>
      <sheetData sheetId="4441"/>
      <sheetData sheetId="4442"/>
      <sheetData sheetId="4443"/>
      <sheetData sheetId="4444"/>
      <sheetData sheetId="4445" refreshError="1"/>
      <sheetData sheetId="4446" refreshError="1"/>
      <sheetData sheetId="4447" refreshError="1"/>
      <sheetData sheetId="4448"/>
      <sheetData sheetId="4449"/>
      <sheetData sheetId="4450" refreshError="1"/>
      <sheetData sheetId="4451"/>
      <sheetData sheetId="4452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 refreshError="1"/>
      <sheetData sheetId="4467" refreshError="1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 refreshError="1"/>
      <sheetData sheetId="4933"/>
      <sheetData sheetId="4934" refreshError="1"/>
      <sheetData sheetId="4935" refreshError="1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/>
      <sheetData sheetId="4954" refreshError="1"/>
      <sheetData sheetId="4955" refreshError="1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 refreshError="1"/>
      <sheetData sheetId="4976" refreshError="1"/>
      <sheetData sheetId="4977" refreshError="1"/>
      <sheetData sheetId="4978"/>
      <sheetData sheetId="4979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/>
      <sheetData sheetId="5022"/>
      <sheetData sheetId="5023"/>
      <sheetData sheetId="5024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 refreshError="1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 refreshError="1"/>
      <sheetData sheetId="5227" refreshError="1"/>
      <sheetData sheetId="5228"/>
      <sheetData sheetId="5229" refreshError="1"/>
      <sheetData sheetId="5230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 refreshError="1"/>
      <sheetData sheetId="5264"/>
      <sheetData sheetId="5265"/>
      <sheetData sheetId="5266"/>
      <sheetData sheetId="5267"/>
      <sheetData sheetId="5268"/>
      <sheetData sheetId="5269"/>
      <sheetData sheetId="5270"/>
      <sheetData sheetId="5271" refreshError="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 refreshError="1"/>
      <sheetData sheetId="5284" refreshError="1"/>
      <sheetData sheetId="5285" refreshError="1"/>
      <sheetData sheetId="5286"/>
      <sheetData sheetId="5287" refreshError="1"/>
      <sheetData sheetId="5288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/>
      <sheetData sheetId="5325"/>
      <sheetData sheetId="5326"/>
      <sheetData sheetId="5327"/>
      <sheetData sheetId="5328" refreshError="1"/>
      <sheetData sheetId="5329"/>
      <sheetData sheetId="5330" refreshError="1"/>
      <sheetData sheetId="5331" refreshError="1"/>
      <sheetData sheetId="5332" refreshError="1"/>
      <sheetData sheetId="5333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/>
      <sheetData sheetId="5341" refreshError="1"/>
      <sheetData sheetId="5342" refreshError="1"/>
      <sheetData sheetId="5343" refreshError="1"/>
      <sheetData sheetId="5344"/>
      <sheetData sheetId="5345" refreshError="1"/>
      <sheetData sheetId="5346" refreshError="1"/>
      <sheetData sheetId="5347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/>
      <sheetData sheetId="5357" refreshError="1"/>
      <sheetData sheetId="5358" refreshError="1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 refreshError="1"/>
      <sheetData sheetId="5383" refreshError="1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 refreshError="1"/>
      <sheetData sheetId="5406" refreshError="1"/>
      <sheetData sheetId="5407"/>
      <sheetData sheetId="5408"/>
      <sheetData sheetId="5409"/>
      <sheetData sheetId="5410"/>
      <sheetData sheetId="5411" refreshError="1"/>
      <sheetData sheetId="5412" refreshError="1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 refreshError="1"/>
      <sheetData sheetId="5478" refreshError="1"/>
      <sheetData sheetId="5479" refreshError="1"/>
      <sheetData sheetId="5480"/>
      <sheetData sheetId="5481" refreshError="1"/>
      <sheetData sheetId="5482" refreshError="1"/>
      <sheetData sheetId="5483" refreshError="1"/>
      <sheetData sheetId="5484"/>
      <sheetData sheetId="5485" refreshError="1"/>
      <sheetData sheetId="5486"/>
      <sheetData sheetId="5487"/>
      <sheetData sheetId="5488"/>
      <sheetData sheetId="5489"/>
      <sheetData sheetId="5490"/>
      <sheetData sheetId="5491"/>
      <sheetData sheetId="5492"/>
      <sheetData sheetId="5493" refreshError="1"/>
      <sheetData sheetId="5494" refreshError="1"/>
      <sheetData sheetId="5495"/>
      <sheetData sheetId="5496" refreshError="1"/>
      <sheetData sheetId="5497" refreshError="1"/>
      <sheetData sheetId="5498" refreshError="1"/>
      <sheetData sheetId="5499" refreshError="1"/>
      <sheetData sheetId="5500"/>
      <sheetData sheetId="5501"/>
      <sheetData sheetId="5502"/>
      <sheetData sheetId="5503"/>
      <sheetData sheetId="5504" refreshError="1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 refreshError="1"/>
      <sheetData sheetId="5834" refreshError="1"/>
      <sheetData sheetId="5835"/>
      <sheetData sheetId="5836"/>
      <sheetData sheetId="5837"/>
      <sheetData sheetId="5838"/>
      <sheetData sheetId="5839" refreshError="1"/>
      <sheetData sheetId="5840" refreshError="1"/>
      <sheetData sheetId="5841"/>
      <sheetData sheetId="5842"/>
      <sheetData sheetId="5843"/>
      <sheetData sheetId="5844" refreshError="1"/>
      <sheetData sheetId="5845" refreshError="1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 refreshError="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 refreshError="1"/>
      <sheetData sheetId="5960" refreshError="1"/>
      <sheetData sheetId="5961"/>
      <sheetData sheetId="5962"/>
      <sheetData sheetId="5963"/>
      <sheetData sheetId="5964" refreshError="1"/>
      <sheetData sheetId="5965"/>
      <sheetData sheetId="5966"/>
      <sheetData sheetId="5967" refreshError="1"/>
      <sheetData sheetId="5968" refreshError="1"/>
      <sheetData sheetId="5969" refreshError="1"/>
      <sheetData sheetId="5970"/>
      <sheetData sheetId="5971"/>
      <sheetData sheetId="5972"/>
      <sheetData sheetId="5973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/>
      <sheetData sheetId="599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/>
      <sheetData sheetId="6005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/>
      <sheetData sheetId="6044"/>
      <sheetData sheetId="6045" refreshError="1"/>
      <sheetData sheetId="6046" refreshError="1"/>
      <sheetData sheetId="6047"/>
      <sheetData sheetId="6048" refreshError="1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 refreshError="1"/>
      <sheetData sheetId="6070" refreshError="1"/>
      <sheetData sheetId="6071" refreshError="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 refreshError="1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 refreshError="1"/>
      <sheetData sheetId="7841" refreshError="1"/>
      <sheetData sheetId="7842" refreshError="1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 refreshError="1"/>
      <sheetData sheetId="7869" refreshError="1"/>
      <sheetData sheetId="7870" refreshError="1"/>
      <sheetData sheetId="787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/>
      <sheetData sheetId="7903"/>
      <sheetData sheetId="7904"/>
      <sheetData sheetId="7905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/>
      <sheetData sheetId="792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/>
      <sheetData sheetId="7933"/>
      <sheetData sheetId="7934" refreshError="1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 refreshError="1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 refreshError="1"/>
      <sheetData sheetId="8562" refreshError="1"/>
      <sheetData sheetId="8563"/>
      <sheetData sheetId="8564"/>
      <sheetData sheetId="8565" refreshError="1"/>
      <sheetData sheetId="8566"/>
      <sheetData sheetId="8567"/>
      <sheetData sheetId="8568" refreshError="1"/>
      <sheetData sheetId="8569" refreshError="1"/>
      <sheetData sheetId="8570"/>
      <sheetData sheetId="8571" refreshError="1"/>
      <sheetData sheetId="8572"/>
      <sheetData sheetId="8573"/>
      <sheetData sheetId="8574"/>
      <sheetData sheetId="8575" refreshError="1"/>
      <sheetData sheetId="8576" refreshError="1"/>
      <sheetData sheetId="8577" refreshError="1"/>
      <sheetData sheetId="8578"/>
      <sheetData sheetId="8579"/>
      <sheetData sheetId="8580" refreshError="1"/>
      <sheetData sheetId="8581"/>
      <sheetData sheetId="8582"/>
      <sheetData sheetId="8583"/>
      <sheetData sheetId="8584"/>
      <sheetData sheetId="8585" refreshError="1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 refreshError="1"/>
      <sheetData sheetId="8614"/>
      <sheetData sheetId="8615" refreshError="1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 refreshError="1"/>
      <sheetData sheetId="8668" refreshError="1"/>
      <sheetData sheetId="8669" refreshError="1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 refreshError="1"/>
      <sheetData sheetId="8687" refreshError="1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/>
      <sheetData sheetId="8838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 refreshError="1"/>
      <sheetData sheetId="8892" refreshError="1"/>
      <sheetData sheetId="8893"/>
      <sheetData sheetId="8894" refreshError="1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/>
      <sheetData sheetId="8983" refreshError="1"/>
      <sheetData sheetId="8984"/>
      <sheetData sheetId="8985" refreshError="1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/>
      <sheetData sheetId="9115" refreshError="1"/>
      <sheetData sheetId="9116"/>
      <sheetData sheetId="9117"/>
      <sheetData sheetId="9118"/>
      <sheetData sheetId="9119"/>
      <sheetData sheetId="9120"/>
      <sheetData sheetId="9121"/>
      <sheetData sheetId="9122" refreshError="1"/>
      <sheetData sheetId="9123" refreshError="1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 refreshError="1"/>
      <sheetData sheetId="9140"/>
      <sheetData sheetId="9141"/>
      <sheetData sheetId="9142"/>
      <sheetData sheetId="9143"/>
      <sheetData sheetId="9144"/>
      <sheetData sheetId="9145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/>
      <sheetData sheetId="9193" refreshError="1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 refreshError="1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 refreshError="1"/>
      <sheetData sheetId="9217"/>
      <sheetData sheetId="9218"/>
      <sheetData sheetId="9219"/>
      <sheetData sheetId="9220"/>
      <sheetData sheetId="9221"/>
      <sheetData sheetId="9222"/>
      <sheetData sheetId="9223" refreshError="1"/>
      <sheetData sheetId="9224" refreshError="1"/>
      <sheetData sheetId="9225"/>
      <sheetData sheetId="9226"/>
      <sheetData sheetId="9227"/>
      <sheetData sheetId="9228"/>
      <sheetData sheetId="9229" refreshError="1"/>
      <sheetData sheetId="9230" refreshError="1"/>
      <sheetData sheetId="9231" refreshError="1"/>
      <sheetData sheetId="9232"/>
      <sheetData sheetId="9233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/>
      <sheetData sheetId="9241"/>
      <sheetData sheetId="9242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 refreshError="1"/>
      <sheetData sheetId="929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/>
      <sheetData sheetId="9299"/>
      <sheetData sheetId="9300" refreshError="1"/>
      <sheetData sheetId="9301" refreshError="1"/>
      <sheetData sheetId="9302" refreshError="1"/>
      <sheetData sheetId="9303"/>
      <sheetData sheetId="9304"/>
      <sheetData sheetId="9305"/>
      <sheetData sheetId="9306"/>
      <sheetData sheetId="9307" refreshError="1"/>
      <sheetData sheetId="9308"/>
      <sheetData sheetId="9309"/>
      <sheetData sheetId="9310"/>
      <sheetData sheetId="9311"/>
      <sheetData sheetId="9312"/>
      <sheetData sheetId="9313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/>
      <sheetData sheetId="9517"/>
      <sheetData sheetId="9518"/>
      <sheetData sheetId="9519" refreshError="1"/>
      <sheetData sheetId="9520" refreshError="1"/>
      <sheetData sheetId="9521" refreshError="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 refreshError="1"/>
      <sheetData sheetId="9535" refreshError="1"/>
      <sheetData sheetId="9536" refreshError="1"/>
      <sheetData sheetId="9537"/>
      <sheetData sheetId="9538" refreshError="1"/>
      <sheetData sheetId="9539" refreshError="1"/>
      <sheetData sheetId="9540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/>
      <sheetData sheetId="10328" refreshError="1"/>
      <sheetData sheetId="10329" refreshError="1"/>
      <sheetData sheetId="10330"/>
      <sheetData sheetId="10331"/>
      <sheetData sheetId="10332"/>
      <sheetData sheetId="10333"/>
      <sheetData sheetId="10334"/>
      <sheetData sheetId="10335"/>
      <sheetData sheetId="10336" refreshError="1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 refreshError="1"/>
      <sheetData sheetId="10347" refreshError="1"/>
      <sheetData sheetId="10348"/>
      <sheetData sheetId="10349"/>
      <sheetData sheetId="10350" refreshError="1"/>
      <sheetData sheetId="10351" refreshError="1"/>
      <sheetData sheetId="10352" refreshError="1"/>
      <sheetData sheetId="10353" refreshError="1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/>
      <sheetData sheetId="10389" refreshError="1"/>
      <sheetData sheetId="10390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  <sheetName val="가중치"/>
      <sheetName val="DATA2000"/>
      <sheetName val="5.정산서"/>
      <sheetName val="포장직선구간"/>
      <sheetName val="흄관기초"/>
      <sheetName val="전국현황"/>
      <sheetName val="말뚝기초(안정검토)-외측"/>
      <sheetName val="CODE"/>
      <sheetName val="정렬"/>
      <sheetName val="말뚝지지력산정"/>
      <sheetName val="학생내역"/>
      <sheetName val="재활용 악취_먼지DUCT산출"/>
      <sheetName val="항목지정"/>
      <sheetName val="경비산출"/>
      <sheetName val="예정(3)"/>
      <sheetName val="단가조사-2"/>
      <sheetName val="VE절감"/>
      <sheetName val="터파기및재료"/>
      <sheetName val="현장관리비데이타"/>
      <sheetName val="공정코드"/>
      <sheetName val="재료"/>
      <sheetName val="현장식당(1)"/>
      <sheetName val="3차토목내역"/>
      <sheetName val="산출근거(S4)"/>
      <sheetName val="2F 회의실견적(5_14 일대)"/>
      <sheetName val="정의"/>
      <sheetName val="영동(D)"/>
      <sheetName val="예총"/>
      <sheetName val="물량산출근거"/>
      <sheetName val="산근"/>
      <sheetName val="자재co"/>
      <sheetName val="UR2-Calculation"/>
      <sheetName val="PĴ"/>
      <sheetName val="Pꮸ"/>
      <sheetName val="P估"/>
      <sheetName val="검토현황"/>
      <sheetName val="증감내역"/>
      <sheetName val="수목데이타 "/>
      <sheetName val="대공종"/>
      <sheetName val="입력"/>
      <sheetName val="1062-X방향 "/>
      <sheetName val="TABLE DB"/>
      <sheetName val="쌍용 data base"/>
      <sheetName val="기안"/>
      <sheetName val="내역및원가02"/>
      <sheetName val="빙100장비사양"/>
      <sheetName val="원내역서 그대로"/>
      <sheetName val="상가지급현황"/>
      <sheetName val="01"/>
      <sheetName val="전도품의"/>
      <sheetName val="COVER"/>
      <sheetName val="부대공자재집계표"/>
      <sheetName val="작성"/>
      <sheetName val="입력그림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1_설계기준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하도내역_(철콘)"/>
      <sheetName val="3_공통공사대비1"/>
      <sheetName val="1_3_1절점좌표"/>
      <sheetName val="1_1설계기준"/>
      <sheetName val="단양_00_아파트-세부내역"/>
      <sheetName val="노무비_근거"/>
      <sheetName val="조건표_(2)"/>
      <sheetName val="임율_Data"/>
      <sheetName val="2차전체변경예정_(2)"/>
      <sheetName val="토공유동표(전체_당초)"/>
      <sheetName val="목차_"/>
      <sheetName val="단면_(2)"/>
      <sheetName val="b_balju_(2)"/>
      <sheetName val="8_현장관리비"/>
      <sheetName val="7_안전관리비"/>
      <sheetName val="7__현장관리비_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내역총괄"/>
      <sheetName val="내역총괄2"/>
      <sheetName val="내역총괄3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일반관리비전체분당초변경대비표"/>
      <sheetName val="사용계획"/>
      <sheetName val="지급수수료월별금액산정"/>
      <sheetName val="Ⅱ1-0타"/>
      <sheetName val="전체내역 (2)"/>
      <sheetName val="Hyundai.Unit.cost.xls"/>
      <sheetName val="배수장토목공사비"/>
      <sheetName val="공사수행보고"/>
      <sheetName val="수리결과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식재가격"/>
      <sheetName val="식재총괄"/>
      <sheetName val="700seg"/>
      <sheetName val="RE9604"/>
      <sheetName val="BQ"/>
      <sheetName val="내역서2안"/>
      <sheetName val="969910( R)"/>
      <sheetName val="BOJUNGGM"/>
      <sheetName val="사진"/>
      <sheetName val="Trend(Agitator)"/>
      <sheetName val="집계표(공종별)"/>
      <sheetName val="단면설계"/>
      <sheetName val="안정검토"/>
      <sheetName val="L형옹벽"/>
      <sheetName val="포장절단"/>
      <sheetName val="1호맨홀토공"/>
      <sheetName val="Sight n M.H"/>
      <sheetName val="단가 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가시설(TYPE-A)"/>
      <sheetName val="1호맨홀가감수량"/>
      <sheetName val="1-1평균터파기고(1)"/>
      <sheetName val="ilch"/>
      <sheetName val="Table"/>
      <sheetName val="교통표지판수량집계표"/>
      <sheetName val="일위대가-01"/>
      <sheetName val="TYPE1"/>
      <sheetName val="공사비"/>
      <sheetName val="배선(낙차)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편성절차"/>
      <sheetName val="부대공"/>
      <sheetName val="2002자금수지계획(진행+신규)"/>
      <sheetName val="2변경1"/>
      <sheetName val="계약서"/>
      <sheetName val="대비표"/>
      <sheetName val="용집"/>
      <sheetName val="램머"/>
      <sheetName val="ASALTOTA"/>
      <sheetName val="심사"/>
      <sheetName val="DC"/>
      <sheetName val="은행"/>
      <sheetName val="소방사항"/>
      <sheetName val="총수량집계표"/>
      <sheetName val="중기단가"/>
      <sheetName val="외주가공"/>
      <sheetName val="BQ(실행)"/>
      <sheetName val="P_x0005_"/>
      <sheetName val="P嘐"/>
      <sheetName val="지구단위계획"/>
      <sheetName val="다중모드"/>
      <sheetName val="횡날개수집"/>
      <sheetName val="strut type"/>
      <sheetName val="48_x0005__x0000_"/>
      <sheetName val="표층포설및다짐"/>
      <sheetName val="맨홀되메우기"/>
      <sheetName val="도급내역"/>
      <sheetName val="내역서 (2)"/>
      <sheetName val="2.1"/>
      <sheetName val="암거"/>
      <sheetName val="한성교회 신축공사(050713)_CheckList"/>
      <sheetName val="(C)원내역"/>
      <sheetName val="포장수량집계"/>
      <sheetName val="옹벽단면치수"/>
      <sheetName val="총괄집계 "/>
      <sheetName val="기본정보"/>
      <sheetName val="일반물자(한국통신)"/>
      <sheetName val="108.수선비"/>
      <sheetName val="맨홀_공사비"/>
      <sheetName val="품목"/>
      <sheetName val="중기사용료산출근거"/>
      <sheetName val="단가 및 재료비"/>
      <sheetName val="일위대가1"/>
      <sheetName val="참조-(1)"/>
      <sheetName val="b_balju_cho"/>
      <sheetName val="경비 (1)"/>
      <sheetName val="성서방향-교대(A2)"/>
      <sheetName val="수문보고"/>
      <sheetName val="철골공사"/>
      <sheetName val="수장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산근(1)"/>
      <sheetName val="4월예정공정표"/>
      <sheetName val="울산시산표"/>
      <sheetName val="6동"/>
      <sheetName val="교각별철근수량집계표"/>
      <sheetName val="토지산출내역"/>
      <sheetName val="출력X"/>
      <sheetName val="1차설계Ꮗԯ_x0000_"/>
      <sheetName val="1차설계逷≙_xdc00_≙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시가지우회도로공내역서"/>
      <sheetName val="T기성9605"/>
      <sheetName val="비교표"/>
      <sheetName val="현금흐름표"/>
      <sheetName val="07제품별수익성"/>
      <sheetName val="당진1,2호기전선관설치및접지4차공사내역서-을지"/>
      <sheetName val="도"/>
      <sheetName val="단면치수"/>
      <sheetName val="15100"/>
      <sheetName val="산출근거#2-3"/>
      <sheetName val="97 사업추정(WEKI)"/>
      <sheetName val="기성금내역서"/>
      <sheetName val="기계 도급내역서"/>
      <sheetName val="총체보활공정표"/>
      <sheetName val="철탑공사"/>
      <sheetName val="신평리 권리자명부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01AC"/>
      <sheetName val="제경비율"/>
      <sheetName val="kimre scrubber"/>
      <sheetName val="TCDB"/>
      <sheetName val="1월"/>
      <sheetName val="세부항목"/>
      <sheetName val="출력자료"/>
      <sheetName val="Balance"/>
      <sheetName val="제안실적sum조회"/>
      <sheetName val="FRP PIPING 일위대가"/>
      <sheetName val="미장"/>
      <sheetName val="철거폐쇄현황"/>
      <sheetName val="quotation"/>
      <sheetName val="PAINT"/>
      <sheetName val="Sheet10"/>
      <sheetName val="통합"/>
      <sheetName val="참고"/>
      <sheetName val="10.경제성분석"/>
      <sheetName val="상세도"/>
      <sheetName val="청 구"/>
      <sheetName val="상행-교대(A1-A2)"/>
      <sheetName val="옥외"/>
      <sheetName val="개인별 순위표"/>
      <sheetName val="중기일위대밀"/>
      <sheetName val="포장공사"/>
      <sheetName val="工완성공사율"/>
      <sheetName val="-15.0"/>
      <sheetName val="7월11일"/>
      <sheetName val="수전기기DATA"/>
      <sheetName val="ETC"/>
      <sheetName val="7.전산해석결과"/>
      <sheetName val="4.하중"/>
      <sheetName val="STEEL BOX 단면설계(SEC.8)"/>
      <sheetName val="기초단가"/>
      <sheetName val="입력데이타(비인쇄용)"/>
      <sheetName val="외주대비 -석축_x0000__x0000__x0000__x0000__x0000__x0012_[후다내역.XLS]견적표지 (3"/>
      <sheetName val="2.2 띠장의 설계"/>
      <sheetName val="자  재"/>
      <sheetName val="건축외주"/>
      <sheetName val="CM 1"/>
      <sheetName val="ROOF(ALKALI)"/>
      <sheetName val="세골재  T2 변경 현황"/>
      <sheetName val="6_ 안전관리비"/>
      <sheetName val="MODELING"/>
      <sheetName val="환산"/>
      <sheetName val="기술부 VENDOR LIST"/>
      <sheetName val="분전반"/>
      <sheetName val="특별"/>
      <sheetName val="호표"/>
      <sheetName val="4.2.1 마루높이 검토"/>
      <sheetName val="임율산출표"/>
      <sheetName val="청주(철골발주의뢰서)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Factor"/>
      <sheetName val="48수량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B"/>
      <sheetName val="수량산출목록표"/>
      <sheetName val="횡배위치"/>
      <sheetName val="Print"/>
      <sheetName val="MATRLDATA"/>
      <sheetName val="관로분포도"/>
      <sheetName val="일위대가목록(기계)"/>
      <sheetName val="옥외배관기본공량"/>
      <sheetName val="대비2"/>
      <sheetName val="옥외외등집계표"/>
      <sheetName val="유림총괄"/>
      <sheetName val="예산변경원인분석"/>
      <sheetName val="GEN"/>
      <sheetName val="총체"/>
      <sheetName val="실행내역_원본"/>
      <sheetName val="가설건물"/>
      <sheetName val="WING3"/>
      <sheetName val="시설,관리하위"/>
      <sheetName val="대운반(철재)"/>
      <sheetName val="테이블"/>
      <sheetName val="일일현황"/>
      <sheetName val="년차"/>
      <sheetName val="일집"/>
      <sheetName val="cctv예산대비"/>
      <sheetName val="라이닝폼예산대비내역"/>
      <sheetName val="BOX 본체"/>
      <sheetName val="단가삐출"/>
      <sheetName val="시운전연료비"/>
      <sheetName val="지원사무소원가배부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주소"/>
      <sheetName val="일위1"/>
      <sheetName val="자재운반단가일람표"/>
      <sheetName val="기계경비목록1"/>
      <sheetName val="흄관수량"/>
      <sheetName val="PROCURE"/>
      <sheetName val="중기사용료"/>
      <sheetName val="우수공,맨홀,집수정"/>
      <sheetName val="MP MOB"/>
      <sheetName val="방음벽기초"/>
      <sheetName val="요약서"/>
      <sheetName val="암거(2)"/>
      <sheetName val="Macro3"/>
      <sheetName val="3BL공동구_x0000__x0000_Ԁ"/>
      <sheetName val="제수"/>
      <sheetName val="공기"/>
      <sheetName val="인적사항"/>
      <sheetName val="L형옹벽(key)"/>
      <sheetName val="미드수량"/>
      <sheetName val="장척총괄"/>
      <sheetName val="내역서(총)"/>
      <sheetName val="배관물량집계(기본)"/>
      <sheetName val="사  업  비  수  지  예  산  서"/>
      <sheetName val="hvac(제어동)"/>
      <sheetName val="전체공사"/>
      <sheetName val="경성자금"/>
      <sheetName val="문학간접"/>
      <sheetName val="도급내역서"/>
      <sheetName val="관리비비계상"/>
      <sheetName val="기초공"/>
      <sheetName val="토  공"/>
      <sheetName val="신규단가산출"/>
      <sheetName val="날개벽(좌,우=45도,75도)"/>
      <sheetName val="흄관기鬀"/>
      <sheetName val="내역(가지)"/>
      <sheetName val="품종코드"/>
      <sheetName val="평균높이산출근거"/>
      <sheetName val="횡배수관위치조서"/>
      <sheetName val="기초단가일람표"/>
      <sheetName val="용수간선"/>
      <sheetName val="가격"/>
      <sheetName val="예산대비"/>
      <sheetName val=" ｹ-ﾌﾞﾙ"/>
      <sheetName val="수완하도"/>
      <sheetName val="김포내역"/>
      <sheetName val="죽원1교"/>
      <sheetName val="일위목차"/>
      <sheetName val="경비공통"/>
      <sheetName val="SCH"/>
      <sheetName val="TYPE-1"/>
      <sheetName val="태화42 "/>
      <sheetName val="콘센트신설"/>
      <sheetName val="일위대가 (PM)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차선"/>
      <sheetName val="차조서"/>
      <sheetName val="MIJIBI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목록"/>
      <sheetName val="계정"/>
      <sheetName val="메서,변+증"/>
      <sheetName val="명일작업계획 (3)"/>
      <sheetName val="연결원본-절대지우지말것"/>
      <sheetName val="검색방"/>
      <sheetName val="일위대가집계표"/>
      <sheetName val="산출서집계HS"/>
      <sheetName val="자동세륜기"/>
      <sheetName val="잔수량(작성)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목록표"/>
      <sheetName val="임차비용"/>
      <sheetName val="앵커(3안)"/>
      <sheetName val="용선 C.L"/>
      <sheetName val="전 체"/>
      <sheetName val="4동급수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6.이토처리시간"/>
      <sheetName val="실행(1)"/>
      <sheetName val="공사비집계"/>
      <sheetName val="일일총괄"/>
      <sheetName val="자재비"/>
      <sheetName val="Basic"/>
      <sheetName val="info"/>
      <sheetName val="금액"/>
      <sheetName val="위치"/>
      <sheetName val="220 (2)"/>
      <sheetName val="수량명세서"/>
      <sheetName val="맨홀"/>
      <sheetName val="단위중기"/>
      <sheetName val="사다리"/>
      <sheetName val="SPEC"/>
      <sheetName val="조ꟕ"/>
      <sheetName val="전기2005"/>
      <sheetName val="외주현황.wq1"/>
      <sheetName val="EP0618"/>
      <sheetName val="JJ"/>
      <sheetName val="연장및면적(좌측)"/>
      <sheetName val="ESC(K치)"/>
      <sheetName val="CAPVC"/>
      <sheetName val="태안9)3-2)원내역"/>
      <sheetName val="납부서"/>
      <sheetName val="비목군분류일위"/>
      <sheetName val="매인"/>
      <sheetName val="참조자료"/>
      <sheetName val="월별수입"/>
      <sheetName val="건축공사실행"/>
      <sheetName val="건축원가"/>
      <sheetName val="1차 내역서"/>
      <sheetName val="물량내역서"/>
      <sheetName val="편입토지조서"/>
      <sheetName val="배수喘_x001a_"/>
      <sheetName val="배수내역(총수량)"/>
      <sheetName val="투찰추정"/>
      <sheetName val="인상효1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1И"/>
      <sheetName val="Config"/>
      <sheetName val="NOM³_x0000_Ԁ"/>
      <sheetName val="NOMֳ_x0000_缀"/>
      <sheetName val="POOM_MOTO"/>
      <sheetName val="POOM_MOTO2"/>
      <sheetName val="수량-가로등"/>
      <sheetName val="공사명입력"/>
      <sheetName val="기초부재력검토"/>
      <sheetName val="JUCK"/>
      <sheetName val="대창(장성)"/>
      <sheetName val="VOC"/>
      <sheetName val="회사정보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인원조직표"/>
      <sheetName val="3.관로전환기"/>
      <sheetName val="단가(동바蔨ũ"/>
      <sheetName val="기초자료입력"/>
      <sheetName val="교량"/>
      <sheetName val="1공구_건정토건_철槜〚"/>
      <sheetName val="설비비4"/>
      <sheetName val="맨홀수량산출(A-LINE)"/>
      <sheetName val="울진항공등화 내역서"/>
      <sheetName val="일 위 대 가 표"/>
      <sheetName val="내역(설계)"/>
      <sheetName val="영흥TL(UP,DOWN) "/>
      <sheetName val="3련 BOX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도수로집계"/>
      <sheetName val="22인공"/>
      <sheetName val="1-1"/>
      <sheetName val="원하대비"/>
      <sheetName val="공통단가"/>
      <sheetName val="2.1외주"/>
      <sheetName val="2.3노무"/>
      <sheetName val="2.4자재"/>
      <sheetName val="2.2장비"/>
      <sheetName val="2.5경비"/>
      <sheetName val="2.6수목대"/>
      <sheetName val="OPTION"/>
      <sheetName val="실행간접비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연돌일위집계"/>
      <sheetName val="0226"/>
      <sheetName val="울산"/>
      <sheetName val="Anti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신천3호용수로"/>
      <sheetName val="통계연보"/>
      <sheetName val="인입관수량총괄"/>
      <sheetName val="D1.2 COF모듈자재 입출재고 (B급)"/>
      <sheetName val="보강현황"/>
      <sheetName val="인제내역"/>
      <sheetName val="항목코드"/>
      <sheetName val="BEND LOSS"/>
      <sheetName val="부영주택(잡철물)"/>
      <sheetName val="토공 total"/>
      <sheetName val="견적颙⿬_x0005_"/>
      <sheetName val="견적颙⿶_x0005_"/>
      <sheetName val="견적_x0005__x0000_"/>
      <sheetName val="견적叐E吜"/>
      <sheetName val="견적颙』_x0005_"/>
      <sheetName val="EACT10"/>
      <sheetName val="배명(단가柖"/>
      <sheetName val="tra-vat-lieu"/>
      <sheetName val="FILE1"/>
      <sheetName val="EQ"/>
      <sheetName val="내역서1999.8최종"/>
      <sheetName val="부대표지_x0000__x0000__x0005__x0000_腰"/>
      <sheetName val="업무처리전"/>
      <sheetName val="기계사급자재"/>
      <sheetName val="하도계약반영"/>
      <sheetName val="VENT"/>
      <sheetName val="준검_내逃ᚹ欃"/>
      <sheetName val="내역서-2"/>
      <sheetName val="설계내역2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변경내역서"/>
      <sheetName val="내역(전력)"/>
      <sheetName val="8설7발"/>
      <sheetName val="치수표"/>
      <sheetName val="토공정보"/>
      <sheetName val="교각토"/>
      <sheetName val="흄관기_x0000_"/>
      <sheetName val="흄관기0"/>
      <sheetName val=" "/>
      <sheetName val="변경집계표"/>
      <sheetName val="F 월별기성수금현황 "/>
      <sheetName val="할증표"/>
      <sheetName val="단위수량DATA"/>
      <sheetName val="물량표(신)"/>
      <sheetName val="일위대가(산근)"/>
      <sheetName val="합천내역"/>
      <sheetName val="Proposal"/>
      <sheetName val="사리부설"/>
      <sheetName val="적용단가"/>
      <sheetName val="콘크리트포장"/>
      <sheetName val="암거난간벽집계(2)"/>
      <sheetName val="FANDBS"/>
      <sheetName val="GRDATA"/>
      <sheetName val="SHAFTDBSE"/>
      <sheetName val="표  지"/>
      <sheetName val="설계예시"/>
      <sheetName val="양배수장"/>
      <sheetName val="맨홀토공"/>
      <sheetName val="전기일목(조사가)"/>
      <sheetName val="공사내역"/>
      <sheetName val="수목데이타"/>
      <sheetName val="본실행경비"/>
      <sheetName val="Sikje_inĴ¾_x0000_"/>
      <sheetName val="갑"/>
      <sheetName val="J"/>
      <sheetName val="설계카드"/>
      <sheetName val="공사설명서"/>
      <sheetName val="공사계획서"/>
      <sheetName val="예산조서"/>
      <sheetName val="99 조정금액"/>
      <sheetName val="주요재료비(원본)"/>
      <sheetName val="실행내역서(DCU)"/>
      <sheetName val="중기쥰종사 단위단가"/>
      <sheetName val="일위대가단가표"/>
      <sheetName val="GRD⍠も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FAB별"/>
      <sheetName val="사유서제출현황-2"/>
      <sheetName val="근로자명단2013"/>
      <sheetName val="간이연락"/>
      <sheetName val="새공통"/>
      <sheetName val="TRAY 헹거산출"/>
      <sheetName val="1鶈"/>
      <sheetName val="철집"/>
      <sheetName val="YES-T"/>
      <sheetName val="3.전기산출기초"/>
      <sheetName val="함열량 db"/>
      <sheetName val="단위중량표"/>
      <sheetName val="고객사 관리 코드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산출0"/>
      <sheetName val="PTVT (MAU)"/>
      <sheetName val="기초목"/>
      <sheetName val="125x125"/>
      <sheetName val="TOSHIBA-Structure"/>
      <sheetName val="공량(전기)"/>
      <sheetName val="기계실냉༛彬"/>
      <sheetName val="06 일위대가목록"/>
      <sheetName val="슬래브수량산출"/>
      <sheetName val="콘크리트"/>
      <sheetName val="식생블럭단위수량"/>
      <sheetName val="토량산출서"/>
      <sheetName val="인부신상_x0000__x0000_"/>
      <sheetName val="주안3차A-A"/>
      <sheetName val="Div26 - Elect"/>
      <sheetName val="SITE-E"/>
      <sheetName val="NOTE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내역서_(2)"/>
      <sheetName val="strut_type"/>
      <sheetName val="한성교회_신축공사(050713)_CheckList"/>
      <sheetName val="FRP_PIPING_일위대가"/>
      <sheetName val="48"/>
      <sheetName val="DonGia chetao"/>
      <sheetName val="DonGia VatTuLK"/>
      <sheetName val="인력터파기품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기존단가 (2)"/>
      <sheetName val="Level-DATA"/>
      <sheetName val="Fr Revit"/>
      <sheetName val="NSA Summary"/>
      <sheetName val="FitOutConfCentre"/>
      <sheetName val="월별계획"/>
      <sheetName val="발주현황"/>
      <sheetName val="총공사Ԁ쭭㠯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HW일위"/>
      <sheetName val="䣐"/>
      <sheetName val="GAEYO"/>
      <sheetName val="1.1"/>
      <sheetName val="전압강하"/>
      <sheetName val="LD"/>
      <sheetName val="3BL공동구"/>
      <sheetName val="부도어음"/>
      <sheetName val="제잡비(주공종)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D.B"/>
      <sheetName val="20관리비율"/>
      <sheetName val="1.청구서"/>
      <sheetName val="2.내역서"/>
      <sheetName val="기성지급예정"/>
      <sheetName val="실지급내역"/>
      <sheetName val="노무비지급"/>
      <sheetName val="표"/>
      <sheetName val="-배수구조총재료"/>
      <sheetName val="외주대비-구_x0005__x0000_"/>
      <sheetName val="외주대비-구멫⽄"/>
      <sheetName val="수지예산"/>
      <sheetName val="K2 site Total 내역서"/>
      <sheetName val="외주대비x_x0000_Ԁ_x0000_"/>
      <sheetName val="벽체면적˱ጐɈី"/>
      <sheetName val="2_1"/>
      <sheetName val="사__업__비__수__지__예__산__서"/>
      <sheetName val="기계_도급내역서"/>
      <sheetName val="10_경제성분석"/>
      <sheetName val="1차설계逷≙≙"/>
      <sheetName val="0217상가미분양자산"/>
      <sheetName val="외주대비-구ꮸ〇"/>
      <sheetName val="부대표지_x0000__x0000__x0005__x0000_䥀"/>
      <sheetName val="행정표준(2惍"/>
      <sheetName val="행정표준(2ネ"/>
      <sheetName val="구조ఀ덀_x0000_"/>
      <sheetName val="구조怀ྋĀ"/>
      <sheetName val="연평잔"/>
      <sheetName val="Efficiency"/>
      <sheetName val="타설"/>
      <sheetName val="GiaVT"/>
      <sheetName val="Q'ty"/>
      <sheetName val="chi tiet"/>
      <sheetName val="PPC Summary"/>
      <sheetName val="Worshop"/>
      <sheetName val="ac"/>
      <sheetName val="LPG"/>
      <sheetName val="Lumen"/>
      <sheetName val="공종코드"/>
      <sheetName val="구조물터파기ꗤNˠ"/>
      <sheetName val="해외교육"/>
      <sheetName val="foxz"/>
      <sheetName val="Tong hop"/>
      <sheetName val="Phan lap dat"/>
      <sheetName val="Lắp Ráp"/>
      <sheetName val="외주대비-구_x0000__x0000_"/>
      <sheetName val="자판실행"/>
      <sheetName val="총괄표 "/>
      <sheetName val="수로BOX"/>
      <sheetName val="부대표지_x0000__x0000__x0005__x0000_⽠"/>
      <sheetName val="기초입력ԯ_x0000_缀_x0000__x0000_"/>
      <sheetName val="토공계산서(부체도로)"/>
      <sheetName val="경비_원본"/>
      <sheetName val="평가내역"/>
      <sheetName val="템플릿"/>
      <sheetName val="가정급수관"/>
      <sheetName val="수벽설치(효자)"/>
      <sheetName val="SIL98"/>
      <sheetName val="부대표지츀 _x0000__x0000_얈"/>
      <sheetName val="부대표지츀 _x0000__x0000_篐"/>
      <sheetName val="PIPING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0_0ControlSheet5"/>
      <sheetName val="0_1keyAssumption5"/>
      <sheetName val="4_내진설계4"/>
      <sheetName val="Sheet1_(2)4"/>
      <sheetName val="1_취수장4"/>
      <sheetName val="BSD_(2)4"/>
      <sheetName val="4_경비_5_영업외수지2"/>
      <sheetName val="_견적서2"/>
      <sheetName val="제잡비_xls4"/>
      <sheetName val="3BL공동구_수량4"/>
      <sheetName val="인건비_4"/>
      <sheetName val="_총괄표4"/>
      <sheetName val="2_고용보험료산출근거4"/>
      <sheetName val="96보완계획7_124"/>
      <sheetName val="1__설계조건_2_단면가정_3__하중계산4"/>
      <sheetName val="DATA_입력란4"/>
      <sheetName val="실행내역서_4"/>
      <sheetName val="전차선로_물량표4"/>
      <sheetName val="부대입찰_내역서4"/>
      <sheetName val="원가계산_(2)4"/>
      <sheetName val="토공(우물통,기타)_4"/>
      <sheetName val="Eq__Mobilization4"/>
      <sheetName val="광통신_견적내역서12"/>
      <sheetName val="할증_2"/>
      <sheetName val="노원열병합__건축공사기성내역서4"/>
      <sheetName val="unit_42"/>
      <sheetName val="현장관리비_산출내역4"/>
      <sheetName val="현장별계약현황('98_10_31)4"/>
      <sheetName val="97년_추정4"/>
      <sheetName val="1_설계조건4"/>
      <sheetName val="플랜트_설치4"/>
      <sheetName val="1_설계기준3"/>
      <sheetName val="콤보박스와_리스트박스의_연결4"/>
      <sheetName val="설내역서_3"/>
      <sheetName val="프라임_강변역(4,236)2"/>
      <sheetName val="내___역2"/>
      <sheetName val="집_계_표2"/>
      <sheetName val="8_PILE__(돌출)3"/>
      <sheetName val="2000년_공정표2"/>
      <sheetName val="5_2코핑2"/>
      <sheetName val="배수공_시멘트_및_골재량_산출2"/>
      <sheetName val="7_PILE__(돌출)2"/>
      <sheetName val="P_M_별2"/>
      <sheetName val="CIP_공사3"/>
      <sheetName val="표지_(2)4"/>
      <sheetName val="수량산출서_갑지2"/>
      <sheetName val="DATA_입력부2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구조______2"/>
      <sheetName val="b_balju_(2)3"/>
      <sheetName val="노무비_2"/>
      <sheetName val="화재_탐지_설비2"/>
      <sheetName val="Customer_Databas2"/>
      <sheetName val="4_LINE2"/>
      <sheetName val="7_th2"/>
      <sheetName val="_갑지2"/>
      <sheetName val="4_일위대가집계2"/>
      <sheetName val="내역서_제출2"/>
      <sheetName val="A_LINE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2_교량(신설)2"/>
      <sheetName val="EQUIP_LIST2"/>
      <sheetName val="일위대가_(PM)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제출내역_(2)2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경비_(1)1"/>
      <sheetName val="2F_회의실견적(5_14_일대)1"/>
      <sheetName val="단양_00_아파트-세부내역2"/>
      <sheetName val="VENDOR_LIST1"/>
      <sheetName val="설계기준_및_하중계산1"/>
      <sheetName val="5호광장_(만점)2"/>
      <sheetName val="인천국제_(만점)_(2)2"/>
      <sheetName val="전선_및_전선관1"/>
      <sheetName val="Sight_n_M_H1"/>
      <sheetName val="단가_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수목데이타_1"/>
      <sheetName val="108_수선비1"/>
      <sheetName val="①idea_pipeline1"/>
      <sheetName val="IMP_통일양식1"/>
      <sheetName val="LYS_통일양식1"/>
      <sheetName val="Xunit_(단위환산)1"/>
      <sheetName val="유통기한_프로그램1"/>
      <sheetName val="단가_및_재료비1"/>
      <sheetName val="내역서_(2)1"/>
      <sheetName val="총괄집계_1"/>
      <sheetName val="한성교회_신축공사(050713)_CheckList1"/>
      <sheetName val="9_1지하2층하부보2"/>
      <sheetName val="4_일위대가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4_2_1_마루높이_검토1"/>
      <sheetName val="BOX_본체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STEEL_BOX_단면설계(SEC_8)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함열량_db"/>
      <sheetName val="-15_0"/>
      <sheetName val="6_이토처리시간1"/>
      <sheetName val="울진항공등화_내역서1"/>
      <sheetName val="영흥TL(UP,DOWN)_1"/>
      <sheetName val="일_위_대_가_표1"/>
      <sheetName val="고객사_관리_코드1"/>
      <sheetName val="공내역_및_견적조건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중기쥰종사_단위단가1"/>
      <sheetName val="PTVT_(MAU)1"/>
      <sheetName val="청_구"/>
      <sheetName val="7_전산해석결과"/>
      <sheetName val="4_하중"/>
      <sheetName val="모선자재_집계표"/>
      <sheetName val="재료의_할증"/>
      <sheetName val="내역서_"/>
      <sheetName val="표__지"/>
      <sheetName val="D1_2_COF모듈자재_입출재고_(B급)"/>
      <sheetName val="chi_tiet"/>
      <sheetName val="PPC_Summary"/>
      <sheetName val="기존단가_(2)"/>
      <sheetName val="chiettinh"/>
      <sheetName val="Parem"/>
      <sheetName val="THVT"/>
      <sheetName val="장비당단가_(1)3"/>
      <sheetName val="Sheet2_(2)3"/>
      <sheetName val="수_량_명_세_서_-_13"/>
      <sheetName val="별표_3"/>
      <sheetName val="2_건축3"/>
      <sheetName val="공정표_3"/>
      <sheetName val="1차_내역서1"/>
      <sheetName val="kimre_scrubber1"/>
      <sheetName val="strut_type1"/>
      <sheetName val="FRP_PIPING_일위대가1"/>
      <sheetName val="Div26_-_Elect"/>
      <sheetName val="Bảng_mã_VT"/>
      <sheetName val="Khoi_luong"/>
      <sheetName val="DonGia_chetao"/>
      <sheetName val="DonGia_VatTuLK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Rate"/>
      <sheetName val="Kiem-Toan"/>
      <sheetName val="gVL"/>
      <sheetName val="Quantity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Prelims"/>
      <sheetName val="cong thuc tinh chi tiet"/>
      <sheetName val="00000000"/>
      <sheetName val="cong_thuc_tinh_chi_tiet"/>
      <sheetName val="cong_thuc_tinh_chi_tiet1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GC산출"/>
      <sheetName val="cable산출"/>
      <sheetName val="횡배수관 토공량 산출"/>
      <sheetName val="동력부하계산"/>
      <sheetName val="조ꌀ"/>
      <sheetName val="조Ꝣ"/>
      <sheetName val="계약대비내역서 (부경)"/>
      <sheetName val="집행대비내역서 (부경)"/>
      <sheetName val="계약그라우팅.포장"/>
      <sheetName val="계약사무실조경 "/>
      <sheetName val="부대공사비"/>
      <sheetName val="CԀ"/>
      <sheetName val="NOM³"/>
      <sheetName val="NOMֳ"/>
      <sheetName val="견적_x0005_"/>
      <sheetName val="기초입력ԯ"/>
      <sheetName val="외주대비x"/>
      <sheetName val="현장´_x0000_Ԁ_x0000_"/>
      <sheetName val="인부신상헾⼳"/>
      <sheetName val="철근׃"/>
      <sheetName val="수량산출서_x0000__x0000__x0005_"/>
      <sheetName val="수량산출서_x0010__x0000_"/>
      <sheetName val="Rect. 10"/>
      <sheetName val="호곡중학교"/>
      <sheetName val="관접합및부설"/>
      <sheetName val="3.1.6 전산처리결과"/>
      <sheetName val="도시정비"/>
      <sheetName val="개발"/>
      <sheetName val="도시정비 "/>
      <sheetName val="민간"/>
      <sheetName val="2013년상반기"/>
      <sheetName val="_x0000__x0010__x0000_내"/>
      <sheetName val="건_′近丂"/>
      <sheetName val="건_ê_x0000_Ԁ"/>
      <sheetName val="⑻동원인원산출서⑧"/>
      <sheetName val="토목단가"/>
      <sheetName val="본장"/>
      <sheetName val="97_사업추정(WEKI)"/>
      <sheetName val="_ｹ-ﾌﾞﾙ"/>
      <sheetName val="신평리_권리자명부"/>
      <sheetName val="토__공"/>
      <sheetName val="견적颙⿬"/>
      <sheetName val="견적颙⿶"/>
      <sheetName val="견적"/>
      <sheetName val="견적颙』"/>
      <sheetName val="99_조정금액"/>
      <sheetName val="외주현황_wq1"/>
      <sheetName val="태화42_"/>
      <sheetName val="배수喘"/>
      <sheetName val="220_(2)"/>
      <sheetName val="토공_total"/>
      <sheetName val="BEND_LOSS"/>
      <sheetName val="3_관로전환기"/>
      <sheetName val="내역서1999_8최종"/>
      <sheetName val="부대표지腰"/>
      <sheetName val="3_전기산출기초"/>
      <sheetName val="F_월별기성수금현황_"/>
      <sheetName val="TRAY_헹거산출"/>
      <sheetName val="1_1"/>
      <sheetName val="_"/>
      <sheetName val="피벗테이블데이터분석"/>
      <sheetName val="총공사_x0000__x0000_Ԁ"/>
      <sheetName val="1-׃⼿"/>
      <sheetName val="1-닑⽋"/>
      <sheetName val="1-_x0005__x0000_"/>
      <sheetName val="A-100전제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아파트급수지하PIT층평면도(평면도)"/>
      <sheetName val="오억미만"/>
      <sheetName val="계산내역(설비)"/>
      <sheetName val="Bab泅啢堀㭔*"/>
      <sheetName val="01. DATA"/>
      <sheetName val="CF_DT"/>
      <sheetName val="chitiet"/>
      <sheetName val="Sikje_in_x0005__x0000_"/>
      <sheetName val="샌딩 에폭시 도장"/>
      <sheetName val="2련간지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견적표지_(3"/>
      <sheetName val="SCOPE OF WORK"/>
      <sheetName val="BG"/>
      <sheetName val="대3류 "/>
      <sheetName val="외주대비 ᨀ晙ԯ"/>
      <sheetName val="入力作成表"/>
      <sheetName val="D_MUC"/>
      <sheetName val="내역서-설비"/>
      <sheetName val="전도금정산서(27)"/>
      <sheetName val="3.단가산출서"/>
      <sheetName val="4.단가산출기초"/>
      <sheetName val="일위대가Ȓ_x0000_"/>
      <sheetName val="일위대가顔-"/>
      <sheetName val="기초데이타"/>
      <sheetName val="용산1(해보)"/>
      <sheetName val="매입"/>
      <sheetName val="서울대규장각(가시설흙막이)"/>
      <sheetName val="재무가정"/>
      <sheetName val="사전공사"/>
      <sheetName val="수정_x0000__x0000_"/>
      <sheetName val="투찰금액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2_대외공문7"/>
      <sheetName val="0_0ControlSheet7"/>
      <sheetName val="0_1keyAssumption7"/>
      <sheetName val="1_수인터널7"/>
      <sheetName val="6PILE__(돌출)7"/>
      <sheetName val="설_계7"/>
      <sheetName val="AS포장복구_7"/>
      <sheetName val="현장별계약현황('98_10_31)6"/>
      <sheetName val="Sheet1_(2)6"/>
      <sheetName val="입출재고현황_(2)6"/>
      <sheetName val="내역(최종본4_5)7"/>
      <sheetName val="96보완계획7_126"/>
      <sheetName val="전차선로_물량표6"/>
      <sheetName val="4_내진설계6"/>
      <sheetName val="BSD_(2)6"/>
      <sheetName val="1_취수장6"/>
      <sheetName val="_총괄표6"/>
      <sheetName val="실행내역서_6"/>
      <sheetName val="노원열병합__건축공사기성내역서6"/>
      <sheetName val="부대입찰_내역서6"/>
      <sheetName val="3BL공동구_수량6"/>
      <sheetName val="토공(우물통,기타)_6"/>
      <sheetName val="1__설계조건_2_단면가정_3__하중계산6"/>
      <sheetName val="DATA_입력란6"/>
      <sheetName val="1_설계조건6"/>
      <sheetName val="플랜트_설치6"/>
      <sheetName val="인건비_6"/>
      <sheetName val="제잡비_xls6"/>
      <sheetName val="2_고용보험료산출근거6"/>
      <sheetName val="원가계산_(2)6"/>
      <sheetName val="Eq__Mobilization6"/>
      <sheetName val="콤보박스와_리스트박스의_연결6"/>
      <sheetName val="설내역서_5"/>
      <sheetName val="97년_추정6"/>
      <sheetName val="현장관리비_산출내역6"/>
      <sheetName val="장비당단가_(1)5"/>
      <sheetName val="Sheet2_(2)5"/>
      <sheetName val="1_설계기준5"/>
      <sheetName val="내___역4"/>
      <sheetName val="집_계_표4"/>
      <sheetName val="프라임_강변역(4,236)4"/>
      <sheetName val="8_PILE__(돌출)5"/>
      <sheetName val="2000년_공정표4"/>
      <sheetName val="수_량_명_세_서_-_15"/>
      <sheetName val="2_건축5"/>
      <sheetName val="2_교량(신설)4"/>
      <sheetName val="5_2코핑4"/>
      <sheetName val="공정표_5"/>
      <sheetName val="P_M_별4"/>
      <sheetName val="배수공_시멘트_및_골재량_산출4"/>
      <sheetName val="7_PILE__(돌출)4"/>
      <sheetName val="DATA_입력부4"/>
      <sheetName val="수량산출서_갑지4"/>
      <sheetName val="별표_5"/>
      <sheetName val="CIP_공사5"/>
      <sheetName val="1_3_1절점좌표4"/>
      <sheetName val="1_1설계기준4"/>
      <sheetName val="표지_(2)6"/>
      <sheetName val="광통신_견적내역서14"/>
      <sheetName val="할증_4"/>
      <sheetName val="unit_44"/>
      <sheetName val="4_경비_5_영업외수지4"/>
      <sheetName val="_견적서4"/>
      <sheetName val="표지_(3)6"/>
      <sheetName val="교각집계_(2)6"/>
      <sheetName val="교각토공_(2)6"/>
      <sheetName val="교각철근_(2)6"/>
      <sheetName val="외주대비_-석축6"/>
      <sheetName val="1_본부별4"/>
      <sheetName val="2000_054"/>
      <sheetName val="외주대비-구조물_(2)6"/>
      <sheetName val="견적표지_(3)6"/>
      <sheetName val="_HIT-&gt;HMC_견적(3900)6"/>
      <sheetName val="일__위__대__가__목__록6"/>
      <sheetName val="교각토공__2_6"/>
      <sheetName val="HRSG_SMALL072206"/>
      <sheetName val="6__안전관리비10"/>
      <sheetName val="하도내역_(철콘)5"/>
      <sheetName val="3_공통공사대비6"/>
      <sheetName val="노무비_근거5"/>
      <sheetName val="조건표_(2)5"/>
      <sheetName val="임율_Data5"/>
      <sheetName val="2차전체변경예정_(2)5"/>
      <sheetName val="토공유동표(전체_당초)5"/>
      <sheetName val="목차_5"/>
      <sheetName val="단면_(2)5"/>
      <sheetName val="b_balju_(2)5"/>
      <sheetName val="8_현장관리비5"/>
      <sheetName val="7_안전관리비5"/>
      <sheetName val="7__현장관리비_5"/>
      <sheetName val="노무비_4"/>
      <sheetName val="내역서_제출4"/>
      <sheetName val="구조______4"/>
      <sheetName val="간_지14"/>
      <sheetName val="화재_탐지_설비4"/>
      <sheetName val="4_일위대가집계4"/>
      <sheetName val="5__현장관리비(new)_4"/>
      <sheetName val="Customer_Databas4"/>
      <sheetName val="방배동내역_(총괄)4"/>
      <sheetName val="기초입력_DATA4"/>
      <sheetName val="EQUIP_LIST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4_장비손료4"/>
      <sheetName val="단양_00_아파트-세부내역4"/>
      <sheetName val="원내역서_그대로3"/>
      <sheetName val="PROJECT_BRIEF3"/>
      <sheetName val="Sight_n_M_H3"/>
      <sheetName val="단가_3"/>
      <sheetName val="4_LINE4"/>
      <sheetName val="7_th4"/>
      <sheetName val="_갑지4"/>
      <sheetName val="A_LINE4"/>
      <sheetName val="5__현장관리비_new__4"/>
      <sheetName val="Temporary_Mooring4"/>
      <sheetName val="중기조종사_단위단가5"/>
      <sheetName val="총_원가계산4"/>
      <sheetName val="매출요약(월별)_-년간3"/>
      <sheetName val="Piping_Design_Data3"/>
      <sheetName val="4_&amp;_10-inch,_CO2_Combo_&amp;_Sweep3"/>
      <sheetName val="5_정산서4"/>
      <sheetName val="5호광장_(만점)4"/>
      <sheetName val="인천국제_(만점)_(2)4"/>
      <sheetName val="전선_및_전선관3"/>
      <sheetName val="VENDOR_LIST3"/>
      <sheetName val="설계기준_및_하중계산3"/>
      <sheetName val="수목데이타_3"/>
      <sheetName val="1062-X방향_3"/>
      <sheetName val="TABLE_DB3"/>
      <sheetName val="쌍용_data_base3"/>
      <sheetName val="제출내역_(2)4"/>
      <sheetName val="969910(_R)3"/>
      <sheetName val="2F_회의실견적(5_14_일대)3"/>
      <sheetName val="경비_(1)3"/>
      <sheetName val="2_2_오피스텔(12~32F)4"/>
      <sheetName val="일위대가_집계표4"/>
      <sheetName val="9_1지하2층하부보4"/>
      <sheetName val="단계별내역_(2)4"/>
      <sheetName val="4_일위대가4"/>
      <sheetName val="한성교회_신축공사(050713)_CheckList3"/>
      <sheetName val="단가_및_재료비3"/>
      <sheetName val="1_䷨수장3"/>
      <sheetName val="4_뀴진설Ⳅ3"/>
      <sheetName val="전䰨선로_물량표3"/>
      <sheetName val="㶀대입찰_내역서3"/>
      <sheetName val="내역서_(2)3"/>
      <sheetName val="strut_type3"/>
      <sheetName val="10_경제성분석2"/>
      <sheetName val="총괄집계_3"/>
      <sheetName val="2_12"/>
      <sheetName val="기계_도급내역서2"/>
      <sheetName val="kimre_scrubber3"/>
      <sheetName val="108_수선비3"/>
      <sheetName val="FRP_PIPING_일위대가3"/>
      <sheetName val="-15_02"/>
      <sheetName val="개인별_순위표4"/>
      <sheetName val="사__업__비__수__지__예__산__서2"/>
      <sheetName val="CM_14"/>
      <sheetName val="청_구1"/>
      <sheetName val="공내역_및_견적조건2"/>
      <sheetName val="STEEL_BOX_단면설계(SEC_8)3"/>
      <sheetName val="2_2_띠장의_설계4"/>
      <sheetName val="자__재4"/>
      <sheetName val="세골재__T2_변경_현황3"/>
      <sheetName val="6__안전관리비11"/>
      <sheetName val="기술부_VENDOR_LIST4"/>
      <sheetName val="4_2_1_마루높이_검토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전화공사_공량_및_집계표3"/>
      <sheetName val="참조_(2)3"/>
      <sheetName val="6__직접경비3"/>
      <sheetName val="대가_(보완)3"/>
      <sheetName val="3_자재비(총괄)3"/>
      <sheetName val="제조_경영3"/>
      <sheetName val="4_전기3"/>
      <sheetName val="노_무_비3"/>
      <sheetName val="미납품_현황3"/>
      <sheetName val="신설개소별_총집계표(동해-배전)3"/>
      <sheetName val="BOX_본체3"/>
      <sheetName val="MP_MOB3"/>
      <sheetName val="일위대가_(PM)3"/>
      <sheetName val="7_전산해석결과1"/>
      <sheetName val="4_하중1"/>
      <sheetName val="①idea_pipeline3"/>
      <sheetName val="IMP_통일양식3"/>
      <sheetName val="LYS_통일양식3"/>
      <sheetName val="Xunit_(단위환산)3"/>
      <sheetName val="유통기한_프로그램3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명일작업계획_(3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6_이토처리시간3"/>
      <sheetName val="1차_내역서3"/>
      <sheetName val="울진항공등화_내역서3"/>
      <sheetName val="일_위_대_가_표3"/>
      <sheetName val="영흥TL(UP,DOWN)_3"/>
      <sheetName val="3련_BOX3"/>
      <sheetName val="내역서_2"/>
      <sheetName val="2_1외주3"/>
      <sheetName val="2_3노무3"/>
      <sheetName val="2_4자재3"/>
      <sheetName val="2_2장비3"/>
      <sheetName val="2_5경비3"/>
      <sheetName val="2_6수목대3"/>
      <sheetName val="모선자재_집계표2"/>
      <sheetName val="재료의_할증2"/>
      <sheetName val="D1_2_COF모듈자재_입출재고_(B급)2"/>
      <sheetName val="표__지2"/>
      <sheetName val="중기쥰종사_단위단가3"/>
      <sheetName val="함열량_db2"/>
      <sheetName val="고객사_관리_코드3"/>
      <sheetName val="PTVT_(MAU)3"/>
      <sheetName val="기존단가_(2)1"/>
      <sheetName val="D_B"/>
      <sheetName val="금회_청구사항(기계)"/>
      <sheetName val="기성갑지_(소방)"/>
      <sheetName val="금회_청구사항(소방)"/>
      <sheetName val="K2_site_Total_내역서"/>
      <sheetName val="1_청구서"/>
      <sheetName val="2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Div26_-_Elect2"/>
      <sheetName val="Khoi_luong2"/>
      <sheetName val="Bảng_mã_VT2"/>
      <sheetName val="DonGia_chetao2"/>
      <sheetName val="DonGia_VatTuLK2"/>
      <sheetName val="Fr_Revit2"/>
      <sheetName val="NSA_Summary2"/>
      <sheetName val="chi_tiet1"/>
      <sheetName val="PPC_Summary1"/>
      <sheetName val="Tong_hop"/>
      <sheetName val="Phan_lap_dat"/>
      <sheetName val="Lắp_Ráp"/>
      <sheetName val="동강_배관"/>
      <sheetName val="WCR_외주"/>
      <sheetName val="ANILINE_-_OPTION"/>
      <sheetName val="MDI_-_OPTION"/>
      <sheetName val="총괄표_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부대표지䥀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cong_thuc_tinh_chi_tiet2"/>
      <sheetName val="외주대비_-석축_x"/>
      <sheetName val="_IL-3_XLSY갑지4"/>
      <sheetName val="KET_CAU-_MJV2"/>
      <sheetName val="Ví_dụ"/>
      <sheetName val="Gia_VLNCMTC"/>
      <sheetName val="06_일위대가목록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1_수인터널8"/>
      <sheetName val="2_대외공문8"/>
      <sheetName val="설_계8"/>
      <sheetName val="6PILE__(돌출)8"/>
      <sheetName val="AS포장복구_8"/>
      <sheetName val="입출재고현황_(2)7"/>
      <sheetName val="0_0ControlSheet8"/>
      <sheetName val="0_1keyAssumption8"/>
      <sheetName val="4_내진설계7"/>
      <sheetName val="내역(최종본4_5)8"/>
      <sheetName val="Sheet1_(2)7"/>
      <sheetName val="BSD_(2)7"/>
      <sheetName val="1_취수장7"/>
      <sheetName val="부대입찰_내역서7"/>
      <sheetName val="전차선로_물량표7"/>
      <sheetName val="토공(우물통,기타)_7"/>
      <sheetName val="_총괄표7"/>
      <sheetName val="현장관리비_산출내역7"/>
      <sheetName val="제잡비_xls7"/>
      <sheetName val="3BL공동구_수량7"/>
      <sheetName val="현장별계약현황('98_10_31)7"/>
      <sheetName val="96보완계획7_127"/>
      <sheetName val="97년_추정7"/>
      <sheetName val="인건비_7"/>
      <sheetName val="1__설계조건_2_단면가정_3__하중계산7"/>
      <sheetName val="DATA_입력란7"/>
      <sheetName val="실행내역서_7"/>
      <sheetName val="1_설계조건7"/>
      <sheetName val="2_고용보험료산출근거7"/>
      <sheetName val="노원열병합__건축공사기성내역서7"/>
      <sheetName val="Eq__Mobilization7"/>
      <sheetName val="원가계산_(2)7"/>
      <sheetName val="장비당단가_(1)6"/>
      <sheetName val="Sheet2_(2)6"/>
      <sheetName val="내___역5"/>
      <sheetName val="1_설계기준6"/>
      <sheetName val="프라임_강변역(4,236)5"/>
      <sheetName val="플랜트_설치7"/>
      <sheetName val="8_PILE__(돌출)6"/>
      <sheetName val="콤보박스와_리스트박스의_연결7"/>
      <sheetName val="2000년_공정표5"/>
      <sheetName val="수_량_명_세_서_-_16"/>
      <sheetName val="설내역서_6"/>
      <sheetName val="2_건축6"/>
      <sheetName val="집_계_표5"/>
      <sheetName val="2_교량(신설)5"/>
      <sheetName val="5_2코핑5"/>
      <sheetName val="공정표_6"/>
      <sheetName val="P_M_별5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교각토공__2_7"/>
      <sheetName val="HRSG_SMALL072207"/>
      <sheetName val="6__안전관리비12"/>
      <sheetName val="하도내역_(철콘)6"/>
      <sheetName val="3_공통공사대비7"/>
      <sheetName val="노무비_근거6"/>
      <sheetName val="조건표_(2)6"/>
      <sheetName val="별표_6"/>
      <sheetName val="임율_Data6"/>
      <sheetName val="2차전체변경예정_(2)6"/>
      <sheetName val="토공유동표(전체_당초)6"/>
      <sheetName val="목차_6"/>
      <sheetName val="단면_(2)6"/>
      <sheetName val="b_balju_(2)6"/>
      <sheetName val="8_현장관리비6"/>
      <sheetName val="7_안전관리비6"/>
      <sheetName val="7__현장관리비_6"/>
      <sheetName val="노무비_5"/>
      <sheetName val="내역서_제출5"/>
      <sheetName val="구조______5"/>
      <sheetName val="간_지15"/>
      <sheetName val="화재_탐지_설비5"/>
      <sheetName val="4_일위대가집계5"/>
      <sheetName val="5__현장관리비(new)_5"/>
      <sheetName val="Customer_Databas5"/>
      <sheetName val="방배동내역_(총괄)5"/>
      <sheetName val="배수공_시멘트_및_골재량_산출5"/>
      <sheetName val="7_PILE__(돌출)5"/>
      <sheetName val="CIP_공사6"/>
      <sheetName val="광통신_견적내역서15"/>
      <sheetName val="할증_5"/>
      <sheetName val="unit_45"/>
      <sheetName val="DATA_입력부5"/>
      <sheetName val="수량산출서_갑지5"/>
      <sheetName val="남양시작동자105노65기1_3화1_24"/>
      <sheetName val="관음목장(제출용)자105인97_54"/>
      <sheetName val="1_본부별5"/>
      <sheetName val="1_3_1절점좌표5"/>
      <sheetName val="1_1설계기준5"/>
      <sheetName val="2000_055"/>
      <sheetName val="기초입력_DATA5"/>
      <sheetName val="단양_00_아파트-세부내역5"/>
      <sheetName val="4_경비_5_영업외수지5"/>
      <sheetName val="_견적서5"/>
      <sheetName val="EQUIP_LIST5"/>
      <sheetName val="Piping_Design_Data4"/>
      <sheetName val="4_&amp;_10-inch,_CO2_Combo_&amp;_Sweep4"/>
      <sheetName val="Sight_n_M_H4"/>
      <sheetName val="4_장비손료5"/>
      <sheetName val="2F_회의실견적(5_14_일대)4"/>
      <sheetName val="재활용_악취_먼지DUCT산출5"/>
      <sheetName val="전체내역_(2)4"/>
      <sheetName val="Hyundai_Unit_cost_xls4"/>
      <sheetName val="969910(_R)4"/>
      <sheetName val="원내역서_그대로4"/>
      <sheetName val="5_정산서5"/>
      <sheetName val="수목데이타_4"/>
      <sheetName val="1062-X방향_4"/>
      <sheetName val="TABLE_DB4"/>
      <sheetName val="쌍용_data_base4"/>
      <sheetName val="경비_(1)4"/>
      <sheetName val="설계기준_및_하중계산4"/>
      <sheetName val="PROJECT_BRIEF4"/>
      <sheetName val="5호광장_(만점)5"/>
      <sheetName val="인천국제_(만점)_(2)5"/>
      <sheetName val="전선_및_전선관4"/>
      <sheetName val="VENDOR_LIST4"/>
      <sheetName val="중기조종사_단위단가6"/>
      <sheetName val="5__현장관리비_new__5"/>
      <sheetName val="Temporary_Mooring5"/>
      <sheetName val="A_LINE5"/>
      <sheetName val="제출내역_(2)5"/>
      <sheetName val="2_2_오피스텔(12~32F)5"/>
      <sheetName val="_갑지5"/>
      <sheetName val="일위대가_집계표5"/>
      <sheetName val="9_1지하2층하부보5"/>
      <sheetName val="단계별내역_(2)5"/>
      <sheetName val="총_원가계산5"/>
      <sheetName val="4_일위대가5"/>
      <sheetName val="단가_4"/>
      <sheetName val="4_LINE5"/>
      <sheetName val="7_th5"/>
      <sheetName val="매출요약(월별)_-년간4"/>
      <sheetName val="한성교회_신축공사(050713)_CheckList4"/>
      <sheetName val="단가_및_재료비4"/>
      <sheetName val="1_䷨수장4"/>
      <sheetName val="4_뀴진설Ⳅ4"/>
      <sheetName val="전䰨선로_물량표4"/>
      <sheetName val="㶀대입찰_내역서4"/>
      <sheetName val="내역서_(2)4"/>
      <sheetName val="strut_type4"/>
      <sheetName val="10_경제성분석3"/>
      <sheetName val="총괄집계_4"/>
      <sheetName val="2_13"/>
      <sheetName val="기계_도급내역서3"/>
      <sheetName val="kimre_scrubber4"/>
      <sheetName val="108_수선비4"/>
      <sheetName val="FRP_PIPING_일위대가4"/>
      <sheetName val="-15_03"/>
      <sheetName val="개인별_순위표5"/>
      <sheetName val="사__업__비__수__지__예__산__서3"/>
      <sheetName val="CM_15"/>
      <sheetName val="청_구2"/>
      <sheetName val="공내역_및_견적조건3"/>
      <sheetName val="_ｹ-ﾌﾞﾙ1"/>
      <sheetName val="97_사업추정(WEKI)1"/>
      <sheetName val="STEEL_BOX_단면설계(SEC_8)4"/>
      <sheetName val="2_2_띠장의_설계5"/>
      <sheetName val="자__재5"/>
      <sheetName val="세골재__T2_변경_현황4"/>
      <sheetName val="6__안전관리비13"/>
      <sheetName val="기술부_VENDOR_LIST5"/>
      <sheetName val="4_2_1_마루높이_검토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BOX_본체4"/>
      <sheetName val="MP_MOB4"/>
      <sheetName val="신평리_권리자명부1"/>
      <sheetName val="일위대가_(PM)4"/>
      <sheetName val="7_전산해석결과2"/>
      <sheetName val="4_하중2"/>
      <sheetName val="①idea_pipeline4"/>
      <sheetName val="IMP_통일양식4"/>
      <sheetName val="LYS_통일양식4"/>
      <sheetName val="Xunit_(단위환산)4"/>
      <sheetName val="유통기한_프로그램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명일작업계획_(3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6_이토처리시간4"/>
      <sheetName val="태화42_1"/>
      <sheetName val="외주현황_wq11"/>
      <sheetName val="1차_내역서4"/>
      <sheetName val="220_(2)1"/>
      <sheetName val="토__공1"/>
      <sheetName val="울진항공등화_내역서4"/>
      <sheetName val="일_위_대_가_표4"/>
      <sheetName val="영흥TL(UP,DOWN)_4"/>
      <sheetName val="3련_BOX4"/>
      <sheetName val="내역서_3"/>
      <sheetName val="2_1외주4"/>
      <sheetName val="2_3노무4"/>
      <sheetName val="2_4자재4"/>
      <sheetName val="2_2장비4"/>
      <sheetName val="2_5경비4"/>
      <sheetName val="2_6수목대4"/>
      <sheetName val="모선자재_집계표3"/>
      <sheetName val="재료의_할증3"/>
      <sheetName val="D1_2_COF모듈자재_입출재고_(B급)3"/>
      <sheetName val="BEND_LOSS1"/>
      <sheetName val="토공_total1"/>
      <sheetName val="3_관로전환기1"/>
      <sheetName val="F_월별기성수금현황_1"/>
      <sheetName val="내역서1999_8최종1"/>
      <sheetName val="3_전기산출기초1"/>
      <sheetName val="고객사_관리_코드4"/>
      <sheetName val="중기쥰종사_단위단가4"/>
      <sheetName val="_1"/>
      <sheetName val="금회_청구사항(기계)1"/>
      <sheetName val="기성갑지_(소방)1"/>
      <sheetName val="금회_청구사항(소방)1"/>
      <sheetName val="함열량_db3"/>
      <sheetName val="PTVT_(MAU)4"/>
      <sheetName val="99_조정금액1"/>
      <sheetName val="D_B1"/>
      <sheetName val="기존단가_(2)2"/>
      <sheetName val="TRAY_헹거산출1"/>
      <sheetName val="1_청구서1"/>
      <sheetName val="2_내역서1"/>
      <sheetName val="표__지3"/>
      <sheetName val="1_11"/>
      <sheetName val="K2_site_Total_내역서1"/>
      <sheetName val="Div26_-_Elect3"/>
      <sheetName val="Khoi_luong3"/>
      <sheetName val="Bảng_mã_VT3"/>
      <sheetName val="DonGia_chetao3"/>
      <sheetName val="DonGia_VatTuLK3"/>
      <sheetName val="Fr_Revit3"/>
      <sheetName val="NSA_Summary3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chi_tiet2"/>
      <sheetName val="PPC_Summary2"/>
      <sheetName val="Tong_hop1"/>
      <sheetName val="Phan_lap_dat1"/>
      <sheetName val="Lắp_Ráp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cong_thuc_tinh_chi_tiet3"/>
      <sheetName val="_IL-3_XLSY갑지5"/>
      <sheetName val="KET_CAU-_MJV21"/>
      <sheetName val="Ví_dụ1"/>
      <sheetName val="Gia_VLNCMTC1"/>
      <sheetName val="06_일위대가목록1"/>
      <sheetName val="부대표지⽠"/>
      <sheetName val="도시정비_"/>
      <sheetName val="3_1_6_전산처리결과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BD운반거리"/>
      <sheetName val="연령현황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Sheet17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침하계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설비원가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투자효율분석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O＆P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__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내역서변⢳쨁"/>
      <sheetName val="내역서변⢳쉨쨁"/>
      <sheetName val="내역서변⢳쨁"/>
      <sheetName val="내역서변ꙭ _x0000_"/>
      <sheetName val="제품목록"/>
      <sheetName val="중사"/>
      <sheetName val="출장㺎Ă"/>
      <sheetName val="위생悱"/>
      <sheetName val="1차설계逷≙?≙"/>
      <sheetName val="수량산출서_x0010_"/>
      <sheetName val="총공사"/>
      <sheetName val="부대표지츀 "/>
      <sheetName val="건_ê"/>
      <sheetName val="Summary"/>
      <sheetName val="H. MECHANICAL"/>
      <sheetName val="J. FIRE FIGHTING"/>
      <sheetName val="MECHANICAL"/>
      <sheetName val="bang TH"/>
      <sheetName val="Sàn T1"/>
      <sheetName val="Lỗ thông gió"/>
      <sheetName val="CodeSheet"/>
      <sheetName val="Thống kê"/>
      <sheetName val="Sikje_in"/>
      <sheetName val="샌딩_에폭시_도장"/>
      <sheetName val="외주대비_ᨀ晙ԯ"/>
      <sheetName val="[후다_x0001_ _x0010__x0000__x0003_ _x0010__x0000__x0001__x0000__x0010__x0000__x0001_ _x0010__x0000__x0003_"/>
      <sheetName val="유통간부"/>
      <sheetName val="장기"/>
      <sheetName val="수정계획3"/>
      <sheetName val="시작"/>
      <sheetName val="받을어음"/>
      <sheetName val="유가증권"/>
      <sheetName val="대손상각"/>
      <sheetName val="Sikje_in_x0005_"/>
      <sheetName val="HS"/>
      <sheetName val="Tai khoan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SCOPE_OF_WORK"/>
      <sheetName val="대3류_"/>
      <sheetName val="Sàn_T1"/>
      <sheetName val="Lỗ_thông_gió"/>
      <sheetName val="DI-ESTI"/>
      <sheetName val="Bang gia 2011.10.12"/>
      <sheetName val="Index"/>
      <sheetName val="샌딩_에폭시_도장1"/>
      <sheetName val="외주대비_ᨀ晙ԯ1"/>
      <sheetName val="[후다___"/>
      <sheetName val="Thống_kê"/>
      <sheetName val="3_단가산출서"/>
      <sheetName val="4_단가산출기초"/>
      <sheetName val="H__MECHANICAL"/>
      <sheetName val="J__FIRE_FIGHTING"/>
      <sheetName val="동업계매출속보"/>
      <sheetName val="GI-LIST"/>
      <sheetName val="중기사용료 (2)"/>
      <sheetName val="목창호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_후다_x0001_ _x0010__x0000__x0003"/>
      <sheetName val="0"/>
      <sheetName val="Cọc nhồi"/>
      <sheetName val="MTL(AG)"/>
      <sheetName val="01__DATA"/>
      <sheetName val="5.6 NTKL ĐHKK "/>
      <sheetName val="5.12 NTKL PCCC"/>
      <sheetName val="ThongSo"/>
      <sheetName val="Notes"/>
      <sheetName val="Shelves"/>
      <sheetName val="5.NKTC"/>
      <sheetName val="4.BBNT-LĐ"/>
      <sheetName val="Tai_khoan"/>
      <sheetName val="중기사용료_(2)"/>
      <sheetName val="BTRA"/>
      <sheetName val="[후다_x0001_ _x0010_"/>
      <sheetName val="외주대비 -석축?????_x0012_[후다내역.XLS]견적표지 (3"/>
      <sheetName val="䣐??갑쥀)"/>
      <sheetName val="48_x0005_?"/>
      <sheetName val="1차설계Ꮗԯ?"/>
      <sheetName val="Sikje_inĴ¾?"/>
      <sheetName val="eq_dat?"/>
      <sheetName val="3BL공동구??Ԁ"/>
      <sheetName val="외주대비 -석축???_x"/>
      <sheetName val="Sikje_in_x0005_?"/>
      <sheetName val="CԀ?缀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፝"/>
      <sheetName val="፡"/>
      <sheetName val="፠"/>
      <sheetName val="፥"/>
      <sheetName val="新规"/>
      <sheetName val="D &amp; W sizes"/>
      <sheetName val="Package1"/>
      <sheetName val="tra_vat_lieu"/>
      <sheetName val="ptvt"/>
      <sheetName val="_후다_x0001_ _x0010_"/>
      <sheetName val="Goc CC"/>
      <sheetName val="Gtvl"/>
      <sheetName val="Thkp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금속및금속창호"/>
      <sheetName val="일위(열차무선)"/>
      <sheetName val="(A)내역서"/>
      <sheetName val="분뇨"/>
      <sheetName val="구의동공내역서"/>
      <sheetName val="운동장 (2)"/>
      <sheetName val="일대목록표"/>
      <sheetName val="99년원가"/>
      <sheetName val="산출(1~20)"/>
      <sheetName val="신고조서"/>
      <sheetName val="판정1교토공"/>
      <sheetName val="특별땅고르기"/>
      <sheetName val="직접공사비"/>
      <sheetName val="조인트"/>
      <sheetName val="데리네И̏䨸ɟ"/>
      <sheetName val="주공 갑지"/>
      <sheetName val="마스터02"/>
      <sheetName val="데리네鶈㇨ᓣ"/>
      <sheetName val="입력데이타(비É"/>
      <sheetName val="외주대비 -석É"/>
      <sheetName val="5.2.6~7공사요율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관급현황"/>
      <sheetName val="기술조건"/>
      <sheetName val="1.내역(청.하역장전등)"/>
      <sheetName val="정화조"/>
      <sheetName val="공사개요-C"/>
      <sheetName val="입찰견적보고서"/>
      <sheetName val="안전장치"/>
      <sheetName val="설원"/>
      <sheetName val="일위목록-기"/>
      <sheetName val="리스트"/>
      <sheetName val="보도내 _x0000__x0000_䪾"/>
      <sheetName val="2.원가집계"/>
      <sheetName val="FAX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사비예산서"/>
      <sheetName val="배수관연장조서"/>
      <sheetName val="산출"/>
      <sheetName val="예산조서(전송)"/>
      <sheetName val="투자예산"/>
      <sheetName val="점ᥰ@띘"/>
      <sheetName val="점ᤠ@띘"/>
      <sheetName val="점៰2띘"/>
      <sheetName val="여흥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BOQFinishing"/>
      <sheetName val="일반전기"/>
      <sheetName val="HVAC"/>
      <sheetName val="Pag_hal"/>
      <sheetName val="THMAVT"/>
      <sheetName val="IMF Code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01__DATA1"/>
      <sheetName val="Sikje_in"/>
      <sheetName val="Tai_khoan1"/>
      <sheetName val="Bang_gia_2011_10_12"/>
      <sheetName val="중기사용료_(2)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Cọc_nhồi"/>
      <sheetName val="Bang_TH"/>
      <sheetName val="5_6_NTKL_ĐHKK_"/>
      <sheetName val="5_12_NTKL_PCCC"/>
      <sheetName val="_후다__x0003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electrical"/>
      <sheetName val="Gia"/>
      <sheetName val="Elec LG"/>
      <sheetName val="Ref"/>
      <sheetName val="운동장_(2)"/>
      <sheetName val="외주대비_-석É"/>
      <sheetName val="ESTI."/>
      <sheetName val="1.Requisition(E)"/>
      <sheetName val="dtct cong"/>
      <sheetName val="単価表"/>
      <sheetName val="SLCONG"/>
      <sheetName val="SLGA"/>
      <sheetName val="DG"/>
      <sheetName val="NHÀ NHẬP LIỆU"/>
      <sheetName val="MÓNG SILO"/>
      <sheetName val="電気設備表"/>
      <sheetName val="DI_ESTI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Doi so"/>
      <sheetName val="手动计画"/>
      <sheetName val="DTCT"/>
      <sheetName val="TL rieng"/>
      <sheetName val="8월차잔"/>
      <sheetName val="시설이용권명세서"/>
      <sheetName val="전기일위목록"/>
      <sheetName val="Kihon-Jiko"/>
      <sheetName val="1공구_건정토건_토_x0000__x0000_"/>
      <sheetName val="자재단가표"/>
      <sheetName val="공사비대비표(을지)"/>
      <sheetName val="위생䲀æ"/>
      <sheetName val="현장´"/>
      <sheetName val="근생APT-신마감"/>
      <sheetName val="복지관_FIART"/>
      <sheetName val="근생APT-FIART"/>
      <sheetName val="근생-FIART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코드일람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시멘혷_xdf67__x0000__x0000_"/>
      <sheetName val="시멘혾_xdf67__x0000__x0000_"/>
      <sheetName val="표지 ¬_x0000__x0000_"/>
      <sheetName val="본댐설계"/>
      <sheetName val="변경요청내역"/>
      <sheetName val="GIAVLIEU"/>
      <sheetName val="Measure 1306"/>
      <sheetName val="DAF-2"/>
      <sheetName val="DM.ChiPhi"/>
      <sheetName val="CODE-LIST"/>
      <sheetName val="Basic Wage"/>
      <sheetName val="Menber List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gyun"/>
      <sheetName val="원가 (2)"/>
      <sheetName val="가설재손료"/>
      <sheetName val="보도내 "/>
      <sheetName val="Assumptions"/>
      <sheetName val="조명율ၒ"/>
      <sheetName val="PL Vua"/>
      <sheetName val="조선용암면"/>
      <sheetName val="전_x0000_"/>
      <sheetName val="표지 (3_x0005_"/>
      <sheetName val="_x0000__x0008__x0000__x0005__x0000_"/>
      <sheetName val="_x0000__x0004__x0000__x0004__x0000_"/>
      <sheetName val="_x0000__x0003__x0000__x0004__x0000__x0000__x0000__x0000_"/>
      <sheetName val="갑漅⿊"/>
      <sheetName val="18.궤도재료"/>
      <sheetName val="교각怀"/>
      <sheetName val="내역 "/>
      <sheetName val="기본데이타입력"/>
      <sheetName val="교각¾_x0000_"/>
      <sheetName val="단가(강재운_x0000__x0000_"/>
      <sheetName val="9-1❬ǻ_xdbf8_ἐ"/>
      <sheetName val="외Å_x0000_怀"/>
      <sheetName val="수량산출서"/>
      <sheetName val="Rect__10"/>
      <sheetName val="1-"/>
      <sheetName val="내"/>
      <sheetName val="부대표지츀_얈"/>
      <sheetName val="부대표지츀_篐"/>
      <sheetName val="PMT"/>
      <sheetName val="[회다내역,X켊楳켎攳嶪剃嶮布쵌섌)"/>
      <sheetName val="측구_x0000_"/>
      <sheetName val="2.입력sheet"/>
      <sheetName val="1차3회-개소별명세서-빨간색-인쇄용(2187_x0000__x0000_"/>
      <sheetName val="간접비 총괄표"/>
      <sheetName val="가시설흙막이"/>
      <sheetName val="변경갑지"/>
      <sheetName val="증감(갑지)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일위대가 "/>
      <sheetName val="_x0015__x0000_"/>
      <sheetName val="3BL공동구__x0000__x0000_"/>
      <sheetName val="1공구_건정토건_철_x0000__x0000_"/>
      <sheetName val="급수공사"/>
      <sheetName val="토목집계(1)"/>
      <sheetName val="NS"/>
      <sheetName val="NKC6"/>
      <sheetName val="TỔNG HỢP"/>
      <sheetName val="C.MECHANICAL"/>
      <sheetName val="TEMP"/>
      <sheetName val="Cable임피던스"/>
      <sheetName val="견적대비"/>
      <sheetName val="NX01"/>
      <sheetName val="Du thau"/>
      <sheetName val="1.관로"/>
      <sheetName val="일위수량"/>
      <sheetName val="입찰품_x0005__x0000_"/>
      <sheetName val="입찰품誀걜"/>
      <sheetName val="입찰품紴"/>
      <sheetName val="Sikje_in_x005f_x0005__x005f_x0000_"/>
      <sheetName val="CԀ_x005f_x0000_缀"/>
      <sheetName val="_후다___"/>
      <sheetName val="ጊ후다내역.XLS_0_0ControlSheet3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TAIKHOAN"/>
      <sheetName val="Pipe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escon"/>
      <sheetName val="3. CNT"/>
      <sheetName val="unit price list(M)"/>
      <sheetName val="General2"/>
      <sheetName val="Breakdown (B)"/>
      <sheetName val="thông tin"/>
      <sheetName val="tifico"/>
      <sheetName val="적용환율"/>
      <sheetName val="PRECAST lightconc-II"/>
      <sheetName val="RAB AR&amp;STR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48_x005f_x0005_"/>
      <sheetName val="_후다_x005f_x0001_ _x005f_x0010__x005f_x0000__x0003"/>
      <sheetName val="Names"/>
      <sheetName val="07_Themal"/>
      <sheetName val="장비명"/>
      <sheetName val="외주정비"/>
      <sheetName val="Budget Code"/>
      <sheetName val="Phu cap"/>
      <sheetName val="2.교_x0000__x0000__xdd08_̚벝"/>
      <sheetName val="건_裪选"/>
      <sheetName val="건_䃪氼᠝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BREAKDOW"/>
      <sheetName val="BREAKDOW頀ᵛ瀞囏_x001c_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인원계획-미화"/>
      <sheetName val="수⋜Ɇ녈"/>
      <sheetName val="홈용접표"/>
      <sheetName val="신축이음"/>
      <sheetName val="업무량"/>
      <sheetName val="간지1"/>
      <sheetName val="1.사유서"/>
      <sheetName val="간지2"/>
      <sheetName val="간지3"/>
      <sheetName val="부재별집계표"/>
      <sheetName val="도면"/>
      <sheetName val="제작계획"/>
      <sheetName val="보안등"/>
      <sheetName val="건축2"/>
      <sheetName val="BH-1 (2)"/>
      <sheetName val="1공구_건정토건_철槜〩"/>
      <sheetName val="벽체면적당일위Á_x0000_"/>
      <sheetName val="2_대외ɡ_x0000_က"/>
      <sheetName val="2_대외ⱔⰀ"/>
      <sheetName val="토목내역서 (도급단가) (2)"/>
      <sheetName val="단가산출서(토공사)"/>
      <sheetName val="말고개터널조명전¬_x0000_Ԁ"/>
      <sheetName val="외Å_x0000_"/>
      <sheetName val="외Å_x0000_退"/>
      <sheetName val="수정시산표"/>
      <sheetName val="1공구_건정토건_철㑸4"/>
      <sheetName val="내역서_x0000__x0000_Ԁ_x0000_"/>
      <sheetName val="옥외 전력간선공사"/>
      <sheetName val="건축일"/>
      <sheetName val="barchart"/>
      <sheetName val="Matls"/>
      <sheetName val="Labor"/>
      <sheetName val="4ⶌ쌈"/>
      <sheetName val="4_x0000__x0000_Ԁ"/>
      <sheetName val="[후다내역.XLS]__H1775_c_ESTI96____2"/>
      <sheetName val="정보매체A동"/>
      <sheetName val="청산공사"/>
      <sheetName val="견적(._x0000__x0000_"/>
      <sheetName val="인부신상ĺ"/>
      <sheetName val="구조물타공濐̉"/>
      <sheetName val="0_0Control렌㟳䠓䒆_x0013__x0000_"/>
      <sheetName val="0_0Control뀌欨砓﹮_x0012__x0000_"/>
      <sheetName val="0_0Control㠌ᅝ逜㓿_x001c__x0000_"/>
      <sheetName val="0_0Control㠌ᅝ퀜㔋_x001c__x0000_"/>
      <sheetName val="5-8공구"/>
      <sheetName val="식재鱸þ"/>
      <sheetName val="A1내역_총괄표"/>
      <sheetName val="시설_x0000__x0000__x0005_"/>
      <sheetName val="일위대가목׃"/>
      <sheetName val="부대공(집계)"/>
      <sheetName val="PPS2"/>
      <sheetName val="직공_x0000_"/>
      <sheetName val="3차토목ꊆ"/>
      <sheetName val="_________x005f_x0000__x005f_x0000__x005f_x0000__2"/>
      <sheetName val="NOM³_x005f_x0000_Ԁ"/>
      <sheetName val="NOMֳ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영업점별목표산출"/>
      <sheetName val="손익분기점 데이터"/>
      <sheetName val="매각대상자산 청산가치"/>
      <sheetName val="CTEၒ_x0000__x0000__x0000__x0000_"/>
      <sheetName val="01__DATA2"/>
      <sheetName val="샌딩_에폭시_도장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COPE_OF_WORK2"/>
      <sheetName val="대3류_2"/>
      <sheetName val="외주대비_ᨀ晙ԯ3"/>
      <sheetName val="3_단가산출서2"/>
      <sheetName val="4_단가산출기초2"/>
      <sheetName val="H__MECHANICAL2"/>
      <sheetName val="J__FIRE_FIGHTING2"/>
      <sheetName val="Sàn_T12"/>
      <sheetName val="Lỗ_thông_gió2"/>
      <sheetName val="Thống_kê2"/>
      <sheetName val="Tai_khoan2"/>
      <sheetName val="Bang_gia_2011_10_121"/>
      <sheetName val="중기사용료_(2)2"/>
      <sheetName val="投标材料清单_1"/>
      <sheetName val="ጊ후다내역_XLS]0_0ControlSheet31"/>
      <sheetName val="Dầm_11"/>
      <sheetName val="Unit_Rate(non_print)1"/>
      <sheetName val="Cọc_nhồi1"/>
      <sheetName val="5_6_NTKL_ĐHKK_1"/>
      <sheetName val="5_12_NTKL_PCCC1"/>
      <sheetName val="5_NKTC1"/>
      <sheetName val="4_BBNT-LĐ1"/>
      <sheetName val="외주대비_-석축???_x1"/>
      <sheetName val="D_&amp;_W_sizes1"/>
      <sheetName val="Goc_CC1"/>
      <sheetName val="Sàn_tầng_01_(_old_)1"/>
      <sheetName val="Gia_thanh_chuoi_su1"/>
      <sheetName val="Tiep_dia1"/>
      <sheetName val="Don_gia_vung_III-Can_Tho1"/>
      <sheetName val="TH_MEP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운동장_(2)1"/>
      <sheetName val="외주대비_-석É1"/>
      <sheetName val="IMF_Code1"/>
      <sheetName val="Elec_LG"/>
      <sheetName val="ESTI_"/>
      <sheetName val="1_Requisition(E)"/>
      <sheetName val="dtct_cong"/>
      <sheetName val="NHÀ_NHẬP_LIỆU"/>
      <sheetName val="MÓNG_SIL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Doi_so"/>
      <sheetName val="TL_rieng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물가변동_총괄서3"/>
      <sheetName val="7_1유효폭3"/>
      <sheetName val="허용전류-IEC_DATA3"/>
      <sheetName val="본선_토공_분배표3"/>
      <sheetName val="을_22"/>
      <sheetName val="을_12"/>
      <sheetName val="토공_갑지2"/>
      <sheetName val="각사별공사비분개_2"/>
      <sheetName val="해외_연수비용_계산-삭제2"/>
      <sheetName val="해외_기술훈련비_(합계)2"/>
      <sheetName val="Pier_32"/>
      <sheetName val="BOX(1_5X1_5)1"/>
      <sheetName val="TYPE_A1"/>
      <sheetName val="장비투입_(2)1"/>
      <sheetName val="C_&amp;_G_RHS1"/>
      <sheetName val="5_3_단면가정1"/>
      <sheetName val="ITB_COST1"/>
      <sheetName val="CATCH_BASIN1"/>
      <sheetName val="Man_Hole1"/>
      <sheetName val="WEIGHT_LIST"/>
      <sheetName val="산#2-1_(2)"/>
      <sheetName val="설산1_나"/>
      <sheetName val="1_토공"/>
      <sheetName val="Process_Piping1"/>
      <sheetName val="plan&amp;section_of_foundation"/>
      <sheetName val="design_criteria"/>
      <sheetName val="자재_집계표"/>
      <sheetName val="Raw_Data"/>
      <sheetName val="PHC파일_천공_및_항타"/>
      <sheetName val="ARCH"/>
      <sheetName val="보도내역_x0000__x0000_Ԁ_x0000_က"/>
      <sheetName val="내역서(부대공사)"/>
      <sheetName val="견적내역서"/>
      <sheetName val="부대표지_"/>
      <sheetName val="외Å"/>
      <sheetName val="2.교"/>
      <sheetName val="우,숤수"/>
      <sheetName val="자재가격"/>
      <sheetName val="전도금청구서"/>
      <sheetName val="2월"/>
      <sheetName val="산출내력"/>
      <sheetName val="4.수량산출서"/>
      <sheetName val="단가多〒_x0005_"/>
      <sheetName val="전문품의"/>
      <sheetName val="const."/>
      <sheetName val="특기시방서"/>
      <sheetName val="인력소운반"/>
      <sheetName val="흥양2교토_x0000_h曘ʹ"/>
      <sheetName val="흥양2교토_x0000__x0000__x0005__x0000_"/>
      <sheetName val="인부노임"/>
      <sheetName val="안양동교 1안"/>
      <sheetName val="2. 주요공지（主要公告）"/>
      <sheetName val="건축(을)"/>
      <sheetName val="자동제_x0000_"/>
      <sheetName val="만봉용지매수비(총괄)"/>
      <sheetName val="도급표지É_x0000__x0000__x0001_Ԁ"/>
      <sheetName val="단가(기자재)"/>
      <sheetName val="공사추진현황"/>
      <sheetName val="자재기성 신청서.xlsx"/>
      <sheetName val="SP-¬_x0000_"/>
      <sheetName val="GRD_x0000__x0000_"/>
      <sheetName val="품À_x0000_"/>
      <sheetName val="A 견적"/>
      <sheetName val="2월분"/>
      <sheetName val="4.예산내역서"/>
      <sheetName val="개략"/>
      <sheetName val="표준공사비-조명제외x10%up"/>
      <sheetName val="관공일위대가"/>
      <sheetName val="산출(토공‥"/>
      <sheetName val="양수장내역"/>
      <sheetName val="SP-ኬ_x0002_"/>
      <sheetName val="SP-咬⶘"/>
      <sheetName val="흥양2교토"/>
      <sheetName val="도급표지É"/>
      <sheetName val="입찰내역 발주처 양식"/>
      <sheetName val="수배전(갑)"/>
      <sheetName val="세목전체"/>
      <sheetName val="eq_da_x0000__x0000_"/>
      <sheetName val="기본"/>
      <sheetName val="4_내진_x0005__x0000_"/>
      <sheetName val="Parameters"/>
      <sheetName val="02_EqptCost"/>
      <sheetName val="용역비내역-진짜"/>
      <sheetName val="수지"/>
      <sheetName val=" 견적Ⴗ"/>
      <sheetName val="6MONTHS"/>
      <sheetName val="PTDM"/>
      <sheetName val="dropdown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MAIN GATE HOUSE"/>
      <sheetName val="FAB4생산"/>
      <sheetName val="1공구산느㉐_x0000__x0000_"/>
      <sheetName val="1공구산晭Ó뇠ᬵ"/>
      <sheetName val="1공구산옘蔘:"/>
      <sheetName val="식재_x0002_"/>
      <sheetName val="Bang_TH1"/>
      <sheetName val="주공_갑지1"/>
      <sheetName val="5_2_6~7공사요율1"/>
      <sheetName val="04_12월건강보험(일용직)1"/>
      <sheetName val="1_내역(청_하역장전등)1"/>
      <sheetName val="2_원가집계1"/>
      <sheetName val="외주대비_-석축_x005f_x0000__x005f_x0000__x005f_x0000__x"/>
      <sheetName val="Measure_1306"/>
      <sheetName val="DM_ChiPhi"/>
      <sheetName val="보도내_1"/>
      <sheetName val="05_유류비자금청구(완)1"/>
      <sheetName val="19_07월_세_계1"/>
      <sheetName val="19_07항목별(시트복사금지100번쓰기)1"/>
      <sheetName val="19_05월1"/>
      <sheetName val="grid_(1)1"/>
      <sheetName val="경율산정_XLS1"/>
      <sheetName val="PAD_TR보호대기초1"/>
      <sheetName val="TỔNG_HỢP"/>
      <sheetName val="Basic_Wage"/>
      <sheetName val="Menber_List"/>
      <sheetName val="PL_Vua"/>
      <sheetName val="3__CNT"/>
      <sheetName val="unit_price_list(M)"/>
      <sheetName val="Breakdown_(B)"/>
      <sheetName val="thông_tin"/>
      <sheetName val="C_MECHANICAL"/>
      <sheetName val="Du_thau"/>
      <sheetName val="1_관로"/>
      <sheetName val="입찰품"/>
      <sheetName val="PRECAST_lightconc-II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ጊ후다내역_XLS_0_0ControlSheet31"/>
      <sheetName val="외주대비_-석축____x1"/>
      <sheetName val="_후다_x005f_x0001___x005f_x0010__x005f_x0000__x0003"/>
      <sheetName val="Budget_Code"/>
      <sheetName val="Phu_cap"/>
      <sheetName val="삼홍테크"/>
      <sheetName val="proj"/>
      <sheetName val="Buy vs. Lease Car"/>
      <sheetName val="Cash2"/>
      <sheetName val="Z"/>
      <sheetName val="Sum ELE  CAP S1-4  "/>
      <sheetName val="BEAM"/>
      <sheetName val="Ton Kho"/>
      <sheetName val="PTdam"/>
      <sheetName val="Loose"/>
      <sheetName val="발주수량표"/>
      <sheetName val="DFA"/>
      <sheetName val="T.KE CP1"/>
      <sheetName val="Land Dev't. Ph-1"/>
      <sheetName val="CHITIET VL-NC-TT1p"/>
      <sheetName val="Danh muc"/>
      <sheetName val="SGC RATE"/>
      <sheetName val="TinhGiaNC"/>
      <sheetName val="DG3285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5. MATERIAL LIST"/>
      <sheetName val="Đầu tư"/>
      <sheetName val="7.공정표"/>
      <sheetName val="B9_MEP"/>
      <sheetName val="Elec_LG1"/>
      <sheetName val="C_MECHANICAL1"/>
      <sheetName val="7_공정표"/>
      <sheetName val="Đầu_tư"/>
      <sheetName val="4_수량산출서"/>
      <sheetName val="단가多〒"/>
      <sheetName val="안양동교_1안"/>
      <sheetName val="2__주요공지（主要公告）"/>
      <sheetName val="도급표지ÉԀ"/>
      <sheetName val="4_예산내역서"/>
      <sheetName val="A_견적"/>
      <sheetName val="RAB_AR&amp;STR"/>
      <sheetName val="Ton_Kho"/>
      <sheetName val="Schedule S-Curve Revision#3"/>
      <sheetName val="Joinery works"/>
      <sheetName val="BIDDING-SUM"/>
      <sheetName val="THONG KE CAU KIEN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식재雨ē"/>
      <sheetName val="[후다내역.XLS]__H1775_c_ESTI96____3"/>
      <sheetName val="간접경_x0000_薔"/>
      <sheetName val="시멘ౘ潭ힶ"/>
      <sheetName val="견적의뢰"/>
      <sheetName val="J형측구단위수량"/>
      <sheetName val="데이터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사용현황"/>
      <sheetName val="교각토ꙭ"/>
      <sheetName val="1공구_건정토건_䘂꫼"/>
      <sheetName val="1공구_건정토건__x0000__x0000__x0000_"/>
      <sheetName val="1공구_건정토건__x0000__x0000_Ԁ"/>
      <sheetName val="T13(P68~72,78)"/>
      <sheetName val="生产量"/>
      <sheetName val="计划原单位"/>
      <sheetName val="명부"/>
      <sheetName val="배부전원가표"/>
      <sheetName val="전년대비"/>
      <sheetName val="판매목표"/>
      <sheetName val="공사내용"/>
      <sheetName val="편입조서"/>
      <sheetName val="[후다내역.XLS]__H1775_c_ESTI96____4"/>
      <sheetName val="금융비×"/>
      <sheetName val="1Month+Sheet2!"/>
    </sheetNames>
    <sheetDataSet>
      <sheetData sheetId="0">
        <row r="1">
          <cell r="A1" t="str">
            <v>PHIẾU XỬ LÝ HỒ SƠ THANH TOÁN VƯỢT THẨM QUYỀN PD</v>
          </cell>
        </row>
      </sheetData>
      <sheetData sheetId="1"/>
      <sheetData sheetId="2"/>
      <sheetData sheetId="3">
        <row r="1">
          <cell r="A1" t="str">
            <v>PHIẾU XỬ LÝ HỒ SƠ THANH TOÁN VƯỢT THẨM QUYỀN PD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>
        <row r="1">
          <cell r="A1" t="str">
            <v>PHIẾU XỬ LÝ HỒ SƠ THANH TOÁN VƯỢT THẨM QUYỀN PD</v>
          </cell>
        </row>
      </sheetData>
      <sheetData sheetId="1213">
        <row r="1">
          <cell r="A1" t="str">
            <v>PHIẾU XỬ LÝ HỒ SƠ THANH TOÁN VƯỢT THẨM QUYỀN PD</v>
          </cell>
        </row>
      </sheetData>
      <sheetData sheetId="1214">
        <row r="1">
          <cell r="A1" t="str">
            <v>PHIẾU XỬ LÝ HỒ SƠ THANH TOÁN VƯỢT THẨM QUYỀN PD</v>
          </cell>
        </row>
      </sheetData>
      <sheetData sheetId="1215">
        <row r="1">
          <cell r="A1" t="str">
            <v>PHIẾU XỬ LÝ HỒ SƠ THANH TOÁN VƯỢT THẨM QUYỀN PD</v>
          </cell>
        </row>
      </sheetData>
      <sheetData sheetId="1216">
        <row r="1">
          <cell r="A1" t="str">
            <v>PHIẾU XỬ LÝ HỒ SƠ THANH TOÁN VƯỢT THẨM QUYỀN PD</v>
          </cell>
        </row>
      </sheetData>
      <sheetData sheetId="1217">
        <row r="1">
          <cell r="A1" t="str">
            <v>PHIẾU XỬ LÝ HỒ SƠ THANH TOÁN VƯỢT THẨM QUYỀN PD</v>
          </cell>
        </row>
      </sheetData>
      <sheetData sheetId="1218">
        <row r="1">
          <cell r="A1" t="str">
            <v>PHIẾU XỬ LÝ HỒ SƠ THANH TOÁN VƯỢT THẨM QUYỀN PD</v>
          </cell>
        </row>
      </sheetData>
      <sheetData sheetId="1219">
        <row r="1">
          <cell r="A1" t="str">
            <v>PHIẾU XỬ LÝ HỒ SƠ THANH TOÁN VƯỢT THẨM QUYỀN PD</v>
          </cell>
        </row>
      </sheetData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>
        <row r="1">
          <cell r="A1" t="str">
            <v>PHIẾU XỬ LÝ HỒ SƠ THANH TOÁN VƯỢT THẨM QUYỀN PD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/>
      <sheetData sheetId="2532"/>
      <sheetData sheetId="2533" refreshError="1"/>
      <sheetData sheetId="2534"/>
      <sheetData sheetId="2535" refreshError="1"/>
      <sheetData sheetId="2536" refreshError="1"/>
      <sheetData sheetId="2537" refreshError="1"/>
      <sheetData sheetId="2538"/>
      <sheetData sheetId="2539"/>
      <sheetData sheetId="2540"/>
      <sheetData sheetId="2541">
        <row r="1">
          <cell r="A1" t="str">
            <v>PHIẾU XỬ LÝ HỒ SƠ THANH TOÁN VƯỢT THẨM QUYỀN PD</v>
          </cell>
        </row>
      </sheetData>
      <sheetData sheetId="2542">
        <row r="1">
          <cell r="A1" t="str">
            <v>PHIẾU XỬ LÝ HỒ SƠ THANH TOÁN VƯỢT THẨM QUYỀN PD</v>
          </cell>
        </row>
      </sheetData>
      <sheetData sheetId="2543">
        <row r="1">
          <cell r="A1" t="str">
            <v>PHIẾU XỬ LÝ HỒ SƠ THANH TOÁN VƯỢT THẨM QUYỀN PD</v>
          </cell>
        </row>
      </sheetData>
      <sheetData sheetId="2544">
        <row r="1">
          <cell r="A1" t="str">
            <v>PHIẾU XỬ LÝ HỒ SƠ THANH TOÁN VƯỢT THẨM QUYỀN PD</v>
          </cell>
        </row>
      </sheetData>
      <sheetData sheetId="2545">
        <row r="1">
          <cell r="A1" t="str">
            <v>PHIẾU XỬ LÝ HỒ SƠ THANH TOÁN VƯỢT THẨM QUYỀN PD</v>
          </cell>
        </row>
      </sheetData>
      <sheetData sheetId="2546">
        <row r="1">
          <cell r="A1" t="str">
            <v>PHIẾU XỬ LÝ HỒ SƠ THANH TOÁN VƯỢT THẨM QUYỀN PD</v>
          </cell>
        </row>
      </sheetData>
      <sheetData sheetId="2547">
        <row r="1">
          <cell r="A1" t="str">
            <v>PHIẾU XỬ LÝ HỒ SƠ THANH TOÁN VƯỢT THẨM QUYỀN PD</v>
          </cell>
        </row>
      </sheetData>
      <sheetData sheetId="2548">
        <row r="1">
          <cell r="A1" t="str">
            <v>PHIẾU XỬ LÝ HỒ SƠ THANH TOÁN VƯỢT THẨM QUYỀN PD</v>
          </cell>
        </row>
      </sheetData>
      <sheetData sheetId="2549">
        <row r="1">
          <cell r="A1" t="str">
            <v>PHIẾU XỬ LÝ HỒ SƠ THANH TOÁN VƯỢT THẨM QUYỀN PD</v>
          </cell>
        </row>
      </sheetData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>
        <row r="1">
          <cell r="A1" t="str">
            <v>PHIẾU XỬ LÝ HỒ SƠ THANH TOÁN VƯỢT THẨM QUYỀN PD</v>
          </cell>
        </row>
      </sheetData>
      <sheetData sheetId="2553">
        <row r="1">
          <cell r="A1" t="str">
            <v>PHIẾU XỬ LÝ HỒ SƠ THANH TOÁN VƯỢT THẨM QUYỀN PD</v>
          </cell>
        </row>
      </sheetData>
      <sheetData sheetId="2554">
        <row r="1">
          <cell r="A1" t="str">
            <v>PHIẾU XỬ LÝ HỒ SƠ THANH TOÁN VƯỢT THẨM QUYỀN PD</v>
          </cell>
        </row>
      </sheetData>
      <sheetData sheetId="2555">
        <row r="1">
          <cell r="A1" t="str">
            <v>PHIẾU XỬ LÝ HỒ SƠ THANH TOÁN VƯỢT THẨM QUYỀN PD</v>
          </cell>
        </row>
      </sheetData>
      <sheetData sheetId="2556">
        <row r="1">
          <cell r="A1" t="str">
            <v>PHIẾU XỬ LÝ HỒ SƠ THANH TOÁN VƯỢT THẨM QUYỀN PD</v>
          </cell>
        </row>
      </sheetData>
      <sheetData sheetId="2557">
        <row r="1">
          <cell r="A1" t="str">
            <v>PHIẾU XỬ LÝ HỒ SƠ THANH TOÁN VƯỢT THẨM QUYỀN PD</v>
          </cell>
        </row>
      </sheetData>
      <sheetData sheetId="2558">
        <row r="1">
          <cell r="A1" t="str">
            <v>PHIẾU XỬ LÝ HỒ SƠ THANH TOÁN VƯỢT THẨM QUYỀN PD</v>
          </cell>
        </row>
      </sheetData>
      <sheetData sheetId="2559">
        <row r="1">
          <cell r="A1" t="str">
            <v>PHIẾU XỬ LÝ HỒ SƠ THANH TOÁN VƯỢT THẨM QUYỀN PD</v>
          </cell>
        </row>
      </sheetData>
      <sheetData sheetId="2560">
        <row r="1">
          <cell r="A1" t="str">
            <v>PHIẾU XỬ LÝ HỒ SƠ THANH TOÁN VƯỢT THẨM QUYỀN PD</v>
          </cell>
        </row>
      </sheetData>
      <sheetData sheetId="2561">
        <row r="1">
          <cell r="A1" t="str">
            <v>PHIẾU XỬ LÝ HỒ SƠ THANH TOÁN VƯỢT THẨM QUYỀN PD</v>
          </cell>
        </row>
      </sheetData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>
        <row r="1">
          <cell r="A1" t="str">
            <v>PHIẾU XỬ LÝ HỒ SƠ THANH TOÁN VƯỢT THẨM QUYỀN PD</v>
          </cell>
        </row>
      </sheetData>
      <sheetData sheetId="2568">
        <row r="1">
          <cell r="A1" t="str">
            <v>PHIẾU XỬ LÝ HỒ SƠ THANH TOÁN VƯỢT THẨM QUYỀN PD</v>
          </cell>
        </row>
      </sheetData>
      <sheetData sheetId="2569">
        <row r="1">
          <cell r="A1" t="str">
            <v>PHIẾU XỬ LÝ HỒ SƠ THANH TOÁN VƯỢT THẨM QUYỀN PD</v>
          </cell>
        </row>
      </sheetData>
      <sheetData sheetId="2570">
        <row r="1">
          <cell r="A1" t="str">
            <v>PHIẾU XỬ LÝ HỒ SƠ THANH TOÁN VƯỢT THẨM QUYỀN PD</v>
          </cell>
        </row>
      </sheetData>
      <sheetData sheetId="2571">
        <row r="1">
          <cell r="A1" t="str">
            <v>PHIẾU XỬ LÝ HỒ SƠ THANH TOÁN VƯỢT THẨM QUYỀN PD</v>
          </cell>
        </row>
      </sheetData>
      <sheetData sheetId="2572">
        <row r="1">
          <cell r="A1" t="str">
            <v>PHIẾU XỬ LÝ HỒ SƠ THANH TOÁN VƯỢT THẨM QUYỀN PD</v>
          </cell>
        </row>
      </sheetData>
      <sheetData sheetId="2573">
        <row r="1">
          <cell r="A1" t="str">
            <v>PHIẾU XỬ LÝ HỒ SƠ THANH TOÁN VƯỢT THẨM QUYỀN PD</v>
          </cell>
        </row>
      </sheetData>
      <sheetData sheetId="2574">
        <row r="1">
          <cell r="A1" t="str">
            <v>PHIẾU XỬ LÝ HỒ SƠ THANH TOÁN VƯỢT THẨM QUYỀN PD</v>
          </cell>
        </row>
      </sheetData>
      <sheetData sheetId="2575">
        <row r="1">
          <cell r="A1" t="str">
            <v>PHIẾU XỬ LÝ HỒ SƠ THANH TOÁN VƯỢT THẨM QUYỀN PD</v>
          </cell>
        </row>
      </sheetData>
      <sheetData sheetId="2576">
        <row r="1">
          <cell r="A1" t="str">
            <v>PHIẾU XỬ LÝ HỒ SƠ THANH TOÁN VƯỢT THẨM QUYỀN PD</v>
          </cell>
        </row>
      </sheetData>
      <sheetData sheetId="2577">
        <row r="1">
          <cell r="A1" t="str">
            <v>PHIẾU XỬ LÝ HỒ SƠ THANH TOÁN VƯỢT THẨM QUYỀN PD</v>
          </cell>
        </row>
      </sheetData>
      <sheetData sheetId="2578">
        <row r="1">
          <cell r="A1" t="str">
            <v>PHIẾU XỬ LÝ HỒ SƠ THANH TOÁN VƯỢT THẨM QUYỀN PD</v>
          </cell>
        </row>
      </sheetData>
      <sheetData sheetId="2579">
        <row r="1">
          <cell r="A1" t="str">
            <v>PHIẾU XỬ LÝ HỒ SƠ THANH TOÁN VƯỢT THẨM QUYỀN PD</v>
          </cell>
        </row>
      </sheetData>
      <sheetData sheetId="2580">
        <row r="1">
          <cell r="A1" t="str">
            <v>PHIẾU XỬ LÝ HỒ SƠ THANH TOÁN VƯỢT THẨM QUYỀN PD</v>
          </cell>
        </row>
      </sheetData>
      <sheetData sheetId="2581">
        <row r="1">
          <cell r="A1" t="str">
            <v>PHIẾU XỬ LÝ HỒ SƠ THANH TOÁN VƯỢT THẨM QUYỀN PD</v>
          </cell>
        </row>
      </sheetData>
      <sheetData sheetId="2582">
        <row r="1">
          <cell r="A1" t="str">
            <v>PHIẾU XỬ LÝ HỒ SƠ THANH TOÁN VƯỢT THẨM QUYỀN PD</v>
          </cell>
        </row>
      </sheetData>
      <sheetData sheetId="2583">
        <row r="1">
          <cell r="A1" t="str">
            <v>PHIẾU XỬ LÝ HỒ SƠ THANH TOÁN VƯỢT THẨM QUYỀN PD</v>
          </cell>
        </row>
      </sheetData>
      <sheetData sheetId="2584">
        <row r="1">
          <cell r="A1" t="str">
            <v>PHIẾU XỬ LÝ HỒ SƠ THANH TOÁN VƯỢT THẨM QUYỀN PD</v>
          </cell>
        </row>
      </sheetData>
      <sheetData sheetId="2585">
        <row r="1">
          <cell r="A1" t="str">
            <v>PHIẾU XỬ LÝ HỒ SƠ THANH TOÁN VƯỢT THẨM QUYỀN PD</v>
          </cell>
        </row>
      </sheetData>
      <sheetData sheetId="2586">
        <row r="1">
          <cell r="A1" t="str">
            <v>PHIẾU XỬ LÝ HỒ SƠ THANH TOÁN VƯỢT THẨM QUYỀN PD</v>
          </cell>
        </row>
      </sheetData>
      <sheetData sheetId="2587">
        <row r="1">
          <cell r="A1" t="str">
            <v>PHIẾU XỬ LÝ HỒ SƠ THANH TOÁN VƯỢT THẨM QUYỀN PD</v>
          </cell>
        </row>
      </sheetData>
      <sheetData sheetId="2588">
        <row r="1">
          <cell r="A1" t="str">
            <v>PHIẾU XỬ LÝ HỒ SƠ THANH TOÁN VƯỢT THẨM QUYỀN PD</v>
          </cell>
        </row>
      </sheetData>
      <sheetData sheetId="2589">
        <row r="1">
          <cell r="A1" t="str">
            <v>PHIẾU XỬ LÝ HỒ SƠ THANH TOÁN VƯỢT THẨM QUYỀN PD</v>
          </cell>
        </row>
      </sheetData>
      <sheetData sheetId="2590">
        <row r="1">
          <cell r="A1" t="str">
            <v>PHIẾU XỬ LÝ HỒ SƠ THANH TOÁN VƯỢT THẨM QUYỀN PD</v>
          </cell>
        </row>
      </sheetData>
      <sheetData sheetId="2591">
        <row r="1">
          <cell r="A1" t="str">
            <v>PHIẾU XỬ LÝ HỒ SƠ THANH TOÁN VƯỢT THẨM QUYỀN PD</v>
          </cell>
        </row>
      </sheetData>
      <sheetData sheetId="2592">
        <row r="1">
          <cell r="A1" t="str">
            <v>PHIẾU XỬ LÝ HỒ SƠ THANH TOÁN VƯỢT THẨM QUYỀN PD</v>
          </cell>
        </row>
      </sheetData>
      <sheetData sheetId="2593">
        <row r="1">
          <cell r="A1" t="str">
            <v>PHIẾU XỬ LÝ HỒ SƠ THANH TOÁN VƯỢT THẨM QUYỀN PD</v>
          </cell>
        </row>
      </sheetData>
      <sheetData sheetId="2594">
        <row r="1">
          <cell r="A1" t="str">
            <v>PHIẾU XỬ LÝ HỒ SƠ THANH TOÁN VƯỢT THẨM QUYỀN PD</v>
          </cell>
        </row>
      </sheetData>
      <sheetData sheetId="2595">
        <row r="1">
          <cell r="A1" t="str">
            <v>PHIẾU XỬ LÝ HỒ SƠ THANH TOÁN VƯỢT THẨM QUYỀN PD</v>
          </cell>
        </row>
      </sheetData>
      <sheetData sheetId="2596">
        <row r="1">
          <cell r="A1" t="str">
            <v>PHIẾU XỬ LÝ HỒ SƠ THANH TOÁN VƯỢT THẨM QUYỀN PD</v>
          </cell>
        </row>
      </sheetData>
      <sheetData sheetId="2597">
        <row r="1">
          <cell r="A1" t="str">
            <v>PHIẾU XỬ LÝ HỒ SƠ THANH TOÁN VƯỢT THẨM QUYỀN PD</v>
          </cell>
        </row>
      </sheetData>
      <sheetData sheetId="2598">
        <row r="1">
          <cell r="A1" t="str">
            <v>PHIẾU XỬ LÝ HỒ SƠ THANH TOÁN VƯỢT THẨM QUYỀN PD</v>
          </cell>
        </row>
      </sheetData>
      <sheetData sheetId="2599">
        <row r="1">
          <cell r="A1" t="str">
            <v>PHIẾU XỬ LÝ HỒ SƠ THANH TOÁN VƯỢT THẨM QUYỀN PD</v>
          </cell>
        </row>
      </sheetData>
      <sheetData sheetId="2600">
        <row r="1">
          <cell r="A1" t="str">
            <v>PHIẾU XỬ LÝ HỒ SƠ THANH TOÁN VƯỢT THẨM QUYỀN PD</v>
          </cell>
        </row>
      </sheetData>
      <sheetData sheetId="2601">
        <row r="1">
          <cell r="A1" t="str">
            <v>PHIẾU XỬ LÝ HỒ SƠ THANH TOÁN VƯỢT THẨM QUYỀN PD</v>
          </cell>
        </row>
      </sheetData>
      <sheetData sheetId="2602">
        <row r="1">
          <cell r="A1" t="str">
            <v>PHIẾU XỬ LÝ HỒ SƠ THANH TOÁN VƯỢT THẨM QUYỀN PD</v>
          </cell>
        </row>
      </sheetData>
      <sheetData sheetId="2603">
        <row r="1">
          <cell r="A1" t="str">
            <v>PHIẾU XỬ LÝ HỒ SƠ THANH TOÁN VƯỢT THẨM QUYỀN PD</v>
          </cell>
        </row>
      </sheetData>
      <sheetData sheetId="2604">
        <row r="1">
          <cell r="A1" t="str">
            <v>PHIẾU XỬ LÝ HỒ SƠ THANH TOÁN VƯỢT THẨM QUYỀN PD</v>
          </cell>
        </row>
      </sheetData>
      <sheetData sheetId="2605">
        <row r="1">
          <cell r="A1" t="str">
            <v>PHIẾU XỬ LÝ HỒ SƠ THANH TOÁN VƯỢT THẨM QUYỀN PD</v>
          </cell>
        </row>
      </sheetData>
      <sheetData sheetId="2606">
        <row r="1">
          <cell r="A1" t="str">
            <v>PHIẾU XỬ LÝ HỒ SƠ THANH TOÁN VƯỢT THẨM QUYỀN PD</v>
          </cell>
        </row>
      </sheetData>
      <sheetData sheetId="2607">
        <row r="1">
          <cell r="A1" t="str">
            <v>PHIẾU XỬ LÝ HỒ SƠ THANH TOÁN VƯỢT THẨM QUYỀN PD</v>
          </cell>
        </row>
      </sheetData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>
        <row r="1">
          <cell r="A1" t="str">
            <v>PHIẾU XỬ LÝ HỒ SƠ THANH TOÁN VƯỢT THẨM QUYỀN PD</v>
          </cell>
        </row>
      </sheetData>
      <sheetData sheetId="2632">
        <row r="1">
          <cell r="A1" t="str">
            <v>PHIẾU XỬ LÝ HỒ SƠ THANH TOÁN VƯỢT THẨM QUYỀN PD</v>
          </cell>
        </row>
      </sheetData>
      <sheetData sheetId="2633">
        <row r="1">
          <cell r="A1" t="str">
            <v>PHIẾU XỬ LÝ HỒ SƠ THANH TOÁN VƯỢT THẨM QUYỀN PD</v>
          </cell>
        </row>
      </sheetData>
      <sheetData sheetId="2634">
        <row r="1">
          <cell r="A1" t="str">
            <v>PHIẾU XỬ LÝ HỒ SƠ THANH TOÁN VƯỢT THẨM QUYỀN PD</v>
          </cell>
        </row>
      </sheetData>
      <sheetData sheetId="2635">
        <row r="1">
          <cell r="A1" t="str">
            <v>PHIẾU XỬ LÝ HỒ SƠ THANH TOÁN VƯỢT THẨM QUYỀN PD</v>
          </cell>
        </row>
      </sheetData>
      <sheetData sheetId="2636">
        <row r="1">
          <cell r="A1" t="str">
            <v>PHIẾU XỬ LÝ HỒ SƠ THANH TOÁN VƯỢT THẨM QUYỀN PD</v>
          </cell>
        </row>
      </sheetData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/>
      <sheetData sheetId="2680"/>
      <sheetData sheetId="2681"/>
      <sheetData sheetId="2682"/>
      <sheetData sheetId="2683">
        <row r="1">
          <cell r="A1" t="str">
            <v>PHIẾU XỬ LÝ HỒ SƠ THANH TOÁN VƯỢT THẨM QUYỀN PD</v>
          </cell>
        </row>
      </sheetData>
      <sheetData sheetId="2684"/>
      <sheetData sheetId="2685">
        <row r="1">
          <cell r="A1" t="str">
            <v>PHIẾU XỬ LÝ HỒ SƠ THANH TOÁN VƯỢT THẨM QUYỀN PD</v>
          </cell>
        </row>
      </sheetData>
      <sheetData sheetId="2686"/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>
        <row r="1">
          <cell r="A1" t="str">
            <v>PHIẾU XỬ LÝ HỒ SƠ THANH TOÁN VƯỢT THẨM QUYỀN PD</v>
          </cell>
        </row>
      </sheetData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 refreshError="1"/>
      <sheetData sheetId="2972" refreshError="1"/>
      <sheetData sheetId="2973" refreshError="1"/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 refreshError="1"/>
      <sheetData sheetId="2993">
        <row r="1">
          <cell r="A1" t="str">
            <v>PHIẾU XỬ LÝ HỒ SƠ THANH TOÁN VƯỢT THẨM QUYỀN PD</v>
          </cell>
        </row>
      </sheetData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>
        <row r="1">
          <cell r="A1" t="str">
            <v>PHIẾU XỬ LÝ HỒ SƠ THANH TOÁN VƯỢT THẨM QUYỀN PD</v>
          </cell>
        </row>
      </sheetData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 refreshError="1"/>
      <sheetData sheetId="3332" refreshError="1"/>
      <sheetData sheetId="3333" refreshError="1"/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>
        <row r="1">
          <cell r="A1" t="str">
            <v>PHIẾU XỬ LÝ HỒ SƠ THANH TOÁN VƯỢT THẨM QUYỀN PD</v>
          </cell>
        </row>
      </sheetData>
      <sheetData sheetId="3534">
        <row r="1">
          <cell r="A1" t="str">
            <v>PHIẾU XỬ LÝ HỒ SƠ THANH TOÁN VƯỢT THẨM QUYỀN PD</v>
          </cell>
        </row>
      </sheetData>
      <sheetData sheetId="3535">
        <row r="1">
          <cell r="A1" t="str">
            <v>PHIẾU XỬ LÝ HỒ SƠ THANH TOÁN VƯỢT THẨM QUYỀN PD</v>
          </cell>
        </row>
      </sheetData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>
        <row r="1">
          <cell r="A1" t="str">
            <v>PHIẾU XỬ LÝ HỒ SƠ THANH TOÁN VƯỢT THẨM QUYỀN PD</v>
          </cell>
        </row>
      </sheetData>
      <sheetData sheetId="3540">
        <row r="1">
          <cell r="A1" t="str">
            <v>PHIẾU XỬ LÝ HỒ SƠ THANH TOÁN VƯỢT THẨM QUYỀN PD</v>
          </cell>
        </row>
      </sheetData>
      <sheetData sheetId="3541">
        <row r="1">
          <cell r="A1" t="str">
            <v>PHIẾU XỬ LÝ HỒ SƠ THANH TOÁN VƯỢT THẨM QUYỀN PD</v>
          </cell>
        </row>
      </sheetData>
      <sheetData sheetId="3542">
        <row r="1">
          <cell r="A1" t="str">
            <v>PHIẾU XỬ LÝ HỒ SƠ THANH TOÁN VƯỢT THẨM QUYỀN PD</v>
          </cell>
        </row>
      </sheetData>
      <sheetData sheetId="3543">
        <row r="1">
          <cell r="A1" t="str">
            <v>PHIẾU XỬ LÝ HỒ SƠ THANH TOÁN VƯỢT THẨM QUYỀN PD</v>
          </cell>
        </row>
      </sheetData>
      <sheetData sheetId="3544">
        <row r="1">
          <cell r="A1" t="str">
            <v>PHIẾU XỬ LÝ HỒ SƠ THANH TOÁN VƯỢT THẨM QUYỀN PD</v>
          </cell>
        </row>
      </sheetData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>
        <row r="1">
          <cell r="A1" t="str">
            <v>PHIẾU XỬ LÝ HỒ SƠ THANH TOÁN VƯỢT THẨM QUYỀN PD</v>
          </cell>
        </row>
      </sheetData>
      <sheetData sheetId="3603">
        <row r="1">
          <cell r="A1" t="str">
            <v>PHIẾU XỬ LÝ HỒ SƠ THANH TOÁN VƯỢT THẨM QUYỀN PD</v>
          </cell>
        </row>
      </sheetData>
      <sheetData sheetId="3604">
        <row r="1">
          <cell r="A1" t="str">
            <v>PHIẾU XỬ LÝ HỒ SƠ THANH TOÁN VƯỢT THẨM QUYỀN PD</v>
          </cell>
        </row>
      </sheetData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>
        <row r="1">
          <cell r="A1" t="str">
            <v>PHIẾU XỬ LÝ HỒ SƠ THANH TOÁN VƯỢT THẨM QUYỀN PD</v>
          </cell>
        </row>
      </sheetData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>
        <row r="1">
          <cell r="A1" t="str">
            <v>PHIẾU XỬ LÝ HỒ SƠ THANH TOÁN VƯỢT THẨM QUYỀN PD</v>
          </cell>
        </row>
      </sheetData>
      <sheetData sheetId="3615">
        <row r="1">
          <cell r="A1" t="str">
            <v>PHIẾU XỬ LÝ HỒ SƠ THANH TOÁN VƯỢT THẨM QUYỀN PD</v>
          </cell>
        </row>
      </sheetData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/>
      <sheetData sheetId="3681"/>
      <sheetData sheetId="3682">
        <row r="1">
          <cell r="A1" t="str">
            <v>PHIẾU XỬ LÝ HỒ SƠ THANH TOÁN VƯỢT THẨM QUYỀN PD</v>
          </cell>
        </row>
      </sheetData>
      <sheetData sheetId="3683"/>
      <sheetData sheetId="3684"/>
      <sheetData sheetId="3685"/>
      <sheetData sheetId="3686"/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/>
      <sheetData sheetId="3751"/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>
        <row r="1">
          <cell r="A1" t="str">
            <v>PHIẾU XỬ LÝ HỒ SƠ THANH TOÁN VƯỢT THẨM QUYỀN PD</v>
          </cell>
        </row>
      </sheetData>
      <sheetData sheetId="3769">
        <row r="1">
          <cell r="A1" t="str">
            <v>PHIẾU XỬ LÝ HỒ SƠ THANH TOÁN VƯỢT THẨM QUYỀN PD</v>
          </cell>
        </row>
      </sheetData>
      <sheetData sheetId="3770">
        <row r="1">
          <cell r="A1" t="str">
            <v>PHIẾU XỬ LÝ HỒ SƠ THANH TOÁN VƯỢT THẨM QUYỀN PD</v>
          </cell>
        </row>
      </sheetData>
      <sheetData sheetId="3771">
        <row r="1">
          <cell r="A1" t="str">
            <v>PHIẾU XỬ LÝ HỒ SƠ THANH TOÁN VƯỢT THẨM QUYỀN PD</v>
          </cell>
        </row>
      </sheetData>
      <sheetData sheetId="3772">
        <row r="1">
          <cell r="A1" t="str">
            <v>PHIẾU XỬ LÝ HỒ SƠ THANH TOÁN VƯỢT THẨM QUYỀN PD</v>
          </cell>
        </row>
      </sheetData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>
        <row r="1">
          <cell r="A1" t="str">
            <v>PHIẾU XỬ LÝ HỒ SƠ THANH TOÁN VƯỢT THẨM QUYỀN PD</v>
          </cell>
        </row>
      </sheetData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>
        <row r="1">
          <cell r="A1" t="str">
            <v>PHIẾU XỬ LÝ HỒ SƠ THANH TOÁN VƯỢT THẨM QUYỀN PD</v>
          </cell>
        </row>
      </sheetData>
      <sheetData sheetId="3799">
        <row r="1">
          <cell r="A1" t="str">
            <v>PHIẾU XỬ LÝ HỒ SƠ THANH TOÁN VƯỢT THẨM QUYỀN PD</v>
          </cell>
        </row>
      </sheetData>
      <sheetData sheetId="3800">
        <row r="1">
          <cell r="A1" t="str">
            <v>PHIẾU XỬ LÝ HỒ SƠ THANH TOÁN VƯỢT THẨM QUYỀN PD</v>
          </cell>
        </row>
      </sheetData>
      <sheetData sheetId="3801">
        <row r="1">
          <cell r="A1" t="str">
            <v>PHIẾU XỬ LÝ HỒ SƠ THANH TOÁN VƯỢT THẨM QUYỀN PD</v>
          </cell>
        </row>
      </sheetData>
      <sheetData sheetId="3802">
        <row r="1">
          <cell r="A1" t="str">
            <v>PHIẾU XỬ LÝ HỒ SƠ THANH TOÁN VƯỢT THẨM QUYỀN PD</v>
          </cell>
        </row>
      </sheetData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>
        <row r="1">
          <cell r="A1" t="str">
            <v>PHIẾU XỬ LÝ HỒ SƠ THANH TOÁN VƯỢT THẨM QUYỀN PD</v>
          </cell>
        </row>
      </sheetData>
      <sheetData sheetId="3866">
        <row r="1">
          <cell r="A1" t="str">
            <v>PHIẾU XỬ LÝ HỒ SƠ THANH TOÁN VƯỢT THẨM QUYỀN PD</v>
          </cell>
        </row>
      </sheetData>
      <sheetData sheetId="3867">
        <row r="1">
          <cell r="A1" t="str">
            <v>PHIẾU XỬ LÝ HỒ SƠ THANH TOÁN VƯỢT THẨM QUYỀN PD</v>
          </cell>
        </row>
      </sheetData>
      <sheetData sheetId="3868">
        <row r="1">
          <cell r="A1" t="str">
            <v>PHIẾU XỬ LÝ HỒ SƠ THANH TOÁN VƯỢT THẨM QUYỀN PD</v>
          </cell>
        </row>
      </sheetData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>
        <row r="1">
          <cell r="A1" t="str">
            <v>PHIẾU XỬ LÝ HỒ SƠ THANH TOÁN VƯỢT THẨM QUYỀN PD</v>
          </cell>
        </row>
      </sheetData>
      <sheetData sheetId="3886">
        <row r="1">
          <cell r="A1" t="str">
            <v>PHIẾU XỬ LÝ HỒ SƠ THANH TOÁN VƯỢT THẨM QUYỀN PD</v>
          </cell>
        </row>
      </sheetData>
      <sheetData sheetId="3887">
        <row r="1">
          <cell r="A1" t="str">
            <v>PHIẾU XỬ LÝ HỒ SƠ THANH TOÁN VƯỢT THẨM QUYỀN PD</v>
          </cell>
        </row>
      </sheetData>
      <sheetData sheetId="3888">
        <row r="1">
          <cell r="A1" t="str">
            <v>PHIẾU XỬ LÝ HỒ SƠ THANH TOÁN VƯỢT THẨM QUYỀN PD</v>
          </cell>
        </row>
      </sheetData>
      <sheetData sheetId="3889">
        <row r="1">
          <cell r="A1" t="str">
            <v>PHIẾU XỬ LÝ HỒ SƠ THANH TOÁN VƯỢT THẨM QUYỀN PD</v>
          </cell>
        </row>
      </sheetData>
      <sheetData sheetId="3890">
        <row r="1">
          <cell r="A1" t="str">
            <v>PHIẾU XỬ LÝ HỒ SƠ THANH TOÁN VƯỢT THẨM QUYỀN PD</v>
          </cell>
        </row>
      </sheetData>
      <sheetData sheetId="3891">
        <row r="1">
          <cell r="A1" t="str">
            <v>PHIẾU XỬ LÝ HỒ SƠ THANH TOÁN VƯỢT THẨM QUYỀN PD</v>
          </cell>
        </row>
      </sheetData>
      <sheetData sheetId="3892">
        <row r="1">
          <cell r="A1" t="str">
            <v>PHIẾU XỬ LÝ HỒ SƠ THANH TOÁN VƯỢT THẨM QUYỀN PD</v>
          </cell>
        </row>
      </sheetData>
      <sheetData sheetId="3893">
        <row r="1">
          <cell r="A1" t="str">
            <v>PHIẾU XỬ LÝ HỒ SƠ THANH TOÁN VƯỢT THẨM QUYỀN PD</v>
          </cell>
        </row>
      </sheetData>
      <sheetData sheetId="3894">
        <row r="1">
          <cell r="A1" t="str">
            <v>PHIẾU XỬ LÝ HỒ SƠ THANH TOÁN VƯỢT THẨM QUYỀN PD</v>
          </cell>
        </row>
      </sheetData>
      <sheetData sheetId="3895">
        <row r="1">
          <cell r="A1" t="str">
            <v>PHIẾU XỬ LÝ HỒ SƠ THANH TOÁN VƯỢT THẨM QUYỀN PD</v>
          </cell>
        </row>
      </sheetData>
      <sheetData sheetId="3896">
        <row r="1">
          <cell r="A1" t="str">
            <v>PHIẾU XỬ LÝ HỒ SƠ THANH TOÁN VƯỢT THẨM QUYỀN PD</v>
          </cell>
        </row>
      </sheetData>
      <sheetData sheetId="3897">
        <row r="1">
          <cell r="A1" t="str">
            <v>PHIẾU XỬ LÝ HỒ SƠ THANH TOÁN VƯỢT THẨM QUYỀN PD</v>
          </cell>
        </row>
      </sheetData>
      <sheetData sheetId="3898">
        <row r="1">
          <cell r="A1" t="str">
            <v>PHIẾU XỬ LÝ HỒ SƠ THANH TOÁN VƯỢT THẨM QUYỀN PD</v>
          </cell>
        </row>
      </sheetData>
      <sheetData sheetId="3899">
        <row r="1">
          <cell r="A1" t="str">
            <v>PHIẾU XỬ LÝ HỒ SƠ THANH TOÁN VƯỢT THẨM QUYỀN PD</v>
          </cell>
        </row>
      </sheetData>
      <sheetData sheetId="3900">
        <row r="1">
          <cell r="A1" t="str">
            <v>PHIẾU XỬ LÝ HỒ SƠ THANH TOÁN VƯỢT THẨM QUYỀN PD</v>
          </cell>
        </row>
      </sheetData>
      <sheetData sheetId="3901">
        <row r="1">
          <cell r="A1" t="str">
            <v>PHIẾU XỬ LÝ HỒ SƠ THANH TOÁN VƯỢT THẨM QUYỀN PD</v>
          </cell>
        </row>
      </sheetData>
      <sheetData sheetId="3902">
        <row r="1">
          <cell r="A1" t="str">
            <v>PHIẾU XỬ LÝ HỒ SƠ THANH TOÁN VƯỢT THẨM QUYỀN PD</v>
          </cell>
        </row>
      </sheetData>
      <sheetData sheetId="3903">
        <row r="1">
          <cell r="A1" t="str">
            <v>PHIẾU XỬ LÝ HỒ SƠ THANH TOÁN VƯỢT THẨM QUYỀN PD</v>
          </cell>
        </row>
      </sheetData>
      <sheetData sheetId="3904">
        <row r="1">
          <cell r="A1" t="str">
            <v>PHIẾU XỬ LÝ HỒ SƠ THANH TOÁN VƯỢT THẨM QUYỀN PD</v>
          </cell>
        </row>
      </sheetData>
      <sheetData sheetId="3905">
        <row r="1">
          <cell r="A1" t="str">
            <v>PHIẾU XỬ LÝ HỒ SƠ THANH TOÁN VƯỢT THẨM QUYỀN PD</v>
          </cell>
        </row>
      </sheetData>
      <sheetData sheetId="3906">
        <row r="1">
          <cell r="A1" t="str">
            <v>PHIẾU XỬ LÝ HỒ SƠ THANH TOÁN VƯỢT THẨM QUYỀN PD</v>
          </cell>
        </row>
      </sheetData>
      <sheetData sheetId="3907">
        <row r="1">
          <cell r="A1" t="str">
            <v>PHIẾU XỬ LÝ HỒ SƠ THANH TOÁN VƯỢT THẨM QUYỀN PD</v>
          </cell>
        </row>
      </sheetData>
      <sheetData sheetId="3908">
        <row r="1">
          <cell r="A1" t="str">
            <v>PHIẾU XỬ LÝ HỒ SƠ THANH TOÁN VƯỢT THẨM QUYỀN PD</v>
          </cell>
        </row>
      </sheetData>
      <sheetData sheetId="3909">
        <row r="1">
          <cell r="A1" t="str">
            <v>PHIẾU XỬ LÝ HỒ SƠ THANH TOÁN VƯỢT THẨM QUYỀN PD</v>
          </cell>
        </row>
      </sheetData>
      <sheetData sheetId="3910">
        <row r="1">
          <cell r="A1" t="str">
            <v>PHIẾU XỬ LÝ HỒ SƠ THANH TOÁN VƯỢT THẨM QUYỀN PD</v>
          </cell>
        </row>
      </sheetData>
      <sheetData sheetId="3911">
        <row r="1">
          <cell r="A1" t="str">
            <v>PHIẾU XỬ LÝ HỒ SƠ THANH TOÁN VƯỢT THẨM QUYỀN PD</v>
          </cell>
        </row>
      </sheetData>
      <sheetData sheetId="3912">
        <row r="1">
          <cell r="A1" t="str">
            <v>PHIẾU XỬ LÝ HỒ SƠ THANH TOÁN VƯỢT THẨM QUYỀN PD</v>
          </cell>
        </row>
      </sheetData>
      <sheetData sheetId="3913">
        <row r="1">
          <cell r="A1" t="str">
            <v>PHIẾU XỬ LÝ HỒ SƠ THANH TOÁN VƯỢT THẨM QUYỀN PD</v>
          </cell>
        </row>
      </sheetData>
      <sheetData sheetId="3914">
        <row r="1">
          <cell r="A1" t="str">
            <v>PHIẾU XỬ LÝ HỒ SƠ THANH TOÁN VƯỢT THẨM QUYỀN PD</v>
          </cell>
        </row>
      </sheetData>
      <sheetData sheetId="3915">
        <row r="1">
          <cell r="A1" t="str">
            <v>PHIẾU XỬ LÝ HỒ SƠ THANH TOÁN VƯỢT THẨM QUYỀN PD</v>
          </cell>
        </row>
      </sheetData>
      <sheetData sheetId="3916">
        <row r="1">
          <cell r="A1" t="str">
            <v>PHIẾU XỬ LÝ HỒ SƠ THANH TOÁN VƯỢT THẨM QUYỀN PD</v>
          </cell>
        </row>
      </sheetData>
      <sheetData sheetId="3917">
        <row r="1">
          <cell r="A1" t="str">
            <v>PHIẾU XỬ LÝ HỒ SƠ THANH TOÁN VƯỢT THẨM QUYỀN PD</v>
          </cell>
        </row>
      </sheetData>
      <sheetData sheetId="3918">
        <row r="1">
          <cell r="A1" t="str">
            <v>PHIẾU XỬ LÝ HỒ SƠ THANH TOÁN VƯỢT THẨM QUYỀN PD</v>
          </cell>
        </row>
      </sheetData>
      <sheetData sheetId="3919">
        <row r="1">
          <cell r="A1" t="str">
            <v>PHIẾU XỬ LÝ HỒ SƠ THANH TOÁN VƯỢT THẨM QUYỀN PD</v>
          </cell>
        </row>
      </sheetData>
      <sheetData sheetId="3920">
        <row r="1">
          <cell r="A1" t="str">
            <v>PHIẾU XỬ LÝ HỒ SƠ THANH TOÁN VƯỢT THẨM QUYỀN PD</v>
          </cell>
        </row>
      </sheetData>
      <sheetData sheetId="3921">
        <row r="1">
          <cell r="A1" t="str">
            <v>PHIẾU XỬ LÝ HỒ SƠ THANH TOÁN VƯỢT THẨM QUYỀN PD</v>
          </cell>
        </row>
      </sheetData>
      <sheetData sheetId="3922">
        <row r="1">
          <cell r="A1" t="str">
            <v>PHIẾU XỬ LÝ HỒ SƠ THANH TOÁN VƯỢT THẨM QUYỀN PD</v>
          </cell>
        </row>
      </sheetData>
      <sheetData sheetId="3923">
        <row r="1">
          <cell r="A1" t="str">
            <v>PHIẾU XỬ LÝ HỒ SƠ THANH TOÁN VƯỢT THẨM QUYỀN PD</v>
          </cell>
        </row>
      </sheetData>
      <sheetData sheetId="3924">
        <row r="1">
          <cell r="A1" t="str">
            <v>PHIẾU XỬ LÝ HỒ SƠ THANH TOÁN VƯỢT THẨM QUYỀN PD</v>
          </cell>
        </row>
      </sheetData>
      <sheetData sheetId="3925">
        <row r="1">
          <cell r="A1" t="str">
            <v>PHIẾU XỬ LÝ HỒ SƠ THANH TOÁN VƯỢT THẨM QUYỀN PD</v>
          </cell>
        </row>
      </sheetData>
      <sheetData sheetId="3926">
        <row r="1">
          <cell r="A1" t="str">
            <v>PHIẾU XỬ LÝ HỒ SƠ THANH TOÁN VƯỢT THẨM QUYỀN PD</v>
          </cell>
        </row>
      </sheetData>
      <sheetData sheetId="3927">
        <row r="1">
          <cell r="A1" t="str">
            <v>PHIẾU XỬ LÝ HỒ SƠ THANH TOÁN VƯỢT THẨM QUYỀN PD</v>
          </cell>
        </row>
      </sheetData>
      <sheetData sheetId="3928">
        <row r="1">
          <cell r="A1" t="str">
            <v>PHIẾU XỬ LÝ HỒ SƠ THANH TOÁN VƯỢT THẨM QUYỀN PD</v>
          </cell>
        </row>
      </sheetData>
      <sheetData sheetId="3929">
        <row r="1">
          <cell r="A1" t="str">
            <v>PHIẾU XỬ LÝ HỒ SƠ THANH TOÁN VƯỢT THẨM QUYỀN PD</v>
          </cell>
        </row>
      </sheetData>
      <sheetData sheetId="3930">
        <row r="1">
          <cell r="A1" t="str">
            <v>PHIẾU XỬ LÝ HỒ SƠ THANH TOÁN VƯỢT THẨM QUYỀN PD</v>
          </cell>
        </row>
      </sheetData>
      <sheetData sheetId="3931">
        <row r="1">
          <cell r="A1" t="str">
            <v>PHIẾU XỬ LÝ HỒ SƠ THANH TOÁN VƯỢT THẨM QUYỀN PD</v>
          </cell>
        </row>
      </sheetData>
      <sheetData sheetId="3932">
        <row r="1">
          <cell r="A1" t="str">
            <v>PHIẾU XỬ LÝ HỒ SƠ THANH TOÁN VƯỢT THẨM QUYỀN PD</v>
          </cell>
        </row>
      </sheetData>
      <sheetData sheetId="3933">
        <row r="1">
          <cell r="A1" t="str">
            <v>PHIẾU XỬ LÝ HỒ SƠ THANH TOÁN VƯỢT THẨM QUYỀN PD</v>
          </cell>
        </row>
      </sheetData>
      <sheetData sheetId="3934">
        <row r="1">
          <cell r="A1" t="str">
            <v>PHIẾU XỬ LÝ HỒ SƠ THANH TOÁN VƯỢT THẨM QUYỀN PD</v>
          </cell>
        </row>
      </sheetData>
      <sheetData sheetId="3935">
        <row r="1">
          <cell r="A1" t="str">
            <v>PHIẾU XỬ LÝ HỒ SƠ THANH TOÁN VƯỢT THẨM QUYỀN PD</v>
          </cell>
        </row>
      </sheetData>
      <sheetData sheetId="3936">
        <row r="1">
          <cell r="A1" t="str">
            <v>PHIẾU XỬ LÝ HỒ SƠ THANH TOÁN VƯỢT THẨM QUYỀN PD</v>
          </cell>
        </row>
      </sheetData>
      <sheetData sheetId="3937">
        <row r="1">
          <cell r="A1" t="str">
            <v>PHIẾU XỬ LÝ HỒ SƠ THANH TOÁN VƯỢT THẨM QUYỀN PD</v>
          </cell>
        </row>
      </sheetData>
      <sheetData sheetId="3938">
        <row r="1">
          <cell r="A1" t="str">
            <v>PHIẾU XỬ LÝ HỒ SƠ THANH TOÁN VƯỢT THẨM QUYỀN PD</v>
          </cell>
        </row>
      </sheetData>
      <sheetData sheetId="3939">
        <row r="1">
          <cell r="A1" t="str">
            <v>PHIẾU XỬ LÝ HỒ SƠ THANH TOÁN VƯỢT THẨM QUYỀN PD</v>
          </cell>
        </row>
      </sheetData>
      <sheetData sheetId="3940">
        <row r="1">
          <cell r="A1" t="str">
            <v>PHIẾU XỬ LÝ HỒ SƠ THANH TOÁN VƯỢT THẨM QUYỀN PD</v>
          </cell>
        </row>
      </sheetData>
      <sheetData sheetId="3941">
        <row r="1">
          <cell r="A1" t="str">
            <v>PHIẾU XỬ LÝ HỒ SƠ THANH TOÁN VƯỢT THẨM QUYỀN PD</v>
          </cell>
        </row>
      </sheetData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>
        <row r="1">
          <cell r="A1" t="str">
            <v>PHIẾU XỬ LÝ HỒ SƠ THANH TOÁN VƯỢT THẨM QUYỀN PD</v>
          </cell>
        </row>
      </sheetData>
      <sheetData sheetId="3959">
        <row r="1">
          <cell r="A1" t="str">
            <v>PHIẾU XỬ LÝ HỒ SƠ THANH TOÁN VƯỢT THẨM QUYỀN PD</v>
          </cell>
        </row>
      </sheetData>
      <sheetData sheetId="3960">
        <row r="1">
          <cell r="A1" t="str">
            <v>PHIẾU XỬ LÝ HỒ SƠ THANH TOÁN VƯỢT THẨM QUYỀN PD</v>
          </cell>
        </row>
      </sheetData>
      <sheetData sheetId="3961">
        <row r="1">
          <cell r="A1" t="str">
            <v>PHIẾU XỬ LÝ HỒ SƠ THANH TOÁN VƯỢT THẨM QUYỀN PD</v>
          </cell>
        </row>
      </sheetData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>
        <row r="1">
          <cell r="A1" t="str">
            <v>PHIẾU XỬ LÝ HỒ SƠ THANH TOÁN VƯỢT THẨM QUYỀN PD</v>
          </cell>
        </row>
      </sheetData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>
        <row r="1">
          <cell r="A1" t="str">
            <v>PHIẾU XỬ LÝ HỒ SƠ THANH TOÁN VƯỢT THẨM QUYỀN PD</v>
          </cell>
        </row>
      </sheetData>
      <sheetData sheetId="3988"/>
      <sheetData sheetId="3989">
        <row r="1">
          <cell r="A1" t="str">
            <v>PHIẾU XỬ LÝ HỒ SƠ THANH TOÁN VƯỢT THẨM QUYỀN PD</v>
          </cell>
        </row>
      </sheetData>
      <sheetData sheetId="3990">
        <row r="1">
          <cell r="A1" t="str">
            <v>PHIẾU XỬ LÝ HỒ SƠ THANH TOÁN VƯỢT THẨM QUYỀN PD</v>
          </cell>
        </row>
      </sheetData>
      <sheetData sheetId="3991">
        <row r="1">
          <cell r="A1" t="str">
            <v>PHIẾU XỬ LÝ HỒ SƠ THANH TOÁN VƯỢT THẨM QUYỀN PD</v>
          </cell>
        </row>
      </sheetData>
      <sheetData sheetId="3992">
        <row r="1">
          <cell r="A1" t="str">
            <v>PHIẾU XỬ LÝ HỒ SƠ THANH TOÁN VƯỢT THẨM QUYỀN PD</v>
          </cell>
        </row>
      </sheetData>
      <sheetData sheetId="3993">
        <row r="1">
          <cell r="A1" t="str">
            <v>PHIẾU XỬ LÝ HỒ SƠ THANH TOÁN VƯỢT THẨM QUYỀN PD</v>
          </cell>
        </row>
      </sheetData>
      <sheetData sheetId="3994">
        <row r="1">
          <cell r="A1" t="str">
            <v>PHIẾU XỬ LÝ HỒ SƠ THANH TOÁN VƯỢT THẨM QUYỀN PD</v>
          </cell>
        </row>
      </sheetData>
      <sheetData sheetId="3995">
        <row r="1">
          <cell r="A1" t="str">
            <v>PHIẾU XỬ LÝ HỒ SƠ THANH TOÁN VƯỢT THẨM QUYỀN PD</v>
          </cell>
        </row>
      </sheetData>
      <sheetData sheetId="3996">
        <row r="1">
          <cell r="A1" t="str">
            <v>PHIẾU XỬ LÝ HỒ SƠ THANH TOÁN VƯỢT THẨM QUYỀN PD</v>
          </cell>
        </row>
      </sheetData>
      <sheetData sheetId="3997">
        <row r="1">
          <cell r="A1" t="str">
            <v>PHIẾU XỬ LÝ HỒ SƠ THANH TOÁN VƯỢT THẨM QUYỀN PD</v>
          </cell>
        </row>
      </sheetData>
      <sheetData sheetId="3998"/>
      <sheetData sheetId="3999"/>
      <sheetData sheetId="4000"/>
      <sheetData sheetId="4001">
        <row r="1">
          <cell r="A1" t="str">
            <v>PHIẾU XỬ LÝ HỒ SƠ THANH TOÁN VƯỢT THẨM QUYỀN PD</v>
          </cell>
        </row>
      </sheetData>
      <sheetData sheetId="4002">
        <row r="1">
          <cell r="A1" t="str">
            <v>PHIẾU XỬ LÝ HỒ SƠ THANH TOÁN VƯỢT THẨM QUYỀN PD</v>
          </cell>
        </row>
      </sheetData>
      <sheetData sheetId="4003">
        <row r="1">
          <cell r="A1" t="str">
            <v>PHIẾU XỬ LÝ HỒ SƠ THANH TOÁN VƯỢT THẨM QUYỀN PD</v>
          </cell>
        </row>
      </sheetData>
      <sheetData sheetId="4004"/>
      <sheetData sheetId="4005">
        <row r="1">
          <cell r="A1" t="str">
            <v>PHIẾU XỬ LÝ HỒ SƠ THANH TOÁN VƯỢT THẨM QUYỀN PD</v>
          </cell>
        </row>
      </sheetData>
      <sheetData sheetId="4006"/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>
        <row r="1">
          <cell r="A1" t="str">
            <v>PHIẾU XỬ LÝ HỒ SƠ THANH TOÁN VƯỢT THẨM QUYỀN PD</v>
          </cell>
        </row>
      </sheetData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>
        <row r="1">
          <cell r="A1" t="str">
            <v>PHIẾU XỬ LÝ HỒ SƠ THANH TOÁN VƯỢT THẨM QUYỀN PD</v>
          </cell>
        </row>
      </sheetData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/>
      <sheetData sheetId="4021"/>
      <sheetData sheetId="4022"/>
      <sheetData sheetId="4023"/>
      <sheetData sheetId="4024"/>
      <sheetData sheetId="4025"/>
      <sheetData sheetId="4026">
        <row r="1">
          <cell r="A1" t="str">
            <v>PHIẾU XỬ LÝ HỒ SƠ THANH TOÁN VƯỢT THẨM QUYỀN PD</v>
          </cell>
        </row>
      </sheetData>
      <sheetData sheetId="4027"/>
      <sheetData sheetId="4028"/>
      <sheetData sheetId="4029"/>
      <sheetData sheetId="4030"/>
      <sheetData sheetId="4031"/>
      <sheetData sheetId="4032"/>
      <sheetData sheetId="4033">
        <row r="1">
          <cell r="A1" t="str">
            <v>PHIẾU XỬ LÝ HỒ SƠ THANH TOÁN VƯỢT THẨM QUYỀN PD</v>
          </cell>
        </row>
      </sheetData>
      <sheetData sheetId="4034"/>
      <sheetData sheetId="4035"/>
      <sheetData sheetId="4036">
        <row r="1">
          <cell r="A1" t="str">
            <v>PHIẾU XỬ LÝ HỒ SƠ THANH TOÁN VƯỢT THẨM QUYỀN PD</v>
          </cell>
        </row>
      </sheetData>
      <sheetData sheetId="4037"/>
      <sheetData sheetId="4038">
        <row r="1">
          <cell r="A1" t="str">
            <v>PHIẾU XỬ LÝ HỒ SƠ THANH TOÁN VƯỢT THẨM QUYỀN PD</v>
          </cell>
        </row>
      </sheetData>
      <sheetData sheetId="4039"/>
      <sheetData sheetId="4040"/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>
        <row r="1">
          <cell r="A1" t="str">
            <v>PHIẾU XỬ LÝ HỒ SƠ THANH TOÁN VƯỢT THẨM QUYỀN PD</v>
          </cell>
        </row>
      </sheetData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>
        <row r="1">
          <cell r="A1" t="str">
            <v>PHIẾU XỬ LÝ HỒ SƠ THANH TOÁN VƯỢT THẨM QUYỀN PD</v>
          </cell>
        </row>
      </sheetData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>
        <row r="1">
          <cell r="A1" t="str">
            <v>PHIẾU XỬ LÝ HỒ SƠ THANH TOÁN VƯỢT THẨM QUYỀN PD</v>
          </cell>
        </row>
      </sheetData>
      <sheetData sheetId="4058">
        <row r="1">
          <cell r="A1" t="str">
            <v>PHIẾU XỬ LÝ HỒ SƠ THANH TOÁN VƯỢT THẨM QUYỀN PD</v>
          </cell>
        </row>
      </sheetData>
      <sheetData sheetId="4059">
        <row r="1">
          <cell r="A1" t="str">
            <v>PHIẾU XỬ LÝ HỒ SƠ THANH TOÁN VƯỢT THẨM QUYỀN PD</v>
          </cell>
        </row>
      </sheetData>
      <sheetData sheetId="4060">
        <row r="1">
          <cell r="A1" t="str">
            <v>PHIẾU XỬ LÝ HỒ SƠ THANH TOÁN VƯỢT THẨM QUYỀN PD</v>
          </cell>
        </row>
      </sheetData>
      <sheetData sheetId="4061">
        <row r="1">
          <cell r="A1" t="str">
            <v>PHIẾU XỬ LÝ HỒ SƠ THANH TOÁN VƯỢT THẨM QUYỀN PD</v>
          </cell>
        </row>
      </sheetData>
      <sheetData sheetId="4062">
        <row r="1">
          <cell r="A1" t="str">
            <v>PHIẾU XỬ LÝ HỒ SƠ THANH TOÁN VƯỢT THẨM QUYỀN PD</v>
          </cell>
        </row>
      </sheetData>
      <sheetData sheetId="4063">
        <row r="1">
          <cell r="A1" t="str">
            <v>PHIẾU XỬ LÝ HỒ SƠ THANH TOÁN VƯỢT THẨM QUYỀN PD</v>
          </cell>
        </row>
      </sheetData>
      <sheetData sheetId="4064">
        <row r="1">
          <cell r="A1" t="str">
            <v>PHIẾU XỬ LÝ HỒ SƠ THANH TOÁN VƯỢT THẨM QUYỀN PD</v>
          </cell>
        </row>
      </sheetData>
      <sheetData sheetId="4065">
        <row r="1">
          <cell r="A1" t="str">
            <v>PHIẾU XỬ LÝ HỒ SƠ THANH TOÁN VƯỢT THẨM QUYỀN PD</v>
          </cell>
        </row>
      </sheetData>
      <sheetData sheetId="4066">
        <row r="1">
          <cell r="A1" t="str">
            <v>PHIẾU XỬ LÝ HỒ SƠ THANH TOÁN VƯỢT THẨM QUYỀN PD</v>
          </cell>
        </row>
      </sheetData>
      <sheetData sheetId="4067">
        <row r="1">
          <cell r="A1" t="str">
            <v>PHIẾU XỬ LÝ HỒ SƠ THANH TOÁN VƯỢT THẨM QUYỀN PD</v>
          </cell>
        </row>
      </sheetData>
      <sheetData sheetId="4068">
        <row r="1">
          <cell r="A1" t="str">
            <v>PHIẾU XỬ LÝ HỒ SƠ THANH TOÁN VƯỢT THẨM QUYỀN PD</v>
          </cell>
        </row>
      </sheetData>
      <sheetData sheetId="4069">
        <row r="1">
          <cell r="A1" t="str">
            <v>PHIẾU XỬ LÝ HỒ SƠ THANH TOÁN VƯỢT THẨM QUYỀN PD</v>
          </cell>
        </row>
      </sheetData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>
        <row r="1">
          <cell r="A1" t="str">
            <v>PHIẾU XỬ LÝ HỒ SƠ THANH TOÁN VƯỢT THẨM QUYỀN PD</v>
          </cell>
        </row>
      </sheetData>
      <sheetData sheetId="4079">
        <row r="1">
          <cell r="A1" t="str">
            <v>PHIẾU XỬ LÝ HỒ SƠ THANH TOÁN VƯỢT THẨM QUYỀN PD</v>
          </cell>
        </row>
      </sheetData>
      <sheetData sheetId="4080">
        <row r="1">
          <cell r="A1" t="str">
            <v>PHIẾU XỬ LÝ HỒ SƠ THANH TOÁN VƯỢT THẨM QUYỀN PD</v>
          </cell>
        </row>
      </sheetData>
      <sheetData sheetId="4081">
        <row r="1">
          <cell r="A1" t="str">
            <v>PHIẾU XỬ LÝ HỒ SƠ THANH TOÁN VƯỢT THẨM QUYỀN PD</v>
          </cell>
        </row>
      </sheetData>
      <sheetData sheetId="4082">
        <row r="1">
          <cell r="A1" t="str">
            <v>PHIẾU XỬ LÝ HỒ SƠ THANH TOÁN VƯỢT THẨM QUYỀN PD</v>
          </cell>
        </row>
      </sheetData>
      <sheetData sheetId="4083">
        <row r="1">
          <cell r="A1" t="str">
            <v>PHIẾU XỬ LÝ HỒ SƠ THANH TOÁN VƯỢT THẨM QUYỀN PD</v>
          </cell>
        </row>
      </sheetData>
      <sheetData sheetId="4084">
        <row r="1">
          <cell r="A1" t="str">
            <v>PHIẾU XỬ LÝ HỒ SƠ THANH TOÁN VƯỢT THẨM QUYỀN PD</v>
          </cell>
        </row>
      </sheetData>
      <sheetData sheetId="4085">
        <row r="1">
          <cell r="A1" t="str">
            <v>PHIẾU XỬ LÝ HỒ SƠ THANH TOÁN VƯỢT THẨM QUYỀN PD</v>
          </cell>
        </row>
      </sheetData>
      <sheetData sheetId="4086">
        <row r="1">
          <cell r="A1" t="str">
            <v>PHIẾU XỬ LÝ HỒ SƠ THANH TOÁN VƯỢT THẨM QUYỀN PD</v>
          </cell>
        </row>
      </sheetData>
      <sheetData sheetId="4087">
        <row r="1">
          <cell r="A1" t="str">
            <v>PHIẾU XỬ LÝ HỒ SƠ THANH TOÁN VƯỢT THẨM QUYỀN PD</v>
          </cell>
        </row>
      </sheetData>
      <sheetData sheetId="4088">
        <row r="1">
          <cell r="A1" t="str">
            <v>PHIẾU XỬ LÝ HỒ SƠ THANH TOÁN VƯỢT THẨM QUYỀN PD</v>
          </cell>
        </row>
      </sheetData>
      <sheetData sheetId="4089">
        <row r="1">
          <cell r="A1" t="str">
            <v>PHIẾU XỬ LÝ HỒ SƠ THANH TOÁN VƯỢT THẨM QUYỀN PD</v>
          </cell>
        </row>
      </sheetData>
      <sheetData sheetId="4090">
        <row r="1">
          <cell r="A1" t="str">
            <v>PHIẾU XỬ LÝ HỒ SƠ THANH TOÁN VƯỢT THẨM QUYỀN PD</v>
          </cell>
        </row>
      </sheetData>
      <sheetData sheetId="4091">
        <row r="1">
          <cell r="A1" t="str">
            <v>PHIẾU XỬ LÝ HỒ SƠ THANH TOÁN VƯỢT THẨM QUYỀN PD</v>
          </cell>
        </row>
      </sheetData>
      <sheetData sheetId="4092">
        <row r="1">
          <cell r="A1" t="str">
            <v>PHIẾU XỬ LÝ HỒ SƠ THANH TOÁN VƯỢT THẨM QUYỀN PD</v>
          </cell>
        </row>
      </sheetData>
      <sheetData sheetId="4093">
        <row r="1">
          <cell r="A1" t="str">
            <v>PHIẾU XỬ LÝ HỒ SƠ THANH TOÁN VƯỢT THẨM QUYỀN PD</v>
          </cell>
        </row>
      </sheetData>
      <sheetData sheetId="4094">
        <row r="1">
          <cell r="A1" t="str">
            <v>PHIẾU XỬ LÝ HỒ SƠ THANH TOÁN VƯỢT THẨM QUYỀN PD</v>
          </cell>
        </row>
      </sheetData>
      <sheetData sheetId="4095">
        <row r="1">
          <cell r="A1" t="str">
            <v>PHIẾU XỬ LÝ HỒ SƠ THANH TOÁN VƯỢT THẨM QUYỀN PD</v>
          </cell>
        </row>
      </sheetData>
      <sheetData sheetId="4096">
        <row r="1">
          <cell r="A1" t="str">
            <v>PHIẾU XỬ LÝ HỒ SƠ THANH TOÁN VƯỢT THẨM QUYỀN PD</v>
          </cell>
        </row>
      </sheetData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>
        <row r="1">
          <cell r="A1" t="str">
            <v>PHIẾU XỬ LÝ HỒ SƠ THANH TOÁN VƯỢT THẨM QUYỀN PD</v>
          </cell>
        </row>
      </sheetData>
      <sheetData sheetId="4112">
        <row r="1">
          <cell r="A1" t="str">
            <v>PHIẾU XỬ LÝ HỒ SƠ THANH TOÁN VƯỢT THẨM QUYỀN PD</v>
          </cell>
        </row>
      </sheetData>
      <sheetData sheetId="4113">
        <row r="1">
          <cell r="A1" t="str">
            <v>PHIẾU XỬ LÝ HỒ SƠ THANH TOÁN VƯỢT THẨM QUYỀN PD</v>
          </cell>
        </row>
      </sheetData>
      <sheetData sheetId="4114"/>
      <sheetData sheetId="4115"/>
      <sheetData sheetId="4116">
        <row r="1">
          <cell r="A1" t="str">
            <v>PHIẾU XỬ LÝ HỒ SƠ THANH TOÁN VƯỢT THẨM QUYỀN PD</v>
          </cell>
        </row>
      </sheetData>
      <sheetData sheetId="4117">
        <row r="1">
          <cell r="A1" t="str">
            <v>PHIẾU XỬ LÝ HỒ SƠ THANH TOÁN VƯỢT THẨM QUYỀN PD</v>
          </cell>
        </row>
      </sheetData>
      <sheetData sheetId="4118">
        <row r="1">
          <cell r="A1" t="str">
            <v>PHIẾU XỬ LÝ HỒ SƠ THANH TOÁN VƯỢT THẨM QUYỀN PD</v>
          </cell>
        </row>
      </sheetData>
      <sheetData sheetId="4119">
        <row r="1">
          <cell r="A1" t="str">
            <v>PHIẾU XỬ LÝ HỒ SƠ THANH TOÁN VƯỢT THẨM QUYỀN PD</v>
          </cell>
        </row>
      </sheetData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>
        <row r="1">
          <cell r="A1" t="str">
            <v>PHIẾU XỬ LÝ HỒ SƠ THANH TOÁN VƯỢT THẨM QUYỀN PD</v>
          </cell>
        </row>
      </sheetData>
      <sheetData sheetId="4152">
        <row r="1">
          <cell r="A1" t="str">
            <v>PHIẾU XỬ LÝ HỒ SƠ THANH TOÁN VƯỢT THẨM QUYỀN PD</v>
          </cell>
        </row>
      </sheetData>
      <sheetData sheetId="4153">
        <row r="1">
          <cell r="A1" t="str">
            <v>PHIẾU XỬ LÝ HỒ SƠ THANH TOÁN VƯỢT THẨM QUYỀN PD</v>
          </cell>
        </row>
      </sheetData>
      <sheetData sheetId="4154">
        <row r="1">
          <cell r="A1" t="str">
            <v>PHIẾU XỬ LÝ HỒ SƠ THANH TOÁN VƯỢT THẨM QUYỀN PD</v>
          </cell>
        </row>
      </sheetData>
      <sheetData sheetId="4155">
        <row r="1">
          <cell r="A1" t="str">
            <v>PHIẾU XỬ LÝ HỒ SƠ THANH TOÁN VƯỢT THẨM QUYỀN PD</v>
          </cell>
        </row>
      </sheetData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>
        <row r="1">
          <cell r="A1" t="str">
            <v>PHIẾU XỬ LÝ HỒ SƠ THANH TOÁN VƯỢT THẨM QUYỀN PD</v>
          </cell>
        </row>
      </sheetData>
      <sheetData sheetId="4169"/>
      <sheetData sheetId="4170"/>
      <sheetData sheetId="4171">
        <row r="1">
          <cell r="A1" t="str">
            <v>PHIẾU XỬ LÝ HỒ SƠ THANH TOÁN VƯỢT THẨM QUYỀN PD</v>
          </cell>
        </row>
      </sheetData>
      <sheetData sheetId="4172"/>
      <sheetData sheetId="4173">
        <row r="1">
          <cell r="A1" t="str">
            <v>PHIẾU XỬ LÝ HỒ SƠ THANH TOÁN VƯỢT THẨM QUYỀN PD</v>
          </cell>
        </row>
      </sheetData>
      <sheetData sheetId="4174">
        <row r="1">
          <cell r="A1" t="str">
            <v>PHIẾU XỬ LÝ HỒ SƠ THANH TOÁN VƯỢT THẨM QUYỀN PD</v>
          </cell>
        </row>
      </sheetData>
      <sheetData sheetId="4175">
        <row r="1">
          <cell r="A1" t="str">
            <v>PHIẾU XỬ LÝ HỒ SƠ THANH TOÁN VƯỢT THẨM QUYỀN PD</v>
          </cell>
        </row>
      </sheetData>
      <sheetData sheetId="4176">
        <row r="1">
          <cell r="A1" t="str">
            <v>PHIẾU XỬ LÝ HỒ SƠ THANH TOÁN VƯỢT THẨM QUYỀN PD</v>
          </cell>
        </row>
      </sheetData>
      <sheetData sheetId="4177"/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>
        <row r="1">
          <cell r="A1" t="str">
            <v>PHIẾU XỬ LÝ HỒ SƠ THANH TOÁN VƯỢT THẨM QUYỀN PD</v>
          </cell>
        </row>
      </sheetData>
      <sheetData sheetId="4181">
        <row r="1">
          <cell r="A1" t="str">
            <v>PHIẾU XỬ LÝ HỒ SƠ THANH TOÁN VƯỢT THẨM QUYỀN PD</v>
          </cell>
        </row>
      </sheetData>
      <sheetData sheetId="4182">
        <row r="1">
          <cell r="A1" t="str">
            <v>PHIẾU XỬ LÝ HỒ SƠ THANH TOÁN VƯỢT THẨM QUYỀN PD</v>
          </cell>
        </row>
      </sheetData>
      <sheetData sheetId="4183">
        <row r="1">
          <cell r="A1" t="str">
            <v>PHIẾU XỬ LÝ HỒ SƠ THANH TOÁN VƯỢT THẨM QUYỀN PD</v>
          </cell>
        </row>
      </sheetData>
      <sheetData sheetId="4184">
        <row r="1">
          <cell r="A1" t="str">
            <v>PHIẾU XỬ LÝ HỒ SƠ THANH TOÁN VƯỢT THẨM QUYỀN PD</v>
          </cell>
        </row>
      </sheetData>
      <sheetData sheetId="4185">
        <row r="1">
          <cell r="A1" t="str">
            <v>PHIẾU XỬ LÝ HỒ SƠ THANH TOÁN VƯỢT THẨM QUYỀN PD</v>
          </cell>
        </row>
      </sheetData>
      <sheetData sheetId="4186">
        <row r="1">
          <cell r="A1" t="str">
            <v>PHIẾU XỬ LÝ HỒ SƠ THANH TOÁN VƯỢT THẨM QUYỀN PD</v>
          </cell>
        </row>
      </sheetData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>
        <row r="1">
          <cell r="A1" t="str">
            <v>PHIẾU XỬ LÝ HỒ SƠ THANH TOÁN VƯỢT THẨM QUYỀN PD</v>
          </cell>
        </row>
      </sheetData>
      <sheetData sheetId="4199">
        <row r="1">
          <cell r="A1" t="str">
            <v>PHIẾU XỬ LÝ HỒ SƠ THANH TOÁN VƯỢT THẨM QUYỀN PD</v>
          </cell>
        </row>
      </sheetData>
      <sheetData sheetId="4200">
        <row r="1">
          <cell r="A1" t="str">
            <v>PHIẾU XỬ LÝ HỒ SƠ THANH TOÁN VƯỢT THẨM QUYỀN PD</v>
          </cell>
        </row>
      </sheetData>
      <sheetData sheetId="4201">
        <row r="1">
          <cell r="A1" t="str">
            <v>PHIẾU XỬ LÝ HỒ SƠ THANH TOÁN VƯỢT THẨM QUYỀN PD</v>
          </cell>
        </row>
      </sheetData>
      <sheetData sheetId="4202">
        <row r="1">
          <cell r="A1" t="str">
            <v>PHIẾU XỬ LÝ HỒ SƠ THANH TOÁN VƯỢT THẨM QUYỀN PD</v>
          </cell>
        </row>
      </sheetData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>
        <row r="1">
          <cell r="A1" t="str">
            <v>PHIẾU XỬ LÝ HỒ SƠ THANH TOÁN VƯỢT THẨM QUYỀN PD</v>
          </cell>
        </row>
      </sheetData>
      <sheetData sheetId="4243"/>
      <sheetData sheetId="4244"/>
      <sheetData sheetId="4245"/>
      <sheetData sheetId="4246"/>
      <sheetData sheetId="4247"/>
      <sheetData sheetId="4248">
        <row r="1">
          <cell r="A1" t="str">
            <v>PHIẾU XỬ LÝ HỒ SƠ THANH TOÁN VƯỢT THẨM QUYỀN PD</v>
          </cell>
        </row>
      </sheetData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/>
      <sheetData sheetId="4293"/>
      <sheetData sheetId="4294">
        <row r="1">
          <cell r="A1" t="str">
            <v>PHIẾU XỬ LÝ HỒ SƠ THANH TOÁN VƯỢT THẨM QUYỀN PD</v>
          </cell>
        </row>
      </sheetData>
      <sheetData sheetId="4295"/>
      <sheetData sheetId="4296"/>
      <sheetData sheetId="4297"/>
      <sheetData sheetId="4298"/>
      <sheetData sheetId="4299"/>
      <sheetData sheetId="4300"/>
      <sheetData sheetId="4301"/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/>
      <sheetData sheetId="4305"/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/>
      <sheetData sheetId="4350"/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>
        <row r="1">
          <cell r="A1" t="str">
            <v>PHIẾU XỬ LÝ HỒ SƠ THANH TOÁN VƯỢT THẨM QUYỀN PD</v>
          </cell>
        </row>
      </sheetData>
      <sheetData sheetId="4363"/>
      <sheetData sheetId="4364"/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/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/>
      <sheetData sheetId="4464"/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/>
      <sheetData sheetId="4478"/>
      <sheetData sheetId="4479">
        <row r="1">
          <cell r="A1" t="str">
            <v>PHIẾU XỬ LÝ HỒ SƠ THANH TOÁN VƯỢT THẨM QUYỀN PD</v>
          </cell>
        </row>
      </sheetData>
      <sheetData sheetId="4480"/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/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/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/>
      <sheetData sheetId="4525"/>
      <sheetData sheetId="4526"/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>
        <row r="1">
          <cell r="A1" t="str">
            <v>PHIẾU XỬ LÝ HỒ SƠ THANH TOÁN VƯỢT THẨM QUYỀN PD</v>
          </cell>
        </row>
      </sheetData>
      <sheetData sheetId="4946">
        <row r="1">
          <cell r="A1" t="str">
            <v>PHIẾU XỬ LÝ HỒ SƠ THANH TOÁN VƯỢT THẨM QUYỀN PD</v>
          </cell>
        </row>
      </sheetData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 refreshError="1"/>
      <sheetData sheetId="4991" refreshError="1"/>
      <sheetData sheetId="4992">
        <row r="1">
          <cell r="A1" t="str">
            <v>PHIẾU XỬ LÝ HỒ SƠ THANH TOÁN VƯỢT THẨM QUYỀN PD</v>
          </cell>
        </row>
      </sheetData>
      <sheetData sheetId="4993">
        <row r="1">
          <cell r="A1" t="str">
            <v>PHIẾU XỬ LÝ HỒ SƠ THANH TOÁN VƯỢT THẨM QUYỀN PD</v>
          </cell>
        </row>
      </sheetData>
      <sheetData sheetId="4994">
        <row r="1">
          <cell r="A1" t="str">
            <v>PHIẾU XỬ LÝ HỒ SƠ THANH TOÁN VƯỢT THẨM QUYỀN PD</v>
          </cell>
        </row>
      </sheetData>
      <sheetData sheetId="4995">
        <row r="1">
          <cell r="A1" t="str">
            <v>PHIẾU XỬ LÝ HỒ SƠ THANH TOÁN VƯỢT THẨM QUYỀN PD</v>
          </cell>
        </row>
      </sheetData>
      <sheetData sheetId="4996">
        <row r="1">
          <cell r="A1" t="str">
            <v>PHIẾU XỬ LÝ HỒ SƠ THANH TOÁN VƯỢT THẨM QUYỀN PD</v>
          </cell>
        </row>
      </sheetData>
      <sheetData sheetId="4997">
        <row r="1">
          <cell r="A1" t="str">
            <v>PHIẾU XỬ LÝ HỒ SƠ THANH TOÁN VƯỢT THẨM QUYỀN PD</v>
          </cell>
        </row>
      </sheetData>
      <sheetData sheetId="4998">
        <row r="1">
          <cell r="A1" t="str">
            <v>PHIẾU XỬ LÝ HỒ SƠ THANH TOÁN VƯỢT THẨM QUYỀN PD</v>
          </cell>
        </row>
      </sheetData>
      <sheetData sheetId="4999">
        <row r="1">
          <cell r="A1" t="str">
            <v>PHIẾU XỬ LÝ HỒ SƠ THANH TOÁN VƯỢT THẨM QUYỀN PD</v>
          </cell>
        </row>
      </sheetData>
      <sheetData sheetId="5000">
        <row r="1">
          <cell r="A1" t="str">
            <v>PHIẾU XỬ LÝ HỒ SƠ THANH TOÁN VƯỢT THẨM QUYỀN PD</v>
          </cell>
        </row>
      </sheetData>
      <sheetData sheetId="5001">
        <row r="1">
          <cell r="A1" t="str">
            <v>PHIẾU XỬ LÝ HỒ SƠ THANH TOÁN VƯỢT THẨM QUYỀN PD</v>
          </cell>
        </row>
      </sheetData>
      <sheetData sheetId="5002">
        <row r="1">
          <cell r="A1" t="str">
            <v>PHIẾU XỬ LÝ HỒ SƠ THANH TOÁN VƯỢT THẨM QUYỀN PD</v>
          </cell>
        </row>
      </sheetData>
      <sheetData sheetId="5003">
        <row r="1">
          <cell r="A1" t="str">
            <v>PHIẾU XỬ LÝ HỒ SƠ THANH TOÁN VƯỢT THẨM QUYỀN PD</v>
          </cell>
        </row>
      </sheetData>
      <sheetData sheetId="5004">
        <row r="1">
          <cell r="A1" t="str">
            <v>PHIẾU XỬ LÝ HỒ SƠ THANH TOÁN VƯỢT THẨM QUYỀN PD</v>
          </cell>
        </row>
      </sheetData>
      <sheetData sheetId="5005">
        <row r="1">
          <cell r="A1" t="str">
            <v>PHIẾU XỬ LÝ HỒ SƠ THANH TOÁN VƯỢT THẨM QUYỀN PD</v>
          </cell>
        </row>
      </sheetData>
      <sheetData sheetId="5006">
        <row r="1">
          <cell r="A1" t="str">
            <v>PHIẾU XỬ LÝ HỒ SƠ THANH TOÁN VƯỢT THẨM QUYỀN PD</v>
          </cell>
        </row>
      </sheetData>
      <sheetData sheetId="5007">
        <row r="1">
          <cell r="A1" t="str">
            <v>PHIẾU XỬ LÝ HỒ SƠ THANH TOÁN VƯỢT THẨM QUYỀN PD</v>
          </cell>
        </row>
      </sheetData>
      <sheetData sheetId="5008">
        <row r="1">
          <cell r="A1" t="str">
            <v>PHIẾU XỬ LÝ HỒ SƠ THANH TOÁN VƯỢT THẨM QUYỀN PD</v>
          </cell>
        </row>
      </sheetData>
      <sheetData sheetId="5009">
        <row r="1">
          <cell r="A1" t="str">
            <v>PHIẾU XỬ LÝ HỒ SƠ THANH TOÁN VƯỢT THẨM QUYỀN PD</v>
          </cell>
        </row>
      </sheetData>
      <sheetData sheetId="5010">
        <row r="1">
          <cell r="A1" t="str">
            <v>PHIẾU XỬ LÝ HỒ SƠ THANH TOÁN VƯỢT THẨM QUYỀN PD</v>
          </cell>
        </row>
      </sheetData>
      <sheetData sheetId="5011">
        <row r="1">
          <cell r="A1" t="str">
            <v>PHIẾU XỬ LÝ HỒ SƠ THANH TOÁN VƯỢT THẨM QUYỀN PD</v>
          </cell>
        </row>
      </sheetData>
      <sheetData sheetId="5012">
        <row r="1">
          <cell r="A1" t="str">
            <v>PHIẾU XỬ LÝ HỒ SƠ THANH TOÁN VƯỢT THẨM QUYỀN PD</v>
          </cell>
        </row>
      </sheetData>
      <sheetData sheetId="5013">
        <row r="1">
          <cell r="A1" t="str">
            <v>PHIẾU XỬ LÝ HỒ SƠ THANH TOÁN VƯỢT THẨM QUYỀN PD</v>
          </cell>
        </row>
      </sheetData>
      <sheetData sheetId="5014">
        <row r="1">
          <cell r="A1" t="str">
            <v>PHIẾU XỬ LÝ HỒ SƠ THANH TOÁN VƯỢT THẨM QUYỀN PD</v>
          </cell>
        </row>
      </sheetData>
      <sheetData sheetId="5015">
        <row r="1">
          <cell r="A1" t="str">
            <v>PHIẾU XỬ LÝ HỒ SƠ THANH TOÁN VƯỢT THẨM QUYỀN PD</v>
          </cell>
        </row>
      </sheetData>
      <sheetData sheetId="5016">
        <row r="1">
          <cell r="A1" t="str">
            <v>PHIẾU XỬ LÝ HỒ SƠ THANH TOÁN VƯỢT THẨM QUYỀN PD</v>
          </cell>
        </row>
      </sheetData>
      <sheetData sheetId="5017">
        <row r="1">
          <cell r="A1" t="str">
            <v>PHIẾU XỬ LÝ HỒ SƠ THANH TOÁN VƯỢT THẨM QUYỀN PD</v>
          </cell>
        </row>
      </sheetData>
      <sheetData sheetId="5018">
        <row r="1">
          <cell r="A1" t="str">
            <v>PHIẾU XỬ LÝ HỒ SƠ THANH TOÁN VƯỢT THẨM QUYỀN PD</v>
          </cell>
        </row>
      </sheetData>
      <sheetData sheetId="5019">
        <row r="1">
          <cell r="A1" t="str">
            <v>PHIẾU XỬ LÝ HỒ SƠ THANH TOÁN VƯỢT THẨM QUYỀN PD</v>
          </cell>
        </row>
      </sheetData>
      <sheetData sheetId="5020">
        <row r="1">
          <cell r="A1" t="str">
            <v>PHIẾU XỬ LÝ HỒ SƠ THANH TOÁN VƯỢT THẨM QUYỀN PD</v>
          </cell>
        </row>
      </sheetData>
      <sheetData sheetId="5021">
        <row r="1">
          <cell r="A1" t="str">
            <v>PHIẾU XỬ LÝ HỒ SƠ THANH TOÁN VƯỢT THẨM QUYỀN PD</v>
          </cell>
        </row>
      </sheetData>
      <sheetData sheetId="5022">
        <row r="1">
          <cell r="A1" t="str">
            <v>PHIẾU XỬ LÝ HỒ SƠ THANH TOÁN VƯỢT THẨM QUYỀN PD</v>
          </cell>
        </row>
      </sheetData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>
        <row r="1">
          <cell r="A1" t="str">
            <v>PHIẾU XỬ LÝ HỒ SƠ THANH TOÁN VƯỢT THẨM QUYỀN PD</v>
          </cell>
        </row>
      </sheetData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>
        <row r="1">
          <cell r="A1" t="str">
            <v>PHIẾU XỬ LÝ HỒ SƠ THANH TOÁN VƯỢT THẨM QUYỀN PD</v>
          </cell>
        </row>
      </sheetData>
      <sheetData sheetId="5039">
        <row r="1">
          <cell r="A1" t="str">
            <v>PHIẾU XỬ LÝ HỒ SƠ THANH TOÁN VƯỢT THẨM QUYỀN PD</v>
          </cell>
        </row>
      </sheetData>
      <sheetData sheetId="5040">
        <row r="1">
          <cell r="A1" t="str">
            <v>PHIẾU XỬ LÝ HỒ SƠ THANH TOÁN VƯỢT THẨM QUYỀN PD</v>
          </cell>
        </row>
      </sheetData>
      <sheetData sheetId="5041">
        <row r="1">
          <cell r="A1" t="str">
            <v>PHIẾU XỬ LÝ HỒ SƠ THANH TOÁN VƯỢT THẨM QUYỀN PD</v>
          </cell>
        </row>
      </sheetData>
      <sheetData sheetId="5042">
        <row r="1">
          <cell r="A1" t="str">
            <v>PHIẾU XỬ LÝ HỒ SƠ THANH TOÁN VƯỢT THẨM QUYỀN PD</v>
          </cell>
        </row>
      </sheetData>
      <sheetData sheetId="5043">
        <row r="1">
          <cell r="A1" t="str">
            <v>PHIẾU XỬ LÝ HỒ SƠ THANH TOÁN VƯỢT THẨM QUYỀN PD</v>
          </cell>
        </row>
      </sheetData>
      <sheetData sheetId="5044">
        <row r="1">
          <cell r="A1" t="str">
            <v>PHIẾU XỬ LÝ HỒ SƠ THANH TOÁN VƯỢT THẨM QUYỀN PD</v>
          </cell>
        </row>
      </sheetData>
      <sheetData sheetId="5045">
        <row r="1">
          <cell r="A1" t="str">
            <v>PHIẾU XỬ LÝ HỒ SƠ THANH TOÁN VƯỢT THẨM QUYỀN PD</v>
          </cell>
        </row>
      </sheetData>
      <sheetData sheetId="5046">
        <row r="1">
          <cell r="A1" t="str">
            <v>PHIẾU XỬ LÝ HỒ SƠ THANH TOÁN VƯỢT THẨM QUYỀN PD</v>
          </cell>
        </row>
      </sheetData>
      <sheetData sheetId="5047">
        <row r="1">
          <cell r="A1" t="str">
            <v>PHIẾU XỬ LÝ HỒ SƠ THANH TOÁN VƯỢT THẨM QUYỀN PD</v>
          </cell>
        </row>
      </sheetData>
      <sheetData sheetId="5048">
        <row r="1">
          <cell r="A1" t="str">
            <v>PHIẾU XỬ LÝ HỒ SƠ THANH TOÁN VƯỢT THẨM QUYỀN PD</v>
          </cell>
        </row>
      </sheetData>
      <sheetData sheetId="5049">
        <row r="1">
          <cell r="A1" t="str">
            <v>PHIẾU XỬ LÝ HỒ SƠ THANH TOÁN VƯỢT THẨM QUYỀN PD</v>
          </cell>
        </row>
      </sheetData>
      <sheetData sheetId="5050">
        <row r="1">
          <cell r="A1" t="str">
            <v>PHIẾU XỬ LÝ HỒ SƠ THANH TOÁN VƯỢT THẨM QUYỀN PD</v>
          </cell>
        </row>
      </sheetData>
      <sheetData sheetId="5051">
        <row r="1">
          <cell r="A1" t="str">
            <v>PHIẾU XỬ LÝ HỒ SƠ THANH TOÁN VƯỢT THẨM QUYỀN PD</v>
          </cell>
        </row>
      </sheetData>
      <sheetData sheetId="5052">
        <row r="1">
          <cell r="A1" t="str">
            <v>PHIẾU XỬ LÝ HỒ SƠ THANH TOÁN VƯỢT THẨM QUYỀN PD</v>
          </cell>
        </row>
      </sheetData>
      <sheetData sheetId="5053">
        <row r="1">
          <cell r="A1" t="str">
            <v>PHIẾU XỬ LÝ HỒ SƠ THANH TOÁN VƯỢT THẨM QUYỀN PD</v>
          </cell>
        </row>
      </sheetData>
      <sheetData sheetId="5054">
        <row r="1">
          <cell r="A1" t="str">
            <v>PHIẾU XỬ LÝ HỒ SƠ THANH TOÁN VƯỢT THẨM QUYỀN PD</v>
          </cell>
        </row>
      </sheetData>
      <sheetData sheetId="5055">
        <row r="1">
          <cell r="A1" t="str">
            <v>PHIẾU XỬ LÝ HỒ SƠ THANH TOÁN VƯỢT THẨM QUYỀN PD</v>
          </cell>
        </row>
      </sheetData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>
        <row r="1">
          <cell r="A1" t="str">
            <v>PHIẾU XỬ LÝ HỒ SƠ THANH TOÁN VƯỢT THẨM QUYỀN PD</v>
          </cell>
        </row>
      </sheetData>
      <sheetData sheetId="5095">
        <row r="1">
          <cell r="A1" t="str">
            <v>PHIẾU XỬ LÝ HỒ SƠ THANH TOÁN VƯỢT THẨM QUYỀN PD</v>
          </cell>
        </row>
      </sheetData>
      <sheetData sheetId="5096">
        <row r="1">
          <cell r="A1" t="str">
            <v>PHIẾU XỬ LÝ HỒ SƠ THANH TOÁN VƯỢT THẨM QUYỀN PD</v>
          </cell>
        </row>
      </sheetData>
      <sheetData sheetId="5097">
        <row r="1">
          <cell r="A1" t="str">
            <v>PHIẾU XỬ LÝ HỒ SƠ THANH TOÁN VƯỢT THẨM QUYỀN PD</v>
          </cell>
        </row>
      </sheetData>
      <sheetData sheetId="5098">
        <row r="1">
          <cell r="A1" t="str">
            <v>PHIẾU XỬ LÝ HỒ SƠ THANH TOÁN VƯỢT THẨM QUYỀN PD</v>
          </cell>
        </row>
      </sheetData>
      <sheetData sheetId="5099">
        <row r="1">
          <cell r="A1" t="str">
            <v>PHIẾU XỬ LÝ HỒ SƠ THANH TOÁN VƯỢT THẨM QUYỀN PD</v>
          </cell>
        </row>
      </sheetData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>
        <row r="1">
          <cell r="A1" t="str">
            <v>PHIẾU XỬ LÝ HỒ SƠ THANH TOÁN VƯỢT THẨM QUYỀN PD</v>
          </cell>
        </row>
      </sheetData>
      <sheetData sheetId="5103">
        <row r="1">
          <cell r="A1" t="str">
            <v>PHIẾU XỬ LÝ HỒ SƠ THANH TOÁN VƯỢT THẨM QUYỀN PD</v>
          </cell>
        </row>
      </sheetData>
      <sheetData sheetId="5104">
        <row r="1">
          <cell r="A1" t="str">
            <v>PHIẾU XỬ LÝ HỒ SƠ THANH TOÁN VƯỢT THẨM QUYỀN PD</v>
          </cell>
        </row>
      </sheetData>
      <sheetData sheetId="5105">
        <row r="1">
          <cell r="A1" t="str">
            <v>PHIẾU XỬ LÝ HỒ SƠ THANH TOÁN VƯỢT THẨM QUYỀN PD</v>
          </cell>
        </row>
      </sheetData>
      <sheetData sheetId="5106">
        <row r="1">
          <cell r="A1" t="str">
            <v>PHIẾU XỬ LÝ HỒ SƠ THANH TOÁN VƯỢT THẨM QUYỀN PD</v>
          </cell>
        </row>
      </sheetData>
      <sheetData sheetId="5107">
        <row r="1">
          <cell r="A1" t="str">
            <v>PHIẾU XỬ LÝ HỒ SƠ THANH TOÁN VƯỢT THẨM QUYỀN PD</v>
          </cell>
        </row>
      </sheetData>
      <sheetData sheetId="5108">
        <row r="1">
          <cell r="A1" t="str">
            <v>PHIẾU XỬ LÝ HỒ SƠ THANH TOÁN VƯỢT THẨM QUYỀN PD</v>
          </cell>
        </row>
      </sheetData>
      <sheetData sheetId="5109">
        <row r="1">
          <cell r="A1" t="str">
            <v>PHIẾU XỬ LÝ HỒ SƠ THANH TOÁN VƯỢT THẨM QUYỀN PD</v>
          </cell>
        </row>
      </sheetData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>
        <row r="1">
          <cell r="A1" t="str">
            <v>PHIẾU XỬ LÝ HỒ SƠ THANH TOÁN VƯỢT THẨM QUYỀN PD</v>
          </cell>
        </row>
      </sheetData>
      <sheetData sheetId="5115">
        <row r="1">
          <cell r="A1" t="str">
            <v>PHIẾU XỬ LÝ HỒ SƠ THANH TOÁN VƯỢT THẨM QUYỀN PD</v>
          </cell>
        </row>
      </sheetData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>
        <row r="1">
          <cell r="A1" t="str">
            <v>PHIẾU XỬ LÝ HỒ SƠ THANH TOÁN VƯỢT THẨM QUYỀN PD</v>
          </cell>
        </row>
      </sheetData>
      <sheetData sheetId="5120">
        <row r="1">
          <cell r="A1" t="str">
            <v>PHIẾU XỬ LÝ HỒ SƠ THANH TOÁN VƯỢT THẨM QUYỀN PD</v>
          </cell>
        </row>
      </sheetData>
      <sheetData sheetId="5121">
        <row r="1">
          <cell r="A1" t="str">
            <v>PHIẾU XỬ LÝ HỒ SƠ THANH TOÁN VƯỢT THẨM QUYỀN PD</v>
          </cell>
        </row>
      </sheetData>
      <sheetData sheetId="5122">
        <row r="1">
          <cell r="A1" t="str">
            <v>PHIẾU XỬ LÝ HỒ SƠ THANH TOÁN VƯỢT THẨM QUYỀN PD</v>
          </cell>
        </row>
      </sheetData>
      <sheetData sheetId="5123">
        <row r="1">
          <cell r="A1" t="str">
            <v>PHIẾU XỬ LÝ HỒ SƠ THANH TOÁN VƯỢT THẨM QUYỀN PD</v>
          </cell>
        </row>
      </sheetData>
      <sheetData sheetId="5124">
        <row r="1">
          <cell r="A1" t="str">
            <v>PHIẾU XỬ LÝ HỒ SƠ THANH TOÁN VƯỢT THẨM QUYỀN PD</v>
          </cell>
        </row>
      </sheetData>
      <sheetData sheetId="5125">
        <row r="1">
          <cell r="A1" t="str">
            <v>PHIẾU XỬ LÝ HỒ SƠ THANH TOÁN VƯỢT THẨM QUYỀN PD</v>
          </cell>
        </row>
      </sheetData>
      <sheetData sheetId="5126">
        <row r="1">
          <cell r="A1" t="str">
            <v>PHIẾU XỬ LÝ HỒ SƠ THANH TOÁN VƯỢT THẨM QUYỀN PD</v>
          </cell>
        </row>
      </sheetData>
      <sheetData sheetId="5127">
        <row r="1">
          <cell r="A1" t="str">
            <v>PHIẾU XỬ LÝ HỒ SƠ THANH TOÁN VƯỢT THẨM QUYỀN PD</v>
          </cell>
        </row>
      </sheetData>
      <sheetData sheetId="5128">
        <row r="1">
          <cell r="A1" t="str">
            <v>PHIẾU XỬ LÝ HỒ SƠ THANH TOÁN VƯỢT THẨM QUYỀN PD</v>
          </cell>
        </row>
      </sheetData>
      <sheetData sheetId="5129">
        <row r="1">
          <cell r="A1" t="str">
            <v>PHIẾU XỬ LÝ HỒ SƠ THANH TOÁN VƯỢT THẨM QUYỀN PD</v>
          </cell>
        </row>
      </sheetData>
      <sheetData sheetId="5130"/>
      <sheetData sheetId="5131">
        <row r="1">
          <cell r="A1" t="str">
            <v>PHIẾU XỬ LÝ HỒ SƠ THANH TOÁN VƯỢT THẨM QUYỀN PD</v>
          </cell>
        </row>
      </sheetData>
      <sheetData sheetId="5132">
        <row r="1">
          <cell r="A1" t="str">
            <v>PHIẾU XỬ LÝ HỒ SƠ THANH TOÁN VƯỢT THẨM QUYỀN PD</v>
          </cell>
        </row>
      </sheetData>
      <sheetData sheetId="5133">
        <row r="1">
          <cell r="A1" t="str">
            <v>PHIẾU XỬ LÝ HỒ SƠ THANH TOÁN VƯỢT THẨM QUYỀN PD</v>
          </cell>
        </row>
      </sheetData>
      <sheetData sheetId="5134">
        <row r="1">
          <cell r="A1" t="str">
            <v>PHIẾU XỬ LÝ HỒ SƠ THANH TOÁN VƯỢT THẨM QUYỀN PD</v>
          </cell>
        </row>
      </sheetData>
      <sheetData sheetId="5135">
        <row r="1">
          <cell r="A1" t="str">
            <v>PHIẾU XỬ LÝ HỒ SƠ THANH TOÁN VƯỢT THẨM QUYỀN PD</v>
          </cell>
        </row>
      </sheetData>
      <sheetData sheetId="5136">
        <row r="1">
          <cell r="A1" t="str">
            <v>PHIẾU XỬ LÝ HỒ SƠ THANH TOÁN VƯỢT THẨM QUYỀN PD</v>
          </cell>
        </row>
      </sheetData>
      <sheetData sheetId="5137">
        <row r="1">
          <cell r="A1" t="str">
            <v>PHIẾU XỬ LÝ HỒ SƠ THANH TOÁN VƯỢT THẨM QUYỀN PD</v>
          </cell>
        </row>
      </sheetData>
      <sheetData sheetId="5138">
        <row r="1">
          <cell r="A1" t="str">
            <v>PHIẾU XỬ LÝ HỒ SƠ THANH TOÁN VƯỢT THẨM QUYỀN PD</v>
          </cell>
        </row>
      </sheetData>
      <sheetData sheetId="5139">
        <row r="1">
          <cell r="A1" t="str">
            <v>PHIẾU XỬ LÝ HỒ SƠ THANH TOÁN VƯỢT THẨM QUYỀN PD</v>
          </cell>
        </row>
      </sheetData>
      <sheetData sheetId="5140">
        <row r="1">
          <cell r="A1" t="str">
            <v>PHIẾU XỬ LÝ HỒ SƠ THANH TOÁN VƯỢT THẨM QUYỀN PD</v>
          </cell>
        </row>
      </sheetData>
      <sheetData sheetId="5141">
        <row r="1">
          <cell r="A1" t="str">
            <v>PHIẾU XỬ LÝ HỒ SƠ THANH TOÁN VƯỢT THẨM QUYỀN PD</v>
          </cell>
        </row>
      </sheetData>
      <sheetData sheetId="5142">
        <row r="1">
          <cell r="A1" t="str">
            <v>PHIẾU XỬ LÝ HỒ SƠ THANH TOÁN VƯỢT THẨM QUYỀN PD</v>
          </cell>
        </row>
      </sheetData>
      <sheetData sheetId="5143">
        <row r="1">
          <cell r="A1" t="str">
            <v>PHIẾU XỬ LÝ HỒ SƠ THANH TOÁN VƯỢT THẨM QUYỀN PD</v>
          </cell>
        </row>
      </sheetData>
      <sheetData sheetId="5144">
        <row r="1">
          <cell r="A1" t="str">
            <v>PHIẾU XỬ LÝ HỒ SƠ THANH TOÁN VƯỢT THẨM QUYỀN PD</v>
          </cell>
        </row>
      </sheetData>
      <sheetData sheetId="5145">
        <row r="1">
          <cell r="A1" t="str">
            <v>PHIẾU XỬ LÝ HỒ SƠ THANH TOÁN VƯỢT THẨM QUYỀN PD</v>
          </cell>
        </row>
      </sheetData>
      <sheetData sheetId="5146">
        <row r="1">
          <cell r="A1" t="str">
            <v>PHIẾU XỬ LÝ HỒ SƠ THANH TOÁN VƯỢT THẨM QUYỀN PD</v>
          </cell>
        </row>
      </sheetData>
      <sheetData sheetId="5147">
        <row r="1">
          <cell r="A1" t="str">
            <v>PHIẾU XỬ LÝ HỒ SƠ THANH TOÁN VƯỢT THẨM QUYỀN PD</v>
          </cell>
        </row>
      </sheetData>
      <sheetData sheetId="5148">
        <row r="1">
          <cell r="A1" t="str">
            <v>PHIẾU XỬ LÝ HỒ SƠ THANH TOÁN VƯỢT THẨM QUYỀN PD</v>
          </cell>
        </row>
      </sheetData>
      <sheetData sheetId="5149">
        <row r="1">
          <cell r="A1" t="str">
            <v>PHIẾU XỬ LÝ HỒ SƠ THANH TOÁN VƯỢT THẨM QUYỀN PD</v>
          </cell>
        </row>
      </sheetData>
      <sheetData sheetId="5150">
        <row r="1">
          <cell r="A1" t="str">
            <v>PHIẾU XỬ LÝ HỒ SƠ THANH TOÁN VƯỢT THẨM QUYỀN PD</v>
          </cell>
        </row>
      </sheetData>
      <sheetData sheetId="5151">
        <row r="1">
          <cell r="A1" t="str">
            <v>PHIẾU XỬ LÝ HỒ SƠ THANH TOÁN VƯỢT THẨM QUYỀN PD</v>
          </cell>
        </row>
      </sheetData>
      <sheetData sheetId="5152">
        <row r="1">
          <cell r="A1" t="str">
            <v>PHIẾU XỬ LÝ HỒ SƠ THANH TOÁN VƯỢT THẨM QUYỀN PD</v>
          </cell>
        </row>
      </sheetData>
      <sheetData sheetId="5153">
        <row r="1">
          <cell r="A1" t="str">
            <v>PHIẾU XỬ LÝ HỒ SƠ THANH TOÁN VƯỢT THẨM QUYỀN PD</v>
          </cell>
        </row>
      </sheetData>
      <sheetData sheetId="5154">
        <row r="1">
          <cell r="A1" t="str">
            <v>PHIẾU XỬ LÝ HỒ SƠ THANH TOÁN VƯỢT THẨM QUYỀN PD</v>
          </cell>
        </row>
      </sheetData>
      <sheetData sheetId="5155">
        <row r="1">
          <cell r="A1" t="str">
            <v>PHIẾU XỬ LÝ HỒ SƠ THANH TOÁN VƯỢT THẨM QUYỀN PD</v>
          </cell>
        </row>
      </sheetData>
      <sheetData sheetId="5156">
        <row r="1">
          <cell r="A1" t="str">
            <v>PHIẾU XỬ LÝ HỒ SƠ THANH TOÁN VƯỢT THẨM QUYỀN PD</v>
          </cell>
        </row>
      </sheetData>
      <sheetData sheetId="5157">
        <row r="1">
          <cell r="A1" t="str">
            <v>PHIẾU XỬ LÝ HỒ SƠ THANH TOÁN VƯỢT THẨM QUYỀN PD</v>
          </cell>
        </row>
      </sheetData>
      <sheetData sheetId="5158">
        <row r="1">
          <cell r="A1" t="str">
            <v>PHIẾU XỬ LÝ HỒ SƠ THANH TOÁN VƯỢT THẨM QUYỀN PD</v>
          </cell>
        </row>
      </sheetData>
      <sheetData sheetId="5159">
        <row r="1">
          <cell r="A1" t="str">
            <v>PHIẾU XỬ LÝ HỒ SƠ THANH TOÁN VƯỢT THẨM QUYỀN PD</v>
          </cell>
        </row>
      </sheetData>
      <sheetData sheetId="5160">
        <row r="1">
          <cell r="A1" t="str">
            <v>PHIẾU XỬ LÝ HỒ SƠ THANH TOÁN VƯỢT THẨM QUYỀN PD</v>
          </cell>
        </row>
      </sheetData>
      <sheetData sheetId="5161">
        <row r="1">
          <cell r="A1" t="str">
            <v>PHIẾU XỬ LÝ HỒ SƠ THANH TOÁN VƯỢT THẨM QUYỀN PD</v>
          </cell>
        </row>
      </sheetData>
      <sheetData sheetId="5162">
        <row r="1">
          <cell r="A1" t="str">
            <v>PHIẾU XỬ LÝ HỒ SƠ THANH TOÁN VƯỢT THẨM QUYỀN PD</v>
          </cell>
        </row>
      </sheetData>
      <sheetData sheetId="5163">
        <row r="1">
          <cell r="A1" t="str">
            <v>PHIẾU XỬ LÝ HỒ SƠ THANH TOÁN VƯỢT THẨM QUYỀN PD</v>
          </cell>
        </row>
      </sheetData>
      <sheetData sheetId="5164"/>
      <sheetData sheetId="5165">
        <row r="1">
          <cell r="A1" t="str">
            <v>PHIẾU XỬ LÝ HỒ SƠ THANH TOÁN VƯỢT THẨM QUYỀN PD</v>
          </cell>
        </row>
      </sheetData>
      <sheetData sheetId="5166">
        <row r="1">
          <cell r="A1" t="str">
            <v>PHIẾU XỬ LÝ HỒ SƠ THANH TOÁN VƯỢT THẨM QUYỀN PD</v>
          </cell>
        </row>
      </sheetData>
      <sheetData sheetId="5167">
        <row r="1">
          <cell r="A1" t="str">
            <v>PHIẾU XỬ LÝ HỒ SƠ THANH TOÁN VƯỢT THẨM QUYỀN PD</v>
          </cell>
        </row>
      </sheetData>
      <sheetData sheetId="5168">
        <row r="1">
          <cell r="A1" t="str">
            <v>PHIẾU XỬ LÝ HỒ SƠ THANH TOÁN VƯỢT THẨM QUYỀN PD</v>
          </cell>
        </row>
      </sheetData>
      <sheetData sheetId="5169">
        <row r="1">
          <cell r="A1" t="str">
            <v>PHIẾU XỬ LÝ HỒ SƠ THANH TOÁN VƯỢT THẨM QUYỀN PD</v>
          </cell>
        </row>
      </sheetData>
      <sheetData sheetId="5170">
        <row r="1">
          <cell r="A1" t="str">
            <v>PHIẾU XỬ LÝ HỒ SƠ THANH TOÁN VƯỢT THẨM QUYỀN PD</v>
          </cell>
        </row>
      </sheetData>
      <sheetData sheetId="5171">
        <row r="1">
          <cell r="A1" t="str">
            <v>PHIẾU XỬ LÝ HỒ SƠ THANH TOÁN VƯỢT THẨM QUYỀN PD</v>
          </cell>
        </row>
      </sheetData>
      <sheetData sheetId="5172">
        <row r="1">
          <cell r="A1" t="str">
            <v>PHIẾU XỬ LÝ HỒ SƠ THANH TOÁN VƯỢT THẨM QUYỀN PD</v>
          </cell>
        </row>
      </sheetData>
      <sheetData sheetId="5173">
        <row r="1">
          <cell r="A1" t="str">
            <v>PHIẾU XỬ LÝ HỒ SƠ THANH TOÁN VƯỢT THẨM QUYỀN PD</v>
          </cell>
        </row>
      </sheetData>
      <sheetData sheetId="5174">
        <row r="1">
          <cell r="A1" t="str">
            <v>PHIẾU XỬ LÝ HỒ SƠ THANH TOÁN VƯỢT THẨM QUYỀN PD</v>
          </cell>
        </row>
      </sheetData>
      <sheetData sheetId="5175">
        <row r="1">
          <cell r="A1" t="str">
            <v>PHIẾU XỬ LÝ HỒ SƠ THANH TOÁN VƯỢT THẨM QUYỀN PD</v>
          </cell>
        </row>
      </sheetData>
      <sheetData sheetId="5176">
        <row r="1">
          <cell r="A1" t="str">
            <v>PHIẾU XỬ LÝ HỒ SƠ THANH TOÁN VƯỢT THẨM QUYỀN PD</v>
          </cell>
        </row>
      </sheetData>
      <sheetData sheetId="5177">
        <row r="1">
          <cell r="A1" t="str">
            <v>PHIẾU XỬ LÝ HỒ SƠ THANH TOÁN VƯỢT THẨM QUYỀN PD</v>
          </cell>
        </row>
      </sheetData>
      <sheetData sheetId="5178">
        <row r="1">
          <cell r="A1" t="str">
            <v>PHIẾU XỬ LÝ HỒ SƠ THANH TOÁN VƯỢT THẨM QUYỀN PD</v>
          </cell>
        </row>
      </sheetData>
      <sheetData sheetId="5179">
        <row r="1">
          <cell r="A1" t="str">
            <v>PHIẾU XỬ LÝ HỒ SƠ THANH TOÁN VƯỢT THẨM QUYỀN PD</v>
          </cell>
        </row>
      </sheetData>
      <sheetData sheetId="5180">
        <row r="1">
          <cell r="A1" t="str">
            <v>PHIẾU XỬ LÝ HỒ SƠ THANH TOÁN VƯỢT THẨM QUYỀN PD</v>
          </cell>
        </row>
      </sheetData>
      <sheetData sheetId="5181">
        <row r="1">
          <cell r="A1" t="str">
            <v>PHIẾU XỬ LÝ HỒ SƠ THANH TOÁN VƯỢT THẨM QUYỀN PD</v>
          </cell>
        </row>
      </sheetData>
      <sheetData sheetId="5182">
        <row r="1">
          <cell r="A1" t="str">
            <v>PHIẾU XỬ LÝ HỒ SƠ THANH TOÁN VƯỢT THẨM QUYỀN PD</v>
          </cell>
        </row>
      </sheetData>
      <sheetData sheetId="5183">
        <row r="1">
          <cell r="A1" t="str">
            <v>PHIẾU XỬ LÝ HỒ SƠ THANH TOÁN VƯỢT THẨM QUYỀN PD</v>
          </cell>
        </row>
      </sheetData>
      <sheetData sheetId="5184">
        <row r="1">
          <cell r="A1" t="str">
            <v>PHIẾU XỬ LÝ HỒ SƠ THANH TOÁN VƯỢT THẨM QUYỀN PD</v>
          </cell>
        </row>
      </sheetData>
      <sheetData sheetId="5185">
        <row r="1">
          <cell r="A1" t="str">
            <v>PHIẾU XỬ LÝ HỒ SƠ THANH TOÁN VƯỢT THẨM QUYỀN PD</v>
          </cell>
        </row>
      </sheetData>
      <sheetData sheetId="5186">
        <row r="1">
          <cell r="A1" t="str">
            <v>PHIẾU XỬ LÝ HỒ SƠ THANH TOÁN VƯỢT THẨM QUYỀN PD</v>
          </cell>
        </row>
      </sheetData>
      <sheetData sheetId="5187">
        <row r="1">
          <cell r="A1" t="str">
            <v>PHIẾU XỬ LÝ HỒ SƠ THANH TOÁN VƯỢT THẨM QUYỀN PD</v>
          </cell>
        </row>
      </sheetData>
      <sheetData sheetId="5188">
        <row r="1">
          <cell r="A1" t="str">
            <v>PHIẾU XỬ LÝ HỒ SƠ THANH TOÁN VƯỢT THẨM QUYỀN PD</v>
          </cell>
        </row>
      </sheetData>
      <sheetData sheetId="5189">
        <row r="1">
          <cell r="A1" t="str">
            <v>PHIẾU XỬ LÝ HỒ SƠ THANH TOÁN VƯỢT THẨM QUYỀN PD</v>
          </cell>
        </row>
      </sheetData>
      <sheetData sheetId="5190">
        <row r="1">
          <cell r="A1" t="str">
            <v>PHIẾU XỬ LÝ HỒ SƠ THANH TOÁN VƯỢT THẨM QUYỀN PD</v>
          </cell>
        </row>
      </sheetData>
      <sheetData sheetId="5191">
        <row r="1">
          <cell r="A1" t="str">
            <v>PHIẾU XỬ LÝ HỒ SƠ THANH TOÁN VƯỢT THẨM QUYỀN PD</v>
          </cell>
        </row>
      </sheetData>
      <sheetData sheetId="5192">
        <row r="1">
          <cell r="A1" t="str">
            <v>PHIẾU XỬ LÝ HỒ SƠ THANH TOÁN VƯỢT THẨM QUYỀN PD</v>
          </cell>
        </row>
      </sheetData>
      <sheetData sheetId="5193">
        <row r="1">
          <cell r="A1" t="str">
            <v>PHIẾU XỬ LÝ HỒ SƠ THANH TOÁN VƯỢT THẨM QUYỀN PD</v>
          </cell>
        </row>
      </sheetData>
      <sheetData sheetId="5194">
        <row r="1">
          <cell r="A1" t="str">
            <v>PHIẾU XỬ LÝ HỒ SƠ THANH TOÁN VƯỢT THẨM QUYỀN PD</v>
          </cell>
        </row>
      </sheetData>
      <sheetData sheetId="5195">
        <row r="1">
          <cell r="A1" t="str">
            <v>PHIẾU XỬ LÝ HỒ SƠ THANH TOÁN VƯỢT THẨM QUYỀN PD</v>
          </cell>
        </row>
      </sheetData>
      <sheetData sheetId="5196">
        <row r="1">
          <cell r="A1" t="str">
            <v>PHIẾU XỬ LÝ HỒ SƠ THANH TOÁN VƯỢT THẨM QUYỀN PD</v>
          </cell>
        </row>
      </sheetData>
      <sheetData sheetId="5197">
        <row r="1">
          <cell r="A1" t="str">
            <v>PHIẾU XỬ LÝ HỒ SƠ THANH TOÁN VƯỢT THẨM QUYỀN PD</v>
          </cell>
        </row>
      </sheetData>
      <sheetData sheetId="5198">
        <row r="1">
          <cell r="A1" t="str">
            <v>PHIẾU XỬ LÝ HỒ SƠ THANH TOÁN VƯỢT THẨM QUYỀN PD</v>
          </cell>
        </row>
      </sheetData>
      <sheetData sheetId="5199">
        <row r="1">
          <cell r="A1" t="str">
            <v>PHIẾU XỬ LÝ HỒ SƠ THANH TOÁN VƯỢT THẨM QUYỀN PD</v>
          </cell>
        </row>
      </sheetData>
      <sheetData sheetId="5200">
        <row r="1">
          <cell r="A1" t="str">
            <v>PHIẾU XỬ LÝ HỒ SƠ THANH TOÁN VƯỢT THẨM QUYỀN PD</v>
          </cell>
        </row>
      </sheetData>
      <sheetData sheetId="5201">
        <row r="1">
          <cell r="A1" t="str">
            <v>PHIẾU XỬ LÝ HỒ SƠ THANH TOÁN VƯỢT THẨM QUYỀN PD</v>
          </cell>
        </row>
      </sheetData>
      <sheetData sheetId="5202">
        <row r="1">
          <cell r="A1" t="str">
            <v>PHIẾU XỬ LÝ HỒ SƠ THANH TOÁN VƯỢT THẨM QUYỀN PD</v>
          </cell>
        </row>
      </sheetData>
      <sheetData sheetId="5203">
        <row r="1">
          <cell r="A1" t="str">
            <v>PHIẾU XỬ LÝ HỒ SƠ THANH TOÁN VƯỢT THẨM QUYỀN PD</v>
          </cell>
        </row>
      </sheetData>
      <sheetData sheetId="5204">
        <row r="1">
          <cell r="A1" t="str">
            <v>PHIẾU XỬ LÝ HỒ SƠ THANH TOÁN VƯỢT THẨM QUYỀN PD</v>
          </cell>
        </row>
      </sheetData>
      <sheetData sheetId="5205">
        <row r="1">
          <cell r="A1" t="str">
            <v>PHIẾU XỬ LÝ HỒ SƠ THANH TOÁN VƯỢT THẨM QUYỀN PD</v>
          </cell>
        </row>
      </sheetData>
      <sheetData sheetId="5206">
        <row r="1">
          <cell r="A1" t="str">
            <v>PHIẾU XỬ LÝ HỒ SƠ THANH TOÁN VƯỢT THẨM QUYỀN PD</v>
          </cell>
        </row>
      </sheetData>
      <sheetData sheetId="5207">
        <row r="1">
          <cell r="A1" t="str">
            <v>PHIẾU XỬ LÝ HỒ SƠ THANH TOÁN VƯỢT THẨM QUYỀN PD</v>
          </cell>
        </row>
      </sheetData>
      <sheetData sheetId="5208">
        <row r="1">
          <cell r="A1" t="str">
            <v>PHIẾU XỬ LÝ HỒ SƠ THANH TOÁN VƯỢT THẨM QUYỀN PD</v>
          </cell>
        </row>
      </sheetData>
      <sheetData sheetId="5209">
        <row r="1">
          <cell r="A1" t="str">
            <v>PHIẾU XỬ LÝ HỒ SƠ THANH TOÁN VƯỢT THẨM QUYỀN PD</v>
          </cell>
        </row>
      </sheetData>
      <sheetData sheetId="5210">
        <row r="1">
          <cell r="A1" t="str">
            <v>PHIẾU XỬ LÝ HỒ SƠ THANH TOÁN VƯỢT THẨM QUYỀN PD</v>
          </cell>
        </row>
      </sheetData>
      <sheetData sheetId="5211">
        <row r="1">
          <cell r="A1" t="str">
            <v>PHIẾU XỬ LÝ HỒ SƠ THANH TOÁN VƯỢT THẨM QUYỀN PD</v>
          </cell>
        </row>
      </sheetData>
      <sheetData sheetId="5212">
        <row r="1">
          <cell r="A1" t="str">
            <v>PHIẾU XỬ LÝ HỒ SƠ THANH TOÁN VƯỢT THẨM QUYỀN PD</v>
          </cell>
        </row>
      </sheetData>
      <sheetData sheetId="5213">
        <row r="1">
          <cell r="A1" t="str">
            <v>PHIẾU XỬ LÝ HỒ SƠ THANH TOÁN VƯỢT THẨM QUYỀN PD</v>
          </cell>
        </row>
      </sheetData>
      <sheetData sheetId="5214">
        <row r="1">
          <cell r="A1" t="str">
            <v>PHIẾU XỬ LÝ HỒ SƠ THANH TOÁN VƯỢT THẨM QUYỀN PD</v>
          </cell>
        </row>
      </sheetData>
      <sheetData sheetId="5215">
        <row r="1">
          <cell r="A1" t="str">
            <v>PHIẾU XỬ LÝ HỒ SƠ THANH TOÁN VƯỢT THẨM QUYỀN PD</v>
          </cell>
        </row>
      </sheetData>
      <sheetData sheetId="5216">
        <row r="1">
          <cell r="A1" t="str">
            <v>PHIẾU XỬ LÝ HỒ SƠ THANH TOÁN VƯỢT THẨM QUYỀN PD</v>
          </cell>
        </row>
      </sheetData>
      <sheetData sheetId="5217">
        <row r="1">
          <cell r="A1" t="str">
            <v>PHIẾU XỬ LÝ HỒ SƠ THANH TOÁN VƯỢT THẨM QUYỀN PD</v>
          </cell>
        </row>
      </sheetData>
      <sheetData sheetId="5218">
        <row r="1">
          <cell r="A1" t="str">
            <v>PHIẾU XỬ LÝ HỒ SƠ THANH TOÁN VƯỢT THẨM QUYỀN PD</v>
          </cell>
        </row>
      </sheetData>
      <sheetData sheetId="5219"/>
      <sheetData sheetId="5220">
        <row r="1">
          <cell r="A1" t="str">
            <v>PHIẾU XỬ LÝ HỒ SƠ THANH TOÁN VƯỢT THẨM QUYỀN PD</v>
          </cell>
        </row>
      </sheetData>
      <sheetData sheetId="5221">
        <row r="1">
          <cell r="A1" t="str">
            <v>PHIẾU XỬ LÝ HỒ SƠ THANH TOÁN VƯỢT THẨM QUYỀN PD</v>
          </cell>
        </row>
      </sheetData>
      <sheetData sheetId="5222">
        <row r="1">
          <cell r="A1" t="str">
            <v>PHIẾU XỬ LÝ HỒ SƠ THANH TOÁN VƯỢT THẨM QUYỀN PD</v>
          </cell>
        </row>
      </sheetData>
      <sheetData sheetId="5223">
        <row r="1">
          <cell r="A1" t="str">
            <v>PHIẾU XỬ LÝ HỒ SƠ THANH TOÁN VƯỢT THẨM QUYỀN PD</v>
          </cell>
        </row>
      </sheetData>
      <sheetData sheetId="5224">
        <row r="1">
          <cell r="A1" t="str">
            <v>PHIẾU XỬ LÝ HỒ SƠ THANH TOÁN VƯỢT THẨM QUYỀN PD</v>
          </cell>
        </row>
      </sheetData>
      <sheetData sheetId="5225">
        <row r="1">
          <cell r="A1" t="str">
            <v>PHIẾU XỬ LÝ HỒ SƠ THANH TOÁN VƯỢT THẨM QUYỀN PD</v>
          </cell>
        </row>
      </sheetData>
      <sheetData sheetId="5226">
        <row r="1">
          <cell r="A1" t="str">
            <v>PHIẾU XỬ LÝ HỒ SƠ THANH TOÁN VƯỢT THẨM QUYỀN PD</v>
          </cell>
        </row>
      </sheetData>
      <sheetData sheetId="5227">
        <row r="1">
          <cell r="A1" t="str">
            <v>PHIẾU XỬ LÝ HỒ SƠ THANH TOÁN VƯỢT THẨM QUYỀN PD</v>
          </cell>
        </row>
      </sheetData>
      <sheetData sheetId="5228">
        <row r="1">
          <cell r="A1" t="str">
            <v>PHIẾU XỬ LÝ HỒ SƠ THANH TOÁN VƯỢT THẨM QUYỀN PD</v>
          </cell>
        </row>
      </sheetData>
      <sheetData sheetId="5229">
        <row r="1">
          <cell r="A1" t="str">
            <v>PHIẾU XỬ LÝ HỒ SƠ THANH TOÁN VƯỢT THẨM QUYỀN PD</v>
          </cell>
        </row>
      </sheetData>
      <sheetData sheetId="5230">
        <row r="1">
          <cell r="A1" t="str">
            <v>PHIẾU XỬ LÝ HỒ SƠ THANH TOÁN VƯỢT THẨM QUYỀN PD</v>
          </cell>
        </row>
      </sheetData>
      <sheetData sheetId="5231">
        <row r="1">
          <cell r="A1" t="str">
            <v>PHIẾU XỬ LÝ HỒ SƠ THANH TOÁN VƯỢT THẨM QUYỀN PD</v>
          </cell>
        </row>
      </sheetData>
      <sheetData sheetId="5232">
        <row r="1">
          <cell r="A1" t="str">
            <v>PHIẾU XỬ LÝ HỒ SƠ THANH TOÁN VƯỢT THẨM QUYỀN PD</v>
          </cell>
        </row>
      </sheetData>
      <sheetData sheetId="5233">
        <row r="1">
          <cell r="A1" t="str">
            <v>PHIẾU XỬ LÝ HỒ SƠ THANH TOÁN VƯỢT THẨM QUYỀN PD</v>
          </cell>
        </row>
      </sheetData>
      <sheetData sheetId="5234">
        <row r="1">
          <cell r="A1" t="str">
            <v>PHIẾU XỬ LÝ HỒ SƠ THANH TOÁN VƯỢT THẨM QUYỀN PD</v>
          </cell>
        </row>
      </sheetData>
      <sheetData sheetId="5235">
        <row r="1">
          <cell r="A1" t="str">
            <v>PHIẾU XỬ LÝ HỒ SƠ THANH TOÁN VƯỢT THẨM QUYỀN PD</v>
          </cell>
        </row>
      </sheetData>
      <sheetData sheetId="5236">
        <row r="1">
          <cell r="A1" t="str">
            <v>PHIẾU XỬ LÝ HỒ SƠ THANH TOÁN VƯỢT THẨM QUYỀN PD</v>
          </cell>
        </row>
      </sheetData>
      <sheetData sheetId="5237">
        <row r="1">
          <cell r="A1" t="str">
            <v>PHIẾU XỬ LÝ HỒ SƠ THANH TOÁN VƯỢT THẨM QUYỀN PD</v>
          </cell>
        </row>
      </sheetData>
      <sheetData sheetId="5238">
        <row r="1">
          <cell r="A1" t="str">
            <v>PHIẾU XỬ LÝ HỒ SƠ THANH TOÁN VƯỢT THẨM QUYỀN PD</v>
          </cell>
        </row>
      </sheetData>
      <sheetData sheetId="5239">
        <row r="1">
          <cell r="A1" t="str">
            <v>PHIẾU XỬ LÝ HỒ SƠ THANH TOÁN VƯỢT THẨM QUYỀN PD</v>
          </cell>
        </row>
      </sheetData>
      <sheetData sheetId="5240">
        <row r="1">
          <cell r="A1" t="str">
            <v>PHIẾU XỬ LÝ HỒ SƠ THANH TOÁN VƯỢT THẨM QUYỀN PD</v>
          </cell>
        </row>
      </sheetData>
      <sheetData sheetId="5241">
        <row r="1">
          <cell r="A1" t="str">
            <v>PHIẾU XỬ LÝ HỒ SƠ THANH TOÁN VƯỢT THẨM QUYỀN PD</v>
          </cell>
        </row>
      </sheetData>
      <sheetData sheetId="5242">
        <row r="1">
          <cell r="A1" t="str">
            <v>PHIẾU XỬ LÝ HỒ SƠ THANH TOÁN VƯỢT THẨM QUYỀN PD</v>
          </cell>
        </row>
      </sheetData>
      <sheetData sheetId="5243">
        <row r="1">
          <cell r="A1" t="str">
            <v>PHIẾU XỬ LÝ HỒ SƠ THANH TOÁN VƯỢT THẨM QUYỀN PD</v>
          </cell>
        </row>
      </sheetData>
      <sheetData sheetId="5244">
        <row r="1">
          <cell r="A1" t="str">
            <v>PHIẾU XỬ LÝ HỒ SƠ THANH TOÁN VƯỢT THẨM QUYỀN PD</v>
          </cell>
        </row>
      </sheetData>
      <sheetData sheetId="5245">
        <row r="1">
          <cell r="A1" t="str">
            <v>PHIẾU XỬ LÝ HỒ SƠ THANH TOÁN VƯỢT THẨM QUYỀN PD</v>
          </cell>
        </row>
      </sheetData>
      <sheetData sheetId="5246">
        <row r="1">
          <cell r="A1" t="str">
            <v>PHIẾU XỬ LÝ HỒ SƠ THANH TOÁN VƯỢT THẨM QUYỀN PD</v>
          </cell>
        </row>
      </sheetData>
      <sheetData sheetId="5247">
        <row r="1">
          <cell r="A1" t="str">
            <v>PHIẾU XỬ LÝ HỒ SƠ THANH TOÁN VƯỢT THẨM QUYỀN PD</v>
          </cell>
        </row>
      </sheetData>
      <sheetData sheetId="5248">
        <row r="1">
          <cell r="A1" t="str">
            <v>PHIẾU XỬ LÝ HỒ SƠ THANH TOÁN VƯỢT THẨM QUYỀN PD</v>
          </cell>
        </row>
      </sheetData>
      <sheetData sheetId="5249">
        <row r="1">
          <cell r="A1" t="str">
            <v>PHIẾU XỬ LÝ HỒ SƠ THANH TOÁN VƯỢT THẨM QUYỀN PD</v>
          </cell>
        </row>
      </sheetData>
      <sheetData sheetId="5250">
        <row r="1">
          <cell r="A1" t="str">
            <v>PHIẾU XỬ LÝ HỒ SƠ THANH TOÁN VƯỢT THẨM QUYỀN PD</v>
          </cell>
        </row>
      </sheetData>
      <sheetData sheetId="5251">
        <row r="1">
          <cell r="A1" t="str">
            <v>PHIẾU XỬ LÝ HỒ SƠ THANH TOÁN VƯỢT THẨM QUYỀN PD</v>
          </cell>
        </row>
      </sheetData>
      <sheetData sheetId="5252">
        <row r="1">
          <cell r="A1" t="str">
            <v>PHIẾU XỬ LÝ HỒ SƠ THANH TOÁN VƯỢT THẨM QUYỀN PD</v>
          </cell>
        </row>
      </sheetData>
      <sheetData sheetId="5253">
        <row r="1">
          <cell r="A1" t="str">
            <v>PHIẾU XỬ LÝ HỒ SƠ THANH TOÁN VƯỢT THẨM QUYỀN PD</v>
          </cell>
        </row>
      </sheetData>
      <sheetData sheetId="5254">
        <row r="1">
          <cell r="A1" t="str">
            <v>PHIẾU XỬ LÝ HỒ SƠ THANH TOÁN VƯỢT THẨM QUYỀN PD</v>
          </cell>
        </row>
      </sheetData>
      <sheetData sheetId="5255">
        <row r="1">
          <cell r="A1" t="str">
            <v>PHIẾU XỬ LÝ HỒ SƠ THANH TOÁN VƯỢT THẨM QUYỀN PD</v>
          </cell>
        </row>
      </sheetData>
      <sheetData sheetId="5256">
        <row r="1">
          <cell r="A1" t="str">
            <v>PHIẾU XỬ LÝ HỒ SƠ THANH TOÁN VƯỢT THẨM QUYỀN PD</v>
          </cell>
        </row>
      </sheetData>
      <sheetData sheetId="5257">
        <row r="1">
          <cell r="A1" t="str">
            <v>PHIẾU XỬ LÝ HỒ SƠ THANH TOÁN VƯỢT THẨM QUYỀN PD</v>
          </cell>
        </row>
      </sheetData>
      <sheetData sheetId="5258">
        <row r="1">
          <cell r="A1" t="str">
            <v>PHIẾU XỬ LÝ HỒ SƠ THANH TOÁN VƯỢT THẨM QUYỀN PD</v>
          </cell>
        </row>
      </sheetData>
      <sheetData sheetId="5259">
        <row r="1">
          <cell r="A1" t="str">
            <v>PHIẾU XỬ LÝ HỒ SƠ THANH TOÁN VƯỢT THẨM QUYỀN PD</v>
          </cell>
        </row>
      </sheetData>
      <sheetData sheetId="5260">
        <row r="1">
          <cell r="A1" t="str">
            <v>PHIẾU XỬ LÝ HỒ SƠ THANH TOÁN VƯỢT THẨM QUYỀN PD</v>
          </cell>
        </row>
      </sheetData>
      <sheetData sheetId="5261">
        <row r="1">
          <cell r="A1" t="str">
            <v>PHIẾU XỬ LÝ HỒ SƠ THANH TOÁN VƯỢT THẨM QUYỀN PD</v>
          </cell>
        </row>
      </sheetData>
      <sheetData sheetId="5262">
        <row r="1">
          <cell r="A1" t="str">
            <v>PHIẾU XỬ LÝ HỒ SƠ THANH TOÁN VƯỢT THẨM QUYỀN PD</v>
          </cell>
        </row>
      </sheetData>
      <sheetData sheetId="5263">
        <row r="1">
          <cell r="A1" t="str">
            <v>PHIẾU XỬ LÝ HỒ SƠ THANH TOÁN VƯỢT THẨM QUYỀN PD</v>
          </cell>
        </row>
      </sheetData>
      <sheetData sheetId="5264">
        <row r="1">
          <cell r="A1" t="str">
            <v>PHIẾU XỬ LÝ HỒ SƠ THANH TOÁN VƯỢT THẨM QUYỀN PD</v>
          </cell>
        </row>
      </sheetData>
      <sheetData sheetId="5265">
        <row r="1">
          <cell r="A1" t="str">
            <v>PHIẾU XỬ LÝ HỒ SƠ THANH TOÁN VƯỢT THẨM QUYỀN PD</v>
          </cell>
        </row>
      </sheetData>
      <sheetData sheetId="5266">
        <row r="1">
          <cell r="A1" t="str">
            <v>PHIẾU XỬ LÝ HỒ SƠ THANH TOÁN VƯỢT THẨM QUYỀN PD</v>
          </cell>
        </row>
      </sheetData>
      <sheetData sheetId="5267">
        <row r="1">
          <cell r="A1" t="str">
            <v>PHIẾU XỬ LÝ HỒ SƠ THANH TOÁN VƯỢT THẨM QUYỀN PD</v>
          </cell>
        </row>
      </sheetData>
      <sheetData sheetId="5268">
        <row r="1">
          <cell r="A1" t="str">
            <v>PHIẾU XỬ LÝ HỒ SƠ THANH TOÁN VƯỢT THẨM QUYỀN PD</v>
          </cell>
        </row>
      </sheetData>
      <sheetData sheetId="5269">
        <row r="1">
          <cell r="A1" t="str">
            <v>PHIẾU XỬ LÝ HỒ SƠ THANH TOÁN VƯỢT THẨM QUYỀN PD</v>
          </cell>
        </row>
      </sheetData>
      <sheetData sheetId="5270">
        <row r="1">
          <cell r="A1" t="str">
            <v>PHIẾU XỬ LÝ HỒ SƠ THANH TOÁN VƯỢT THẨM QUYỀN PD</v>
          </cell>
        </row>
      </sheetData>
      <sheetData sheetId="5271">
        <row r="1">
          <cell r="A1" t="str">
            <v>PHIẾU XỬ LÝ HỒ SƠ THANH TOÁN VƯỢT THẨM QUYỀN PD</v>
          </cell>
        </row>
      </sheetData>
      <sheetData sheetId="5272">
        <row r="1">
          <cell r="A1" t="str">
            <v>PHIẾU XỬ LÝ HỒ SƠ THANH TOÁN VƯỢT THẨM QUYỀN PD</v>
          </cell>
        </row>
      </sheetData>
      <sheetData sheetId="5273">
        <row r="1">
          <cell r="A1" t="str">
            <v>PHIẾU XỬ LÝ HỒ SƠ THANH TOÁN VƯỢT THẨM QUYỀN PD</v>
          </cell>
        </row>
      </sheetData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>
        <row r="1">
          <cell r="A1" t="str">
            <v>PHIẾU XỬ LÝ HỒ SƠ THANH TOÁN VƯỢT THẨM QUYỀN PD</v>
          </cell>
        </row>
      </sheetData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>
        <row r="1">
          <cell r="A1" t="str">
            <v>PHIẾU XỬ LÝ HỒ SƠ THANH TOÁN VƯỢT THẨM QUYỀN PD</v>
          </cell>
        </row>
      </sheetData>
      <sheetData sheetId="5761">
        <row r="1">
          <cell r="A1" t="str">
            <v>PHIẾU XỬ LÝ HỒ SƠ THANH TOÁN VƯỢT THẨM QUYỀN PD</v>
          </cell>
        </row>
      </sheetData>
      <sheetData sheetId="5762">
        <row r="1">
          <cell r="A1" t="str">
            <v>PHIẾU XỬ LÝ HỒ SƠ THANH TOÁN VƯỢT THẨM QUYỀN PD</v>
          </cell>
        </row>
      </sheetData>
      <sheetData sheetId="5763">
        <row r="1">
          <cell r="A1" t="str">
            <v>PHIẾU XỬ LÝ HỒ SƠ THANH TOÁN VƯỢT THẨM QUYỀN PD</v>
          </cell>
        </row>
      </sheetData>
      <sheetData sheetId="5764">
        <row r="1">
          <cell r="A1" t="str">
            <v>PHIẾU XỬ LÝ HỒ SƠ THANH TOÁN VƯỢT THẨM QUYỀN PD</v>
          </cell>
        </row>
      </sheetData>
      <sheetData sheetId="5765">
        <row r="1">
          <cell r="A1" t="str">
            <v>PHIẾU XỬ LÝ HỒ SƠ THANH TOÁN VƯỢT THẨM QUYỀN PD</v>
          </cell>
        </row>
      </sheetData>
      <sheetData sheetId="5766">
        <row r="1">
          <cell r="A1" t="str">
            <v>PHIẾU XỬ LÝ HỒ SƠ THANH TOÁN VƯỢT THẨM QUYỀN PD</v>
          </cell>
        </row>
      </sheetData>
      <sheetData sheetId="5767">
        <row r="1">
          <cell r="A1" t="str">
            <v>PHIẾU XỬ LÝ HỒ SƠ THANH TOÁN VƯỢT THẨM QUYỀN PD</v>
          </cell>
        </row>
      </sheetData>
      <sheetData sheetId="5768">
        <row r="1">
          <cell r="A1" t="str">
            <v>PHIẾU XỬ LÝ HỒ SƠ THANH TOÁN VƯỢT THẨM QUYỀN PD</v>
          </cell>
        </row>
      </sheetData>
      <sheetData sheetId="5769">
        <row r="1">
          <cell r="A1" t="str">
            <v>PHIẾU XỬ LÝ HỒ SƠ THANH TOÁN VƯỢT THẨM QUYỀN PD</v>
          </cell>
        </row>
      </sheetData>
      <sheetData sheetId="5770">
        <row r="1">
          <cell r="A1" t="str">
            <v>PHIẾU XỬ LÝ HỒ SƠ THANH TOÁN VƯỢT THẨM QUYỀN PD</v>
          </cell>
        </row>
      </sheetData>
      <sheetData sheetId="5771">
        <row r="1">
          <cell r="A1" t="str">
            <v>PHIẾU XỬ LÝ HỒ SƠ THANH TOÁN VƯỢT THẨM QUYỀN PD</v>
          </cell>
        </row>
      </sheetData>
      <sheetData sheetId="5772">
        <row r="1">
          <cell r="A1" t="str">
            <v>PHIẾU XỬ LÝ HỒ SƠ THANH TOÁN VƯỢT THẨM QUYỀN PD</v>
          </cell>
        </row>
      </sheetData>
      <sheetData sheetId="5773">
        <row r="1">
          <cell r="A1" t="str">
            <v>PHIẾU XỬ LÝ HỒ SƠ THANH TOÁN VƯỢT THẨM QUYỀN PD</v>
          </cell>
        </row>
      </sheetData>
      <sheetData sheetId="5774">
        <row r="1">
          <cell r="A1" t="str">
            <v>PHIẾU XỬ LÝ HỒ SƠ THANH TOÁN VƯỢT THẨM QUYỀN PD</v>
          </cell>
        </row>
      </sheetData>
      <sheetData sheetId="5775">
        <row r="1">
          <cell r="A1" t="str">
            <v>PHIẾU XỬ LÝ HỒ SƠ THANH TOÁN VƯỢT THẨM QUYỀN PD</v>
          </cell>
        </row>
      </sheetData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>
        <row r="1">
          <cell r="A1" t="str">
            <v>PHIẾU XỬ LÝ HỒ SƠ THANH TOÁN VƯỢT THẨM QUYỀN PD</v>
          </cell>
        </row>
      </sheetData>
      <sheetData sheetId="5821">
        <row r="1">
          <cell r="A1" t="str">
            <v>PHIẾU XỬ LÝ HỒ SƠ THANH TOÁN VƯỢT THẨM QUYỀN PD</v>
          </cell>
        </row>
      </sheetData>
      <sheetData sheetId="5822">
        <row r="1">
          <cell r="A1" t="str">
            <v>PHIẾU XỬ LÝ HỒ SƠ THANH TOÁN VƯỢT THẨM QUYỀN PD</v>
          </cell>
        </row>
      </sheetData>
      <sheetData sheetId="5823">
        <row r="1">
          <cell r="A1" t="str">
            <v>PHIẾU XỬ LÝ HỒ SƠ THANH TOÁN VƯỢT THẨM QUYỀN PD</v>
          </cell>
        </row>
      </sheetData>
      <sheetData sheetId="5824">
        <row r="1">
          <cell r="A1" t="str">
            <v>PHIẾU XỬ LÝ HỒ SƠ THANH TOÁN VƯỢT THẨM QUYỀN PD</v>
          </cell>
        </row>
      </sheetData>
      <sheetData sheetId="5825">
        <row r="1">
          <cell r="A1" t="str">
            <v>PHIẾU XỬ LÝ HỒ SƠ THANH TOÁN VƯỢT THẨM QUYỀN PD</v>
          </cell>
        </row>
      </sheetData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>
        <row r="1">
          <cell r="A1" t="str">
            <v>PHIẾU XỬ LÝ HỒ SƠ THANH TOÁN VƯỢT THẨM QUYỀN PD</v>
          </cell>
        </row>
      </sheetData>
      <sheetData sheetId="5888">
        <row r="1">
          <cell r="A1" t="str">
            <v>PHIẾU XỬ LÝ HỒ SƠ THANH TOÁN VƯỢT THẨM QUYỀN PD</v>
          </cell>
        </row>
      </sheetData>
      <sheetData sheetId="5889">
        <row r="1">
          <cell r="A1" t="str">
            <v>PHIẾU XỬ LÝ HỒ SƠ THANH TOÁN VƯỢT THẨM QUYỀN PD</v>
          </cell>
        </row>
      </sheetData>
      <sheetData sheetId="5890">
        <row r="1">
          <cell r="A1" t="str">
            <v>PHIẾU XỬ LÝ HỒ SƠ THANH TOÁN VƯỢT THẨM QUYỀN PD</v>
          </cell>
        </row>
      </sheetData>
      <sheetData sheetId="5891">
        <row r="1">
          <cell r="A1" t="str">
            <v>PHIẾU XỬ LÝ HỒ SƠ THANH TOÁN VƯỢT THẨM QUYỀN PD</v>
          </cell>
        </row>
      </sheetData>
      <sheetData sheetId="5892">
        <row r="1">
          <cell r="A1" t="str">
            <v>PHIẾU XỬ LÝ HỒ SƠ THANH TOÁN VƯỢT THẨM QUYỀN PD</v>
          </cell>
        </row>
      </sheetData>
      <sheetData sheetId="5893">
        <row r="1">
          <cell r="A1" t="str">
            <v>PHIẾU XỬ LÝ HỒ SƠ THANH TOÁN VƯỢT THẨM QUYỀN PD</v>
          </cell>
        </row>
      </sheetData>
      <sheetData sheetId="5894">
        <row r="1">
          <cell r="A1" t="str">
            <v>PHIẾU XỬ LÝ HỒ SƠ THANH TOÁN VƯỢT THẨM QUYỀN PD</v>
          </cell>
        </row>
      </sheetData>
      <sheetData sheetId="5895">
        <row r="1">
          <cell r="A1" t="str">
            <v>PHIẾU XỬ LÝ HỒ SƠ THANH TOÁN VƯỢT THẨM QUYỀN PD</v>
          </cell>
        </row>
      </sheetData>
      <sheetData sheetId="5896">
        <row r="1">
          <cell r="A1" t="str">
            <v>PHIẾU XỬ LÝ HỒ SƠ THANH TOÁN VƯỢT THẨM QUYỀN PD</v>
          </cell>
        </row>
      </sheetData>
      <sheetData sheetId="5897">
        <row r="1">
          <cell r="A1" t="str">
            <v>PHIẾU XỬ LÝ HỒ SƠ THANH TOÁN VƯỢT THẨM QUYỀN PD</v>
          </cell>
        </row>
      </sheetData>
      <sheetData sheetId="5898">
        <row r="1">
          <cell r="A1" t="str">
            <v>PHIẾU XỬ LÝ HỒ SƠ THANH TOÁN VƯỢT THẨM QUYỀN PD</v>
          </cell>
        </row>
      </sheetData>
      <sheetData sheetId="5899">
        <row r="1">
          <cell r="A1" t="str">
            <v>PHIẾU XỬ LÝ HỒ SƠ THANH TOÁN VƯỢT THẨM QUYỀN PD</v>
          </cell>
        </row>
      </sheetData>
      <sheetData sheetId="5900">
        <row r="1">
          <cell r="A1" t="str">
            <v>PHIẾU XỬ LÝ HỒ SƠ THANH TOÁN VƯỢT THẨM QUYỀN PD</v>
          </cell>
        </row>
      </sheetData>
      <sheetData sheetId="5901">
        <row r="1">
          <cell r="A1" t="str">
            <v>PHIẾU XỬ LÝ HỒ SƠ THANH TOÁN VƯỢT THẨM QUYỀN PD</v>
          </cell>
        </row>
      </sheetData>
      <sheetData sheetId="5902">
        <row r="1">
          <cell r="A1" t="str">
            <v>PHIẾU XỬ LÝ HỒ SƠ THANH TOÁN VƯỢT THẨM QUYỀN PD</v>
          </cell>
        </row>
      </sheetData>
      <sheetData sheetId="5903">
        <row r="1">
          <cell r="A1" t="str">
            <v>PHIẾU XỬ LÝ HỒ SƠ THANH TOÁN VƯỢT THẨM QUYỀN PD</v>
          </cell>
        </row>
      </sheetData>
      <sheetData sheetId="5904">
        <row r="1">
          <cell r="A1" t="str">
            <v>PHIẾU XỬ LÝ HỒ SƠ THANH TOÁN VƯỢT THẨM QUYỀN PD</v>
          </cell>
        </row>
      </sheetData>
      <sheetData sheetId="5905">
        <row r="1">
          <cell r="A1" t="str">
            <v>PHIẾU XỬ LÝ HỒ SƠ THANH TOÁN VƯỢT THẨM QUYỀN PD</v>
          </cell>
        </row>
      </sheetData>
      <sheetData sheetId="5906">
        <row r="1">
          <cell r="A1" t="str">
            <v>PHIẾU XỬ LÝ HỒ SƠ THANH TOÁN VƯỢT THẨM QUYỀN PD</v>
          </cell>
        </row>
      </sheetData>
      <sheetData sheetId="5907">
        <row r="1">
          <cell r="A1" t="str">
            <v>PHIẾU XỬ LÝ HỒ SƠ THANH TOÁN VƯỢT THẨM QUYỀN PD</v>
          </cell>
        </row>
      </sheetData>
      <sheetData sheetId="5908">
        <row r="1">
          <cell r="A1" t="str">
            <v>PHIẾU XỬ LÝ HỒ SƠ THANH TOÁN VƯỢT THẨM QUYỀN PD</v>
          </cell>
        </row>
      </sheetData>
      <sheetData sheetId="5909">
        <row r="1">
          <cell r="A1" t="str">
            <v>PHIẾU XỬ LÝ HỒ SƠ THANH TOÁN VƯỢT THẨM QUYỀN PD</v>
          </cell>
        </row>
      </sheetData>
      <sheetData sheetId="5910">
        <row r="1">
          <cell r="A1" t="str">
            <v>PHIẾU XỬ LÝ HỒ SƠ THANH TOÁN VƯỢT THẨM QUYỀN PD</v>
          </cell>
        </row>
      </sheetData>
      <sheetData sheetId="5911">
        <row r="1">
          <cell r="A1" t="str">
            <v>PHIẾU XỬ LÝ HỒ SƠ THANH TOÁN VƯỢT THẨM QUYỀN PD</v>
          </cell>
        </row>
      </sheetData>
      <sheetData sheetId="5912">
        <row r="1">
          <cell r="A1" t="str">
            <v>PHIẾU XỬ LÝ HỒ SƠ THANH TOÁN VƯỢT THẨM QUYỀN PD</v>
          </cell>
        </row>
      </sheetData>
      <sheetData sheetId="5913">
        <row r="1">
          <cell r="A1" t="str">
            <v>PHIẾU XỬ LÝ HỒ SƠ THANH TOÁN VƯỢT THẨM QUYỀN PD</v>
          </cell>
        </row>
      </sheetData>
      <sheetData sheetId="5914">
        <row r="1">
          <cell r="A1" t="str">
            <v>PHIẾU XỬ LÝ HỒ SƠ THANH TOÁN VƯỢT THẨM QUYỀN PD</v>
          </cell>
        </row>
      </sheetData>
      <sheetData sheetId="5915">
        <row r="1">
          <cell r="A1" t="str">
            <v>PHIẾU XỬ LÝ HỒ SƠ THANH TOÁN VƯỢT THẨM QUYỀN PD</v>
          </cell>
        </row>
      </sheetData>
      <sheetData sheetId="5916">
        <row r="1">
          <cell r="A1" t="str">
            <v>PHIẾU XỬ LÝ HỒ SƠ THANH TOÁN VƯỢT THẨM QUYỀN PD</v>
          </cell>
        </row>
      </sheetData>
      <sheetData sheetId="5917">
        <row r="1">
          <cell r="A1" t="str">
            <v>PHIẾU XỬ LÝ HỒ SƠ THANH TOÁN VƯỢT THẨM QUYỀN PD</v>
          </cell>
        </row>
      </sheetData>
      <sheetData sheetId="5918">
        <row r="1">
          <cell r="A1" t="str">
            <v>PHIẾU XỬ LÝ HỒ SƠ THANH TOÁN VƯỢT THẨM QUYỀN PD</v>
          </cell>
        </row>
      </sheetData>
      <sheetData sheetId="5919">
        <row r="1">
          <cell r="A1" t="str">
            <v>PHIẾU XỬ LÝ HỒ SƠ THANH TOÁN VƯỢT THẨM QUYỀN PD</v>
          </cell>
        </row>
      </sheetData>
      <sheetData sheetId="5920">
        <row r="1">
          <cell r="A1" t="str">
            <v>PHIẾU XỬ LÝ HỒ SƠ THANH TOÁN VƯỢT THẨM QUYỀN PD</v>
          </cell>
        </row>
      </sheetData>
      <sheetData sheetId="5921">
        <row r="1">
          <cell r="A1" t="str">
            <v>PHIẾU XỬ LÝ HỒ SƠ THANH TOÁN VƯỢT THẨM QUYỀN PD</v>
          </cell>
        </row>
      </sheetData>
      <sheetData sheetId="5922">
        <row r="1">
          <cell r="A1" t="str">
            <v>PHIẾU XỬ LÝ HỒ SƠ THANH TOÁN VƯỢT THẨM QUYỀN PD</v>
          </cell>
        </row>
      </sheetData>
      <sheetData sheetId="5923">
        <row r="1">
          <cell r="A1" t="str">
            <v>PHIẾU XỬ LÝ HỒ SƠ THANH TOÁN VƯỢT THẨM QUYỀN PD</v>
          </cell>
        </row>
      </sheetData>
      <sheetData sheetId="5924">
        <row r="1">
          <cell r="A1" t="str">
            <v>PHIẾU XỬ LÝ HỒ SƠ THANH TOÁN VƯỢT THẨM QUYỀN PD</v>
          </cell>
        </row>
      </sheetData>
      <sheetData sheetId="5925">
        <row r="1">
          <cell r="A1" t="str">
            <v>PHIẾU XỬ LÝ HỒ SƠ THANH TOÁN VƯỢT THẨM QUYỀN PD</v>
          </cell>
        </row>
      </sheetData>
      <sheetData sheetId="5926">
        <row r="1">
          <cell r="A1" t="str">
            <v>PHIẾU XỬ LÝ HỒ SƠ THANH TOÁN VƯỢT THẨM QUYỀN PD</v>
          </cell>
        </row>
      </sheetData>
      <sheetData sheetId="5927">
        <row r="1">
          <cell r="A1" t="str">
            <v>PHIẾU XỬ LÝ HỒ SƠ THANH TOÁN VƯỢT THẨM QUYỀN PD</v>
          </cell>
        </row>
      </sheetData>
      <sheetData sheetId="5928">
        <row r="1">
          <cell r="A1" t="str">
            <v>PHIẾU XỬ LÝ HỒ SƠ THANH TOÁN VƯỢT THẨM QUYỀN PD</v>
          </cell>
        </row>
      </sheetData>
      <sheetData sheetId="5929">
        <row r="1">
          <cell r="A1" t="str">
            <v>PHIẾU XỬ LÝ HỒ SƠ THANH TOÁN VƯỢT THẨM QUYỀN PD</v>
          </cell>
        </row>
      </sheetData>
      <sheetData sheetId="5930">
        <row r="1">
          <cell r="A1" t="str">
            <v>PHIẾU XỬ LÝ HỒ SƠ THANH TOÁN VƯỢT THẨM QUYỀN PD</v>
          </cell>
        </row>
      </sheetData>
      <sheetData sheetId="5931">
        <row r="1">
          <cell r="A1" t="str">
            <v>PHIẾU XỬ LÝ HỒ SƠ THANH TOÁN VƯỢT THẨM QUYỀN PD</v>
          </cell>
        </row>
      </sheetData>
      <sheetData sheetId="5932">
        <row r="1">
          <cell r="A1" t="str">
            <v>PHIẾU XỬ LÝ HỒ SƠ THANH TOÁN VƯỢT THẨM QUYỀN PD</v>
          </cell>
        </row>
      </sheetData>
      <sheetData sheetId="5933">
        <row r="1">
          <cell r="A1" t="str">
            <v>PHIẾU XỬ LÝ HỒ SƠ THANH TOÁN VƯỢT THẨM QUYỀN PD</v>
          </cell>
        </row>
      </sheetData>
      <sheetData sheetId="5934">
        <row r="1">
          <cell r="A1" t="str">
            <v>PHIẾU XỬ LÝ HỒ SƠ THANH TOÁN VƯỢT THẨM QUYỀN PD</v>
          </cell>
        </row>
      </sheetData>
      <sheetData sheetId="5935">
        <row r="1">
          <cell r="A1" t="str">
            <v>PHIẾU XỬ LÝ HỒ SƠ THANH TOÁN VƯỢT THẨM QUYỀN PD</v>
          </cell>
        </row>
      </sheetData>
      <sheetData sheetId="5936">
        <row r="1">
          <cell r="A1" t="str">
            <v>PHIẾU XỬ LÝ HỒ SƠ THANH TOÁN VƯỢT THẨM QUYỀN PD</v>
          </cell>
        </row>
      </sheetData>
      <sheetData sheetId="5937">
        <row r="1">
          <cell r="A1" t="str">
            <v>PHIẾU XỬ LÝ HỒ SƠ THANH TOÁN VƯỢT THẨM QUYỀN PD</v>
          </cell>
        </row>
      </sheetData>
      <sheetData sheetId="5938">
        <row r="1">
          <cell r="A1" t="str">
            <v>PHIẾU XỬ LÝ HỒ SƠ THANH TOÁN VƯỢT THẨM QUYỀN PD</v>
          </cell>
        </row>
      </sheetData>
      <sheetData sheetId="5939">
        <row r="1">
          <cell r="A1" t="str">
            <v>PHIẾU XỬ LÝ HỒ SƠ THANH TOÁN VƯỢT THẨM QUYỀN PD</v>
          </cell>
        </row>
      </sheetData>
      <sheetData sheetId="5940">
        <row r="1">
          <cell r="A1" t="str">
            <v>PHIẾU XỬ LÝ HỒ SƠ THANH TOÁN VƯỢT THẨM QUYỀN PD</v>
          </cell>
        </row>
      </sheetData>
      <sheetData sheetId="5941">
        <row r="1">
          <cell r="A1" t="str">
            <v>PHIẾU XỬ LÝ HỒ SƠ THANH TOÁN VƯỢT THẨM QUYỀN PD</v>
          </cell>
        </row>
      </sheetData>
      <sheetData sheetId="5942">
        <row r="1">
          <cell r="A1" t="str">
            <v>PHIẾU XỬ LÝ HỒ SƠ THANH TOÁN VƯỢT THẨM QUYỀN PD</v>
          </cell>
        </row>
      </sheetData>
      <sheetData sheetId="5943">
        <row r="1">
          <cell r="A1" t="str">
            <v>PHIẾU XỬ LÝ HỒ SƠ THANH TOÁN VƯỢT THẨM QUYỀN PD</v>
          </cell>
        </row>
      </sheetData>
      <sheetData sheetId="5944">
        <row r="1">
          <cell r="A1" t="str">
            <v>PHIẾU XỬ LÝ HỒ SƠ THANH TOÁN VƯỢT THẨM QUYỀN PD</v>
          </cell>
        </row>
      </sheetData>
      <sheetData sheetId="5945">
        <row r="1">
          <cell r="A1" t="str">
            <v>PHIẾU XỬ LÝ HỒ SƠ THANH TOÁN VƯỢT THẨM QUYỀN PD</v>
          </cell>
        </row>
      </sheetData>
      <sheetData sheetId="5946">
        <row r="1">
          <cell r="A1" t="str">
            <v>PHIẾU XỬ LÝ HỒ SƠ THANH TOÁN VƯỢT THẨM QUYỀN PD</v>
          </cell>
        </row>
      </sheetData>
      <sheetData sheetId="5947">
        <row r="1">
          <cell r="A1" t="str">
            <v>PHIẾU XỬ LÝ HỒ SƠ THANH TOÁN VƯỢT THẨM QUYỀN PD</v>
          </cell>
        </row>
      </sheetData>
      <sheetData sheetId="5948">
        <row r="1">
          <cell r="A1" t="str">
            <v>PHIẾU XỬ LÝ HỒ SƠ THANH TOÁN VƯỢT THẨM QUYỀN PD</v>
          </cell>
        </row>
      </sheetData>
      <sheetData sheetId="5949">
        <row r="1">
          <cell r="A1" t="str">
            <v>PHIẾU XỬ LÝ HỒ SƠ THANH TOÁN VƯỢT THẨM QUYỀN PD</v>
          </cell>
        </row>
      </sheetData>
      <sheetData sheetId="5950">
        <row r="1">
          <cell r="A1" t="str">
            <v>PHIẾU XỬ LÝ HỒ SƠ THANH TOÁN VƯỢT THẨM QUYỀN PD</v>
          </cell>
        </row>
      </sheetData>
      <sheetData sheetId="5951">
        <row r="1">
          <cell r="A1" t="str">
            <v>PHIẾU XỬ LÝ HỒ SƠ THANH TOÁN VƯỢT THẨM QUYỀN PD</v>
          </cell>
        </row>
      </sheetData>
      <sheetData sheetId="5952">
        <row r="1">
          <cell r="A1" t="str">
            <v>PHIẾU XỬ LÝ HỒ SƠ THANH TOÁN VƯỢT THẨM QUYỀN PD</v>
          </cell>
        </row>
      </sheetData>
      <sheetData sheetId="5953">
        <row r="1">
          <cell r="A1" t="str">
            <v>PHIẾU XỬ LÝ HỒ SƠ THANH TOÁN VƯỢT THẨM QUYỀN PD</v>
          </cell>
        </row>
      </sheetData>
      <sheetData sheetId="5954">
        <row r="1">
          <cell r="A1" t="str">
            <v>PHIẾU XỬ LÝ HỒ SƠ THANH TOÁN VƯỢT THẨM QUYỀN PD</v>
          </cell>
        </row>
      </sheetData>
      <sheetData sheetId="5955">
        <row r="1">
          <cell r="A1" t="str">
            <v>PHIẾU XỬ LÝ HỒ SƠ THANH TOÁN VƯỢT THẨM QUYỀN PD</v>
          </cell>
        </row>
      </sheetData>
      <sheetData sheetId="5956">
        <row r="1">
          <cell r="A1" t="str">
            <v>PHIẾU XỬ LÝ HỒ SƠ THANH TOÁN VƯỢT THẨM QUYỀN PD</v>
          </cell>
        </row>
      </sheetData>
      <sheetData sheetId="5957">
        <row r="1">
          <cell r="A1" t="str">
            <v>PHIẾU XỬ LÝ HỒ SƠ THANH TOÁN VƯỢT THẨM QUYỀN PD</v>
          </cell>
        </row>
      </sheetData>
      <sheetData sheetId="5958">
        <row r="1">
          <cell r="A1" t="str">
            <v>PHIẾU XỬ LÝ HỒ SƠ THANH TOÁN VƯỢT THẨM QUYỀN PD</v>
          </cell>
        </row>
      </sheetData>
      <sheetData sheetId="5959">
        <row r="1">
          <cell r="A1" t="str">
            <v>PHIẾU XỬ LÝ HỒ SƠ THANH TOÁN VƯỢT THẨM QUYỀN PD</v>
          </cell>
        </row>
      </sheetData>
      <sheetData sheetId="5960">
        <row r="1">
          <cell r="A1" t="str">
            <v>PHIẾU XỬ LÝ HỒ SƠ THANH TOÁN VƯỢT THẨM QUYỀN PD</v>
          </cell>
        </row>
      </sheetData>
      <sheetData sheetId="5961">
        <row r="1">
          <cell r="A1" t="str">
            <v>PHIẾU XỬ LÝ HỒ SƠ THANH TOÁN VƯỢT THẨM QUYỀN PD</v>
          </cell>
        </row>
      </sheetData>
      <sheetData sheetId="5962">
        <row r="1">
          <cell r="A1" t="str">
            <v>PHIẾU XỬ LÝ HỒ SƠ THANH TOÁN VƯỢT THẨM QUYỀN PD</v>
          </cell>
        </row>
      </sheetData>
      <sheetData sheetId="5963">
        <row r="1">
          <cell r="A1" t="str">
            <v>PHIẾU XỬ LÝ HỒ SƠ THANH TOÁN VƯỢT THẨM QUYỀN PD</v>
          </cell>
        </row>
      </sheetData>
      <sheetData sheetId="5964">
        <row r="1">
          <cell r="A1" t="str">
            <v>PHIẾU XỬ LÝ HỒ SƠ THANH TOÁN VƯỢT THẨM QUYỀN PD</v>
          </cell>
        </row>
      </sheetData>
      <sheetData sheetId="5965">
        <row r="1">
          <cell r="A1" t="str">
            <v>PHIẾU XỬ LÝ HỒ SƠ THANH TOÁN VƯỢT THẨM QUYỀN PD</v>
          </cell>
        </row>
      </sheetData>
      <sheetData sheetId="5966">
        <row r="1">
          <cell r="A1" t="str">
            <v>PHIẾU XỬ LÝ HỒ SƠ THANH TOÁN VƯỢT THẨM QUYỀN PD</v>
          </cell>
        </row>
      </sheetData>
      <sheetData sheetId="5967">
        <row r="1">
          <cell r="A1" t="str">
            <v>PHIẾU XỬ LÝ HỒ SƠ THANH TOÁN VƯỢT THẨM QUYỀN PD</v>
          </cell>
        </row>
      </sheetData>
      <sheetData sheetId="5968">
        <row r="1">
          <cell r="A1" t="str">
            <v>PHIẾU XỬ LÝ HỒ SƠ THANH TOÁN VƯỢT THẨM QUYỀN PD</v>
          </cell>
        </row>
      </sheetData>
      <sheetData sheetId="5969">
        <row r="1">
          <cell r="A1" t="str">
            <v>PHIẾU XỬ LÝ HỒ SƠ THANH TOÁN VƯỢT THẨM QUYỀN PD</v>
          </cell>
        </row>
      </sheetData>
      <sheetData sheetId="5970">
        <row r="1">
          <cell r="A1" t="str">
            <v>PHIẾU XỬ LÝ HỒ SƠ THANH TOÁN VƯỢT THẨM QUYỀN PD</v>
          </cell>
        </row>
      </sheetData>
      <sheetData sheetId="5971">
        <row r="1">
          <cell r="A1" t="str">
            <v>PHIẾU XỬ LÝ HỒ SƠ THANH TOÁN VƯỢT THẨM QUYỀN PD</v>
          </cell>
        </row>
      </sheetData>
      <sheetData sheetId="5972">
        <row r="1">
          <cell r="A1" t="str">
            <v>PHIẾU XỬ LÝ HỒ SƠ THANH TOÁN VƯỢT THẨM QUYỀN PD</v>
          </cell>
        </row>
      </sheetData>
      <sheetData sheetId="5973">
        <row r="1">
          <cell r="A1" t="str">
            <v>PHIẾU XỬ LÝ HỒ SƠ THANH TOÁN VƯỢT THẨM QUYỀN PD</v>
          </cell>
        </row>
      </sheetData>
      <sheetData sheetId="5974">
        <row r="1">
          <cell r="A1" t="str">
            <v>PHIẾU XỬ LÝ HỒ SƠ THANH TOÁN VƯỢT THẨM QUYỀN PD</v>
          </cell>
        </row>
      </sheetData>
      <sheetData sheetId="5975">
        <row r="1">
          <cell r="A1" t="str">
            <v>PHIẾU XỬ LÝ HỒ SƠ THANH TOÁN VƯỢT THẨM QUYỀN PD</v>
          </cell>
        </row>
      </sheetData>
      <sheetData sheetId="5976">
        <row r="1">
          <cell r="A1" t="str">
            <v>PHIẾU XỬ LÝ HỒ SƠ THANH TOÁN VƯỢT THẨM QUYỀN PD</v>
          </cell>
        </row>
      </sheetData>
      <sheetData sheetId="5977">
        <row r="1">
          <cell r="A1" t="str">
            <v>PHIẾU XỬ LÝ HỒ SƠ THANH TOÁN VƯỢT THẨM QUYỀN PD</v>
          </cell>
        </row>
      </sheetData>
      <sheetData sheetId="5978">
        <row r="1">
          <cell r="A1" t="str">
            <v>PHIẾU XỬ LÝ HỒ SƠ THANH TOÁN VƯỢT THẨM QUYỀN PD</v>
          </cell>
        </row>
      </sheetData>
      <sheetData sheetId="5979">
        <row r="1">
          <cell r="A1" t="str">
            <v>PHIẾU XỬ LÝ HỒ SƠ THANH TOÁN VƯỢT THẨM QUYỀN PD</v>
          </cell>
        </row>
      </sheetData>
      <sheetData sheetId="5980">
        <row r="1">
          <cell r="A1" t="str">
            <v>PHIẾU XỬ LÝ HỒ SƠ THANH TOÁN VƯỢT THẨM QUYỀN PD</v>
          </cell>
        </row>
      </sheetData>
      <sheetData sheetId="5981">
        <row r="1">
          <cell r="A1" t="str">
            <v>PHIẾU XỬ LÝ HỒ SƠ THANH TOÁN VƯỢT THẨM QUYỀN PD</v>
          </cell>
        </row>
      </sheetData>
      <sheetData sheetId="5982">
        <row r="1">
          <cell r="A1" t="str">
            <v>PHIẾU XỬ LÝ HỒ SƠ THANH TOÁN VƯỢT THẨM QUYỀN PD</v>
          </cell>
        </row>
      </sheetData>
      <sheetData sheetId="5983">
        <row r="1">
          <cell r="A1" t="str">
            <v>PHIẾU XỬ LÝ HỒ SƠ THANH TOÁN VƯỢT THẨM QUYỀN PD</v>
          </cell>
        </row>
      </sheetData>
      <sheetData sheetId="5984">
        <row r="1">
          <cell r="A1" t="str">
            <v>PHIẾU XỬ LÝ HỒ SƠ THANH TOÁN VƯỢT THẨM QUYỀN PD</v>
          </cell>
        </row>
      </sheetData>
      <sheetData sheetId="5985">
        <row r="1">
          <cell r="A1" t="str">
            <v>PHIẾU XỬ LÝ HỒ SƠ THANH TOÁN VƯỢT THẨM QUYỀN PD</v>
          </cell>
        </row>
      </sheetData>
      <sheetData sheetId="5986">
        <row r="1">
          <cell r="A1" t="str">
            <v>PHIẾU XỬ LÝ HỒ SƠ THANH TOÁN VƯỢT THẨM QUYỀN PD</v>
          </cell>
        </row>
      </sheetData>
      <sheetData sheetId="5987">
        <row r="1">
          <cell r="A1" t="str">
            <v>PHIẾU XỬ LÝ HỒ SƠ THANH TOÁN VƯỢT THẨM QUYỀN PD</v>
          </cell>
        </row>
      </sheetData>
      <sheetData sheetId="5988">
        <row r="1">
          <cell r="A1" t="str">
            <v>PHIẾU XỬ LÝ HỒ SƠ THANH TOÁN VƯỢT THẨM QUYỀN PD</v>
          </cell>
        </row>
      </sheetData>
      <sheetData sheetId="5989">
        <row r="1">
          <cell r="A1" t="str">
            <v>PHIẾU XỬ LÝ HỒ SƠ THANH TOÁN VƯỢT THẨM QUYỀN PD</v>
          </cell>
        </row>
      </sheetData>
      <sheetData sheetId="5990">
        <row r="1">
          <cell r="A1" t="str">
            <v>PHIẾU XỬ LÝ HỒ SƠ THANH TOÁN VƯỢT THẨM QUYỀN PD</v>
          </cell>
        </row>
      </sheetData>
      <sheetData sheetId="5991">
        <row r="1">
          <cell r="A1" t="str">
            <v>PHIẾU XỬ LÝ HỒ SƠ THANH TOÁN VƯỢT THẨM QUYỀN PD</v>
          </cell>
        </row>
      </sheetData>
      <sheetData sheetId="5992">
        <row r="1">
          <cell r="A1" t="str">
            <v>PHIẾU XỬ LÝ HỒ SƠ THANH TOÁN VƯỢT THẨM QUYỀN PD</v>
          </cell>
        </row>
      </sheetData>
      <sheetData sheetId="5993">
        <row r="1">
          <cell r="A1" t="str">
            <v>PHIẾU XỬ LÝ HỒ SƠ THANH TOÁN VƯỢT THẨM QUYỀN PD</v>
          </cell>
        </row>
      </sheetData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>
        <row r="1">
          <cell r="A1" t="str">
            <v>PHIẾU XỬ LÝ HỒ SƠ THANH TOÁN VƯỢT THẨM QUYỀN PD</v>
          </cell>
        </row>
      </sheetData>
      <sheetData sheetId="6005">
        <row r="1">
          <cell r="A1" t="str">
            <v>PHIẾU XỬ LÝ HỒ SƠ THANH TOÁN VƯỢT THẨM QUYỀN PD</v>
          </cell>
        </row>
      </sheetData>
      <sheetData sheetId="6006">
        <row r="1">
          <cell r="A1" t="str">
            <v>PHIẾU XỬ LÝ HỒ SƠ THANH TOÁN VƯỢT THẨM QUYỀN PD</v>
          </cell>
        </row>
      </sheetData>
      <sheetData sheetId="6007">
        <row r="1">
          <cell r="A1" t="str">
            <v>PHIẾU XỬ LÝ HỒ SƠ THANH TOÁN VƯỢT THẨM QUYỀN PD</v>
          </cell>
        </row>
      </sheetData>
      <sheetData sheetId="6008">
        <row r="1">
          <cell r="A1" t="str">
            <v>PHIẾU XỬ LÝ HỒ SƠ THANH TOÁN VƯỢT THẨM QUYỀN PD</v>
          </cell>
        </row>
      </sheetData>
      <sheetData sheetId="6009">
        <row r="1">
          <cell r="A1" t="str">
            <v>PHIẾU XỬ LÝ HỒ SƠ THANH TOÁN VƯỢT THẨM QUYỀN PD</v>
          </cell>
        </row>
      </sheetData>
      <sheetData sheetId="6010">
        <row r="1">
          <cell r="A1" t="str">
            <v>PHIẾU XỬ LÝ HỒ SƠ THANH TOÁN VƯỢT THẨM QUYỀN PD</v>
          </cell>
        </row>
      </sheetData>
      <sheetData sheetId="6011">
        <row r="1">
          <cell r="A1" t="str">
            <v>PHIẾU XỬ LÝ HỒ SƠ THANH TOÁN VƯỢT THẨM QUYỀN PD</v>
          </cell>
        </row>
      </sheetData>
      <sheetData sheetId="6012">
        <row r="1">
          <cell r="A1" t="str">
            <v>PHIẾU XỬ LÝ HỒ SƠ THANH TOÁN VƯỢT THẨM QUYỀN PD</v>
          </cell>
        </row>
      </sheetData>
      <sheetData sheetId="6013">
        <row r="1">
          <cell r="A1" t="str">
            <v>PHIẾU XỬ LÝ HỒ SƠ THANH TOÁN VƯỢT THẨM QUYỀN PD</v>
          </cell>
        </row>
      </sheetData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>
        <row r="1">
          <cell r="A1" t="str">
            <v>PHIẾU XỬ LÝ HỒ SƠ THANH TOÁN VƯỢT THẨM QUYỀN PD</v>
          </cell>
        </row>
      </sheetData>
      <sheetData sheetId="6036">
        <row r="1">
          <cell r="A1" t="str">
            <v>PHIẾU XỬ LÝ HỒ SƠ THANH TOÁN VƯỢT THẨM QUYỀN PD</v>
          </cell>
        </row>
      </sheetData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/>
      <sheetData sheetId="6049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/>
      <sheetData sheetId="6066"/>
      <sheetData sheetId="6067"/>
      <sheetData sheetId="6068"/>
      <sheetData sheetId="6069"/>
      <sheetData sheetId="6070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/>
      <sheetData sheetId="6131"/>
      <sheetData sheetId="6132">
        <row r="1">
          <cell r="A1" t="str">
            <v>PHIẾU XỬ LÝ HỒ SƠ THANH TOÁN VƯỢT THẨM QUYỀN PD</v>
          </cell>
        </row>
      </sheetData>
      <sheetData sheetId="6133">
        <row r="1">
          <cell r="A1" t="str">
            <v>PHIẾU XỬ LÝ HỒ SƠ THANH TOÁN VƯỢT THẨM QUYỀN PD</v>
          </cell>
        </row>
      </sheetData>
      <sheetData sheetId="6134">
        <row r="1">
          <cell r="A1" t="str">
            <v>PHIẾU XỬ LÝ HỒ SƠ THANH TOÁN VƯỢT THẨM QUYỀN PD</v>
          </cell>
        </row>
      </sheetData>
      <sheetData sheetId="6135">
        <row r="1">
          <cell r="A1" t="str">
            <v>PHIẾU XỬ LÝ HỒ SƠ THANH TOÁN VƯỢT THẨM QUYỀN PD</v>
          </cell>
        </row>
      </sheetData>
      <sheetData sheetId="6136">
        <row r="1">
          <cell r="A1" t="str">
            <v>PHIẾU XỬ LÝ HỒ SƠ THANH TOÁN VƯỢT THẨM QUYỀN PD</v>
          </cell>
        </row>
      </sheetData>
      <sheetData sheetId="6137">
        <row r="1">
          <cell r="A1" t="str">
            <v>PHIẾU XỬ LÝ HỒ SƠ THANH TOÁN VƯỢT THẨM QUYỀN PD</v>
          </cell>
        </row>
      </sheetData>
      <sheetData sheetId="6138">
        <row r="1">
          <cell r="A1" t="str">
            <v>PHIẾU XỬ LÝ HỒ SƠ THANH TOÁN VƯỢT THẨM QUYỀN PD</v>
          </cell>
        </row>
      </sheetData>
      <sheetData sheetId="6139">
        <row r="1">
          <cell r="A1" t="str">
            <v>PHIẾU XỬ LÝ HỒ SƠ THANH TOÁN VƯỢT THẨM QUYỀN PD</v>
          </cell>
        </row>
      </sheetData>
      <sheetData sheetId="6140">
        <row r="1">
          <cell r="A1" t="str">
            <v>PHIẾU XỬ LÝ HỒ SƠ THANH TOÁN VƯỢT THẨM QUYỀN PD</v>
          </cell>
        </row>
      </sheetData>
      <sheetData sheetId="6141"/>
      <sheetData sheetId="6142"/>
      <sheetData sheetId="6143"/>
      <sheetData sheetId="6144">
        <row r="1">
          <cell r="A1" t="str">
            <v>PHIẾU XỬ LÝ HỒ SƠ THANH TOÁN VƯỢT THẨM QUYỀN PD</v>
          </cell>
        </row>
      </sheetData>
      <sheetData sheetId="6145">
        <row r="1">
          <cell r="A1" t="str">
            <v>PHIẾU XỬ LÝ HỒ SƠ THANH TOÁN VƯỢT THẨM QUYỀN PD</v>
          </cell>
        </row>
      </sheetData>
      <sheetData sheetId="6146"/>
      <sheetData sheetId="6147">
        <row r="1">
          <cell r="A1" t="str">
            <v>PHIẾU XỬ LÝ HỒ SƠ THANH TOÁN VƯỢT THẨM QUYỀN PD</v>
          </cell>
        </row>
      </sheetData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>
        <row r="1">
          <cell r="A1" t="str">
            <v>PHIẾU XỬ LÝ HỒ SƠ THANH TOÁN VƯỢT THẨM QUYỀN PD</v>
          </cell>
        </row>
      </sheetData>
      <sheetData sheetId="6160"/>
      <sheetData sheetId="6161"/>
      <sheetData sheetId="6162"/>
      <sheetData sheetId="6163"/>
      <sheetData sheetId="6164"/>
      <sheetData sheetId="6165">
        <row r="1">
          <cell r="A1" t="str">
            <v>PHIẾU XỬ LÝ HỒ SƠ THANH TOÁN VƯỢT THẨM QUYỀN PD</v>
          </cell>
        </row>
      </sheetData>
      <sheetData sheetId="6166"/>
      <sheetData sheetId="6167"/>
      <sheetData sheetId="6168">
        <row r="1">
          <cell r="A1" t="str">
            <v>PHIẾU XỬ LÝ HỒ SƠ THANH TOÁN VƯỢT THẨM QUYỀN PD</v>
          </cell>
        </row>
      </sheetData>
      <sheetData sheetId="6169">
        <row r="1">
          <cell r="A1" t="str">
            <v>PHIẾU XỬ LÝ HỒ SƠ THANH TOÁN VƯỢT THẨM QUYỀN PD</v>
          </cell>
        </row>
      </sheetData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>
        <row r="1">
          <cell r="A1" t="str">
            <v>PHIẾU XỬ LÝ HỒ SƠ THANH TOÁN VƯỢT THẨM QUYỀN PD</v>
          </cell>
        </row>
      </sheetData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/>
      <sheetData sheetId="6602" refreshError="1"/>
      <sheetData sheetId="660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23"/>
  <sheetViews>
    <sheetView view="pageBreakPreview" zoomScale="85" zoomScaleNormal="100" zoomScaleSheetLayoutView="85" workbookViewId="0">
      <selection activeCell="F10" sqref="F10"/>
    </sheetView>
  </sheetViews>
  <sheetFormatPr defaultRowHeight="18" customHeight="1"/>
  <cols>
    <col min="1" max="1" width="20" style="61" customWidth="1"/>
    <col min="2" max="2" width="3.28515625" style="61" customWidth="1"/>
    <col min="3" max="3" width="8.7109375" style="61" customWidth="1"/>
    <col min="4" max="4" width="18.7109375" style="61" customWidth="1"/>
    <col min="5" max="5" width="28" style="61" customWidth="1"/>
    <col min="6" max="6" width="48.5703125" style="61" customWidth="1"/>
    <col min="7" max="7" width="23.28515625" style="61" customWidth="1"/>
    <col min="8" max="8" width="29.7109375" style="61" customWidth="1"/>
    <col min="9" max="9" width="5.5703125" style="61" customWidth="1"/>
    <col min="10" max="256" width="9.140625" style="61"/>
    <col min="257" max="257" width="13.5703125" style="61" customWidth="1"/>
    <col min="258" max="258" width="8.140625" style="61" customWidth="1"/>
    <col min="259" max="259" width="8.7109375" style="61" customWidth="1"/>
    <col min="260" max="260" width="23.140625" style="61" customWidth="1"/>
    <col min="261" max="261" width="16.7109375" style="61" customWidth="1"/>
    <col min="262" max="262" width="18.85546875" style="61" customWidth="1"/>
    <col min="263" max="263" width="17.85546875" style="61" customWidth="1"/>
    <col min="264" max="264" width="22.28515625" style="61" customWidth="1"/>
    <col min="265" max="265" width="5.5703125" style="61" customWidth="1"/>
    <col min="266" max="512" width="9.140625" style="61"/>
    <col min="513" max="513" width="13.5703125" style="61" customWidth="1"/>
    <col min="514" max="514" width="8.140625" style="61" customWidth="1"/>
    <col min="515" max="515" width="8.7109375" style="61" customWidth="1"/>
    <col min="516" max="516" width="23.140625" style="61" customWidth="1"/>
    <col min="517" max="517" width="16.7109375" style="61" customWidth="1"/>
    <col min="518" max="518" width="18.85546875" style="61" customWidth="1"/>
    <col min="519" max="519" width="17.85546875" style="61" customWidth="1"/>
    <col min="520" max="520" width="22.28515625" style="61" customWidth="1"/>
    <col min="521" max="521" width="5.5703125" style="61" customWidth="1"/>
    <col min="522" max="768" width="9.140625" style="61"/>
    <col min="769" max="769" width="13.5703125" style="61" customWidth="1"/>
    <col min="770" max="770" width="8.140625" style="61" customWidth="1"/>
    <col min="771" max="771" width="8.7109375" style="61" customWidth="1"/>
    <col min="772" max="772" width="23.140625" style="61" customWidth="1"/>
    <col min="773" max="773" width="16.7109375" style="61" customWidth="1"/>
    <col min="774" max="774" width="18.85546875" style="61" customWidth="1"/>
    <col min="775" max="775" width="17.85546875" style="61" customWidth="1"/>
    <col min="776" max="776" width="22.28515625" style="61" customWidth="1"/>
    <col min="777" max="777" width="5.5703125" style="61" customWidth="1"/>
    <col min="778" max="1024" width="9.140625" style="61"/>
    <col min="1025" max="1025" width="13.5703125" style="61" customWidth="1"/>
    <col min="1026" max="1026" width="8.140625" style="61" customWidth="1"/>
    <col min="1027" max="1027" width="8.7109375" style="61" customWidth="1"/>
    <col min="1028" max="1028" width="23.140625" style="61" customWidth="1"/>
    <col min="1029" max="1029" width="16.7109375" style="61" customWidth="1"/>
    <col min="1030" max="1030" width="18.85546875" style="61" customWidth="1"/>
    <col min="1031" max="1031" width="17.85546875" style="61" customWidth="1"/>
    <col min="1032" max="1032" width="22.28515625" style="61" customWidth="1"/>
    <col min="1033" max="1033" width="5.5703125" style="61" customWidth="1"/>
    <col min="1034" max="1280" width="9.140625" style="61"/>
    <col min="1281" max="1281" width="13.5703125" style="61" customWidth="1"/>
    <col min="1282" max="1282" width="8.140625" style="61" customWidth="1"/>
    <col min="1283" max="1283" width="8.7109375" style="61" customWidth="1"/>
    <col min="1284" max="1284" width="23.140625" style="61" customWidth="1"/>
    <col min="1285" max="1285" width="16.7109375" style="61" customWidth="1"/>
    <col min="1286" max="1286" width="18.85546875" style="61" customWidth="1"/>
    <col min="1287" max="1287" width="17.85546875" style="61" customWidth="1"/>
    <col min="1288" max="1288" width="22.28515625" style="61" customWidth="1"/>
    <col min="1289" max="1289" width="5.5703125" style="61" customWidth="1"/>
    <col min="1290" max="1536" width="9.140625" style="61"/>
    <col min="1537" max="1537" width="13.5703125" style="61" customWidth="1"/>
    <col min="1538" max="1538" width="8.140625" style="61" customWidth="1"/>
    <col min="1539" max="1539" width="8.7109375" style="61" customWidth="1"/>
    <col min="1540" max="1540" width="23.140625" style="61" customWidth="1"/>
    <col min="1541" max="1541" width="16.7109375" style="61" customWidth="1"/>
    <col min="1542" max="1542" width="18.85546875" style="61" customWidth="1"/>
    <col min="1543" max="1543" width="17.85546875" style="61" customWidth="1"/>
    <col min="1544" max="1544" width="22.28515625" style="61" customWidth="1"/>
    <col min="1545" max="1545" width="5.5703125" style="61" customWidth="1"/>
    <col min="1546" max="1792" width="9.140625" style="61"/>
    <col min="1793" max="1793" width="13.5703125" style="61" customWidth="1"/>
    <col min="1794" max="1794" width="8.140625" style="61" customWidth="1"/>
    <col min="1795" max="1795" width="8.7109375" style="61" customWidth="1"/>
    <col min="1796" max="1796" width="23.140625" style="61" customWidth="1"/>
    <col min="1797" max="1797" width="16.7109375" style="61" customWidth="1"/>
    <col min="1798" max="1798" width="18.85546875" style="61" customWidth="1"/>
    <col min="1799" max="1799" width="17.85546875" style="61" customWidth="1"/>
    <col min="1800" max="1800" width="22.28515625" style="61" customWidth="1"/>
    <col min="1801" max="1801" width="5.5703125" style="61" customWidth="1"/>
    <col min="1802" max="2048" width="9.140625" style="61"/>
    <col min="2049" max="2049" width="13.5703125" style="61" customWidth="1"/>
    <col min="2050" max="2050" width="8.140625" style="61" customWidth="1"/>
    <col min="2051" max="2051" width="8.7109375" style="61" customWidth="1"/>
    <col min="2052" max="2052" width="23.140625" style="61" customWidth="1"/>
    <col min="2053" max="2053" width="16.7109375" style="61" customWidth="1"/>
    <col min="2054" max="2054" width="18.85546875" style="61" customWidth="1"/>
    <col min="2055" max="2055" width="17.85546875" style="61" customWidth="1"/>
    <col min="2056" max="2056" width="22.28515625" style="61" customWidth="1"/>
    <col min="2057" max="2057" width="5.5703125" style="61" customWidth="1"/>
    <col min="2058" max="2304" width="9.140625" style="61"/>
    <col min="2305" max="2305" width="13.5703125" style="61" customWidth="1"/>
    <col min="2306" max="2306" width="8.140625" style="61" customWidth="1"/>
    <col min="2307" max="2307" width="8.7109375" style="61" customWidth="1"/>
    <col min="2308" max="2308" width="23.140625" style="61" customWidth="1"/>
    <col min="2309" max="2309" width="16.7109375" style="61" customWidth="1"/>
    <col min="2310" max="2310" width="18.85546875" style="61" customWidth="1"/>
    <col min="2311" max="2311" width="17.85546875" style="61" customWidth="1"/>
    <col min="2312" max="2312" width="22.28515625" style="61" customWidth="1"/>
    <col min="2313" max="2313" width="5.5703125" style="61" customWidth="1"/>
    <col min="2314" max="2560" width="9.140625" style="61"/>
    <col min="2561" max="2561" width="13.5703125" style="61" customWidth="1"/>
    <col min="2562" max="2562" width="8.140625" style="61" customWidth="1"/>
    <col min="2563" max="2563" width="8.7109375" style="61" customWidth="1"/>
    <col min="2564" max="2564" width="23.140625" style="61" customWidth="1"/>
    <col min="2565" max="2565" width="16.7109375" style="61" customWidth="1"/>
    <col min="2566" max="2566" width="18.85546875" style="61" customWidth="1"/>
    <col min="2567" max="2567" width="17.85546875" style="61" customWidth="1"/>
    <col min="2568" max="2568" width="22.28515625" style="61" customWidth="1"/>
    <col min="2569" max="2569" width="5.5703125" style="61" customWidth="1"/>
    <col min="2570" max="2816" width="9.140625" style="61"/>
    <col min="2817" max="2817" width="13.5703125" style="61" customWidth="1"/>
    <col min="2818" max="2818" width="8.140625" style="61" customWidth="1"/>
    <col min="2819" max="2819" width="8.7109375" style="61" customWidth="1"/>
    <col min="2820" max="2820" width="23.140625" style="61" customWidth="1"/>
    <col min="2821" max="2821" width="16.7109375" style="61" customWidth="1"/>
    <col min="2822" max="2822" width="18.85546875" style="61" customWidth="1"/>
    <col min="2823" max="2823" width="17.85546875" style="61" customWidth="1"/>
    <col min="2824" max="2824" width="22.28515625" style="61" customWidth="1"/>
    <col min="2825" max="2825" width="5.5703125" style="61" customWidth="1"/>
    <col min="2826" max="3072" width="9.140625" style="61"/>
    <col min="3073" max="3073" width="13.5703125" style="61" customWidth="1"/>
    <col min="3074" max="3074" width="8.140625" style="61" customWidth="1"/>
    <col min="3075" max="3075" width="8.7109375" style="61" customWidth="1"/>
    <col min="3076" max="3076" width="23.140625" style="61" customWidth="1"/>
    <col min="3077" max="3077" width="16.7109375" style="61" customWidth="1"/>
    <col min="3078" max="3078" width="18.85546875" style="61" customWidth="1"/>
    <col min="3079" max="3079" width="17.85546875" style="61" customWidth="1"/>
    <col min="3080" max="3080" width="22.28515625" style="61" customWidth="1"/>
    <col min="3081" max="3081" width="5.5703125" style="61" customWidth="1"/>
    <col min="3082" max="3328" width="9.140625" style="61"/>
    <col min="3329" max="3329" width="13.5703125" style="61" customWidth="1"/>
    <col min="3330" max="3330" width="8.140625" style="61" customWidth="1"/>
    <col min="3331" max="3331" width="8.7109375" style="61" customWidth="1"/>
    <col min="3332" max="3332" width="23.140625" style="61" customWidth="1"/>
    <col min="3333" max="3333" width="16.7109375" style="61" customWidth="1"/>
    <col min="3334" max="3334" width="18.85546875" style="61" customWidth="1"/>
    <col min="3335" max="3335" width="17.85546875" style="61" customWidth="1"/>
    <col min="3336" max="3336" width="22.28515625" style="61" customWidth="1"/>
    <col min="3337" max="3337" width="5.5703125" style="61" customWidth="1"/>
    <col min="3338" max="3584" width="9.140625" style="61"/>
    <col min="3585" max="3585" width="13.5703125" style="61" customWidth="1"/>
    <col min="3586" max="3586" width="8.140625" style="61" customWidth="1"/>
    <col min="3587" max="3587" width="8.7109375" style="61" customWidth="1"/>
    <col min="3588" max="3588" width="23.140625" style="61" customWidth="1"/>
    <col min="3589" max="3589" width="16.7109375" style="61" customWidth="1"/>
    <col min="3590" max="3590" width="18.85546875" style="61" customWidth="1"/>
    <col min="3591" max="3591" width="17.85546875" style="61" customWidth="1"/>
    <col min="3592" max="3592" width="22.28515625" style="61" customWidth="1"/>
    <col min="3593" max="3593" width="5.5703125" style="61" customWidth="1"/>
    <col min="3594" max="3840" width="9.140625" style="61"/>
    <col min="3841" max="3841" width="13.5703125" style="61" customWidth="1"/>
    <col min="3842" max="3842" width="8.140625" style="61" customWidth="1"/>
    <col min="3843" max="3843" width="8.7109375" style="61" customWidth="1"/>
    <col min="3844" max="3844" width="23.140625" style="61" customWidth="1"/>
    <col min="3845" max="3845" width="16.7109375" style="61" customWidth="1"/>
    <col min="3846" max="3846" width="18.85546875" style="61" customWidth="1"/>
    <col min="3847" max="3847" width="17.85546875" style="61" customWidth="1"/>
    <col min="3848" max="3848" width="22.28515625" style="61" customWidth="1"/>
    <col min="3849" max="3849" width="5.5703125" style="61" customWidth="1"/>
    <col min="3850" max="4096" width="9.140625" style="61"/>
    <col min="4097" max="4097" width="13.5703125" style="61" customWidth="1"/>
    <col min="4098" max="4098" width="8.140625" style="61" customWidth="1"/>
    <col min="4099" max="4099" width="8.7109375" style="61" customWidth="1"/>
    <col min="4100" max="4100" width="23.140625" style="61" customWidth="1"/>
    <col min="4101" max="4101" width="16.7109375" style="61" customWidth="1"/>
    <col min="4102" max="4102" width="18.85546875" style="61" customWidth="1"/>
    <col min="4103" max="4103" width="17.85546875" style="61" customWidth="1"/>
    <col min="4104" max="4104" width="22.28515625" style="61" customWidth="1"/>
    <col min="4105" max="4105" width="5.5703125" style="61" customWidth="1"/>
    <col min="4106" max="4352" width="9.140625" style="61"/>
    <col min="4353" max="4353" width="13.5703125" style="61" customWidth="1"/>
    <col min="4354" max="4354" width="8.140625" style="61" customWidth="1"/>
    <col min="4355" max="4355" width="8.7109375" style="61" customWidth="1"/>
    <col min="4356" max="4356" width="23.140625" style="61" customWidth="1"/>
    <col min="4357" max="4357" width="16.7109375" style="61" customWidth="1"/>
    <col min="4358" max="4358" width="18.85546875" style="61" customWidth="1"/>
    <col min="4359" max="4359" width="17.85546875" style="61" customWidth="1"/>
    <col min="4360" max="4360" width="22.28515625" style="61" customWidth="1"/>
    <col min="4361" max="4361" width="5.5703125" style="61" customWidth="1"/>
    <col min="4362" max="4608" width="9.140625" style="61"/>
    <col min="4609" max="4609" width="13.5703125" style="61" customWidth="1"/>
    <col min="4610" max="4610" width="8.140625" style="61" customWidth="1"/>
    <col min="4611" max="4611" width="8.7109375" style="61" customWidth="1"/>
    <col min="4612" max="4612" width="23.140625" style="61" customWidth="1"/>
    <col min="4613" max="4613" width="16.7109375" style="61" customWidth="1"/>
    <col min="4614" max="4614" width="18.85546875" style="61" customWidth="1"/>
    <col min="4615" max="4615" width="17.85546875" style="61" customWidth="1"/>
    <col min="4616" max="4616" width="22.28515625" style="61" customWidth="1"/>
    <col min="4617" max="4617" width="5.5703125" style="61" customWidth="1"/>
    <col min="4618" max="4864" width="9.140625" style="61"/>
    <col min="4865" max="4865" width="13.5703125" style="61" customWidth="1"/>
    <col min="4866" max="4866" width="8.140625" style="61" customWidth="1"/>
    <col min="4867" max="4867" width="8.7109375" style="61" customWidth="1"/>
    <col min="4868" max="4868" width="23.140625" style="61" customWidth="1"/>
    <col min="4869" max="4869" width="16.7109375" style="61" customWidth="1"/>
    <col min="4870" max="4870" width="18.85546875" style="61" customWidth="1"/>
    <col min="4871" max="4871" width="17.85546875" style="61" customWidth="1"/>
    <col min="4872" max="4872" width="22.28515625" style="61" customWidth="1"/>
    <col min="4873" max="4873" width="5.5703125" style="61" customWidth="1"/>
    <col min="4874" max="5120" width="9.140625" style="61"/>
    <col min="5121" max="5121" width="13.5703125" style="61" customWidth="1"/>
    <col min="5122" max="5122" width="8.140625" style="61" customWidth="1"/>
    <col min="5123" max="5123" width="8.7109375" style="61" customWidth="1"/>
    <col min="5124" max="5124" width="23.140625" style="61" customWidth="1"/>
    <col min="5125" max="5125" width="16.7109375" style="61" customWidth="1"/>
    <col min="5126" max="5126" width="18.85546875" style="61" customWidth="1"/>
    <col min="5127" max="5127" width="17.85546875" style="61" customWidth="1"/>
    <col min="5128" max="5128" width="22.28515625" style="61" customWidth="1"/>
    <col min="5129" max="5129" width="5.5703125" style="61" customWidth="1"/>
    <col min="5130" max="5376" width="9.140625" style="61"/>
    <col min="5377" max="5377" width="13.5703125" style="61" customWidth="1"/>
    <col min="5378" max="5378" width="8.140625" style="61" customWidth="1"/>
    <col min="5379" max="5379" width="8.7109375" style="61" customWidth="1"/>
    <col min="5380" max="5380" width="23.140625" style="61" customWidth="1"/>
    <col min="5381" max="5381" width="16.7109375" style="61" customWidth="1"/>
    <col min="5382" max="5382" width="18.85546875" style="61" customWidth="1"/>
    <col min="5383" max="5383" width="17.85546875" style="61" customWidth="1"/>
    <col min="5384" max="5384" width="22.28515625" style="61" customWidth="1"/>
    <col min="5385" max="5385" width="5.5703125" style="61" customWidth="1"/>
    <col min="5386" max="5632" width="9.140625" style="61"/>
    <col min="5633" max="5633" width="13.5703125" style="61" customWidth="1"/>
    <col min="5634" max="5634" width="8.140625" style="61" customWidth="1"/>
    <col min="5635" max="5635" width="8.7109375" style="61" customWidth="1"/>
    <col min="5636" max="5636" width="23.140625" style="61" customWidth="1"/>
    <col min="5637" max="5637" width="16.7109375" style="61" customWidth="1"/>
    <col min="5638" max="5638" width="18.85546875" style="61" customWidth="1"/>
    <col min="5639" max="5639" width="17.85546875" style="61" customWidth="1"/>
    <col min="5640" max="5640" width="22.28515625" style="61" customWidth="1"/>
    <col min="5641" max="5641" width="5.5703125" style="61" customWidth="1"/>
    <col min="5642" max="5888" width="9.140625" style="61"/>
    <col min="5889" max="5889" width="13.5703125" style="61" customWidth="1"/>
    <col min="5890" max="5890" width="8.140625" style="61" customWidth="1"/>
    <col min="5891" max="5891" width="8.7109375" style="61" customWidth="1"/>
    <col min="5892" max="5892" width="23.140625" style="61" customWidth="1"/>
    <col min="5893" max="5893" width="16.7109375" style="61" customWidth="1"/>
    <col min="5894" max="5894" width="18.85546875" style="61" customWidth="1"/>
    <col min="5895" max="5895" width="17.85546875" style="61" customWidth="1"/>
    <col min="5896" max="5896" width="22.28515625" style="61" customWidth="1"/>
    <col min="5897" max="5897" width="5.5703125" style="61" customWidth="1"/>
    <col min="5898" max="6144" width="9.140625" style="61"/>
    <col min="6145" max="6145" width="13.5703125" style="61" customWidth="1"/>
    <col min="6146" max="6146" width="8.140625" style="61" customWidth="1"/>
    <col min="6147" max="6147" width="8.7109375" style="61" customWidth="1"/>
    <col min="6148" max="6148" width="23.140625" style="61" customWidth="1"/>
    <col min="6149" max="6149" width="16.7109375" style="61" customWidth="1"/>
    <col min="6150" max="6150" width="18.85546875" style="61" customWidth="1"/>
    <col min="6151" max="6151" width="17.85546875" style="61" customWidth="1"/>
    <col min="6152" max="6152" width="22.28515625" style="61" customWidth="1"/>
    <col min="6153" max="6153" width="5.5703125" style="61" customWidth="1"/>
    <col min="6154" max="6400" width="9.140625" style="61"/>
    <col min="6401" max="6401" width="13.5703125" style="61" customWidth="1"/>
    <col min="6402" max="6402" width="8.140625" style="61" customWidth="1"/>
    <col min="6403" max="6403" width="8.7109375" style="61" customWidth="1"/>
    <col min="6404" max="6404" width="23.140625" style="61" customWidth="1"/>
    <col min="6405" max="6405" width="16.7109375" style="61" customWidth="1"/>
    <col min="6406" max="6406" width="18.85546875" style="61" customWidth="1"/>
    <col min="6407" max="6407" width="17.85546875" style="61" customWidth="1"/>
    <col min="6408" max="6408" width="22.28515625" style="61" customWidth="1"/>
    <col min="6409" max="6409" width="5.5703125" style="61" customWidth="1"/>
    <col min="6410" max="6656" width="9.140625" style="61"/>
    <col min="6657" max="6657" width="13.5703125" style="61" customWidth="1"/>
    <col min="6658" max="6658" width="8.140625" style="61" customWidth="1"/>
    <col min="6659" max="6659" width="8.7109375" style="61" customWidth="1"/>
    <col min="6660" max="6660" width="23.140625" style="61" customWidth="1"/>
    <col min="6661" max="6661" width="16.7109375" style="61" customWidth="1"/>
    <col min="6662" max="6662" width="18.85546875" style="61" customWidth="1"/>
    <col min="6663" max="6663" width="17.85546875" style="61" customWidth="1"/>
    <col min="6664" max="6664" width="22.28515625" style="61" customWidth="1"/>
    <col min="6665" max="6665" width="5.5703125" style="61" customWidth="1"/>
    <col min="6666" max="6912" width="9.140625" style="61"/>
    <col min="6913" max="6913" width="13.5703125" style="61" customWidth="1"/>
    <col min="6914" max="6914" width="8.140625" style="61" customWidth="1"/>
    <col min="6915" max="6915" width="8.7109375" style="61" customWidth="1"/>
    <col min="6916" max="6916" width="23.140625" style="61" customWidth="1"/>
    <col min="6917" max="6917" width="16.7109375" style="61" customWidth="1"/>
    <col min="6918" max="6918" width="18.85546875" style="61" customWidth="1"/>
    <col min="6919" max="6919" width="17.85546875" style="61" customWidth="1"/>
    <col min="6920" max="6920" width="22.28515625" style="61" customWidth="1"/>
    <col min="6921" max="6921" width="5.5703125" style="61" customWidth="1"/>
    <col min="6922" max="7168" width="9.140625" style="61"/>
    <col min="7169" max="7169" width="13.5703125" style="61" customWidth="1"/>
    <col min="7170" max="7170" width="8.140625" style="61" customWidth="1"/>
    <col min="7171" max="7171" width="8.7109375" style="61" customWidth="1"/>
    <col min="7172" max="7172" width="23.140625" style="61" customWidth="1"/>
    <col min="7173" max="7173" width="16.7109375" style="61" customWidth="1"/>
    <col min="7174" max="7174" width="18.85546875" style="61" customWidth="1"/>
    <col min="7175" max="7175" width="17.85546875" style="61" customWidth="1"/>
    <col min="7176" max="7176" width="22.28515625" style="61" customWidth="1"/>
    <col min="7177" max="7177" width="5.5703125" style="61" customWidth="1"/>
    <col min="7178" max="7424" width="9.140625" style="61"/>
    <col min="7425" max="7425" width="13.5703125" style="61" customWidth="1"/>
    <col min="7426" max="7426" width="8.140625" style="61" customWidth="1"/>
    <col min="7427" max="7427" width="8.7109375" style="61" customWidth="1"/>
    <col min="7428" max="7428" width="23.140625" style="61" customWidth="1"/>
    <col min="7429" max="7429" width="16.7109375" style="61" customWidth="1"/>
    <col min="7430" max="7430" width="18.85546875" style="61" customWidth="1"/>
    <col min="7431" max="7431" width="17.85546875" style="61" customWidth="1"/>
    <col min="7432" max="7432" width="22.28515625" style="61" customWidth="1"/>
    <col min="7433" max="7433" width="5.5703125" style="61" customWidth="1"/>
    <col min="7434" max="7680" width="9.140625" style="61"/>
    <col min="7681" max="7681" width="13.5703125" style="61" customWidth="1"/>
    <col min="7682" max="7682" width="8.140625" style="61" customWidth="1"/>
    <col min="7683" max="7683" width="8.7109375" style="61" customWidth="1"/>
    <col min="7684" max="7684" width="23.140625" style="61" customWidth="1"/>
    <col min="7685" max="7685" width="16.7109375" style="61" customWidth="1"/>
    <col min="7686" max="7686" width="18.85546875" style="61" customWidth="1"/>
    <col min="7687" max="7687" width="17.85546875" style="61" customWidth="1"/>
    <col min="7688" max="7688" width="22.28515625" style="61" customWidth="1"/>
    <col min="7689" max="7689" width="5.5703125" style="61" customWidth="1"/>
    <col min="7690" max="7936" width="9.140625" style="61"/>
    <col min="7937" max="7937" width="13.5703125" style="61" customWidth="1"/>
    <col min="7938" max="7938" width="8.140625" style="61" customWidth="1"/>
    <col min="7939" max="7939" width="8.7109375" style="61" customWidth="1"/>
    <col min="7940" max="7940" width="23.140625" style="61" customWidth="1"/>
    <col min="7941" max="7941" width="16.7109375" style="61" customWidth="1"/>
    <col min="7942" max="7942" width="18.85546875" style="61" customWidth="1"/>
    <col min="7943" max="7943" width="17.85546875" style="61" customWidth="1"/>
    <col min="7944" max="7944" width="22.28515625" style="61" customWidth="1"/>
    <col min="7945" max="7945" width="5.5703125" style="61" customWidth="1"/>
    <col min="7946" max="8192" width="9.140625" style="61"/>
    <col min="8193" max="8193" width="13.5703125" style="61" customWidth="1"/>
    <col min="8194" max="8194" width="8.140625" style="61" customWidth="1"/>
    <col min="8195" max="8195" width="8.7109375" style="61" customWidth="1"/>
    <col min="8196" max="8196" width="23.140625" style="61" customWidth="1"/>
    <col min="8197" max="8197" width="16.7109375" style="61" customWidth="1"/>
    <col min="8198" max="8198" width="18.85546875" style="61" customWidth="1"/>
    <col min="8199" max="8199" width="17.85546875" style="61" customWidth="1"/>
    <col min="8200" max="8200" width="22.28515625" style="61" customWidth="1"/>
    <col min="8201" max="8201" width="5.5703125" style="61" customWidth="1"/>
    <col min="8202" max="8448" width="9.140625" style="61"/>
    <col min="8449" max="8449" width="13.5703125" style="61" customWidth="1"/>
    <col min="8450" max="8450" width="8.140625" style="61" customWidth="1"/>
    <col min="8451" max="8451" width="8.7109375" style="61" customWidth="1"/>
    <col min="8452" max="8452" width="23.140625" style="61" customWidth="1"/>
    <col min="8453" max="8453" width="16.7109375" style="61" customWidth="1"/>
    <col min="8454" max="8454" width="18.85546875" style="61" customWidth="1"/>
    <col min="8455" max="8455" width="17.85546875" style="61" customWidth="1"/>
    <col min="8456" max="8456" width="22.28515625" style="61" customWidth="1"/>
    <col min="8457" max="8457" width="5.5703125" style="61" customWidth="1"/>
    <col min="8458" max="8704" width="9.140625" style="61"/>
    <col min="8705" max="8705" width="13.5703125" style="61" customWidth="1"/>
    <col min="8706" max="8706" width="8.140625" style="61" customWidth="1"/>
    <col min="8707" max="8707" width="8.7109375" style="61" customWidth="1"/>
    <col min="8708" max="8708" width="23.140625" style="61" customWidth="1"/>
    <col min="8709" max="8709" width="16.7109375" style="61" customWidth="1"/>
    <col min="8710" max="8710" width="18.85546875" style="61" customWidth="1"/>
    <col min="8711" max="8711" width="17.85546875" style="61" customWidth="1"/>
    <col min="8712" max="8712" width="22.28515625" style="61" customWidth="1"/>
    <col min="8713" max="8713" width="5.5703125" style="61" customWidth="1"/>
    <col min="8714" max="8960" width="9.140625" style="61"/>
    <col min="8961" max="8961" width="13.5703125" style="61" customWidth="1"/>
    <col min="8962" max="8962" width="8.140625" style="61" customWidth="1"/>
    <col min="8963" max="8963" width="8.7109375" style="61" customWidth="1"/>
    <col min="8964" max="8964" width="23.140625" style="61" customWidth="1"/>
    <col min="8965" max="8965" width="16.7109375" style="61" customWidth="1"/>
    <col min="8966" max="8966" width="18.85546875" style="61" customWidth="1"/>
    <col min="8967" max="8967" width="17.85546875" style="61" customWidth="1"/>
    <col min="8968" max="8968" width="22.28515625" style="61" customWidth="1"/>
    <col min="8969" max="8969" width="5.5703125" style="61" customWidth="1"/>
    <col min="8970" max="9216" width="9.140625" style="61"/>
    <col min="9217" max="9217" width="13.5703125" style="61" customWidth="1"/>
    <col min="9218" max="9218" width="8.140625" style="61" customWidth="1"/>
    <col min="9219" max="9219" width="8.7109375" style="61" customWidth="1"/>
    <col min="9220" max="9220" width="23.140625" style="61" customWidth="1"/>
    <col min="9221" max="9221" width="16.7109375" style="61" customWidth="1"/>
    <col min="9222" max="9222" width="18.85546875" style="61" customWidth="1"/>
    <col min="9223" max="9223" width="17.85546875" style="61" customWidth="1"/>
    <col min="9224" max="9224" width="22.28515625" style="61" customWidth="1"/>
    <col min="9225" max="9225" width="5.5703125" style="61" customWidth="1"/>
    <col min="9226" max="9472" width="9.140625" style="61"/>
    <col min="9473" max="9473" width="13.5703125" style="61" customWidth="1"/>
    <col min="9474" max="9474" width="8.140625" style="61" customWidth="1"/>
    <col min="9475" max="9475" width="8.7109375" style="61" customWidth="1"/>
    <col min="9476" max="9476" width="23.140625" style="61" customWidth="1"/>
    <col min="9477" max="9477" width="16.7109375" style="61" customWidth="1"/>
    <col min="9478" max="9478" width="18.85546875" style="61" customWidth="1"/>
    <col min="9479" max="9479" width="17.85546875" style="61" customWidth="1"/>
    <col min="9480" max="9480" width="22.28515625" style="61" customWidth="1"/>
    <col min="9481" max="9481" width="5.5703125" style="61" customWidth="1"/>
    <col min="9482" max="9728" width="9.140625" style="61"/>
    <col min="9729" max="9729" width="13.5703125" style="61" customWidth="1"/>
    <col min="9730" max="9730" width="8.140625" style="61" customWidth="1"/>
    <col min="9731" max="9731" width="8.7109375" style="61" customWidth="1"/>
    <col min="9732" max="9732" width="23.140625" style="61" customWidth="1"/>
    <col min="9733" max="9733" width="16.7109375" style="61" customWidth="1"/>
    <col min="9734" max="9734" width="18.85546875" style="61" customWidth="1"/>
    <col min="9735" max="9735" width="17.85546875" style="61" customWidth="1"/>
    <col min="9736" max="9736" width="22.28515625" style="61" customWidth="1"/>
    <col min="9737" max="9737" width="5.5703125" style="61" customWidth="1"/>
    <col min="9738" max="9984" width="9.140625" style="61"/>
    <col min="9985" max="9985" width="13.5703125" style="61" customWidth="1"/>
    <col min="9986" max="9986" width="8.140625" style="61" customWidth="1"/>
    <col min="9987" max="9987" width="8.7109375" style="61" customWidth="1"/>
    <col min="9988" max="9988" width="23.140625" style="61" customWidth="1"/>
    <col min="9989" max="9989" width="16.7109375" style="61" customWidth="1"/>
    <col min="9990" max="9990" width="18.85546875" style="61" customWidth="1"/>
    <col min="9991" max="9991" width="17.85546875" style="61" customWidth="1"/>
    <col min="9992" max="9992" width="22.28515625" style="61" customWidth="1"/>
    <col min="9993" max="9993" width="5.5703125" style="61" customWidth="1"/>
    <col min="9994" max="10240" width="9.140625" style="61"/>
    <col min="10241" max="10241" width="13.5703125" style="61" customWidth="1"/>
    <col min="10242" max="10242" width="8.140625" style="61" customWidth="1"/>
    <col min="10243" max="10243" width="8.7109375" style="61" customWidth="1"/>
    <col min="10244" max="10244" width="23.140625" style="61" customWidth="1"/>
    <col min="10245" max="10245" width="16.7109375" style="61" customWidth="1"/>
    <col min="10246" max="10246" width="18.85546875" style="61" customWidth="1"/>
    <col min="10247" max="10247" width="17.85546875" style="61" customWidth="1"/>
    <col min="10248" max="10248" width="22.28515625" style="61" customWidth="1"/>
    <col min="10249" max="10249" width="5.5703125" style="61" customWidth="1"/>
    <col min="10250" max="10496" width="9.140625" style="61"/>
    <col min="10497" max="10497" width="13.5703125" style="61" customWidth="1"/>
    <col min="10498" max="10498" width="8.140625" style="61" customWidth="1"/>
    <col min="10499" max="10499" width="8.7109375" style="61" customWidth="1"/>
    <col min="10500" max="10500" width="23.140625" style="61" customWidth="1"/>
    <col min="10501" max="10501" width="16.7109375" style="61" customWidth="1"/>
    <col min="10502" max="10502" width="18.85546875" style="61" customWidth="1"/>
    <col min="10503" max="10503" width="17.85546875" style="61" customWidth="1"/>
    <col min="10504" max="10504" width="22.28515625" style="61" customWidth="1"/>
    <col min="10505" max="10505" width="5.5703125" style="61" customWidth="1"/>
    <col min="10506" max="10752" width="9.140625" style="61"/>
    <col min="10753" max="10753" width="13.5703125" style="61" customWidth="1"/>
    <col min="10754" max="10754" width="8.140625" style="61" customWidth="1"/>
    <col min="10755" max="10755" width="8.7109375" style="61" customWidth="1"/>
    <col min="10756" max="10756" width="23.140625" style="61" customWidth="1"/>
    <col min="10757" max="10757" width="16.7109375" style="61" customWidth="1"/>
    <col min="10758" max="10758" width="18.85546875" style="61" customWidth="1"/>
    <col min="10759" max="10759" width="17.85546875" style="61" customWidth="1"/>
    <col min="10760" max="10760" width="22.28515625" style="61" customWidth="1"/>
    <col min="10761" max="10761" width="5.5703125" style="61" customWidth="1"/>
    <col min="10762" max="11008" width="9.140625" style="61"/>
    <col min="11009" max="11009" width="13.5703125" style="61" customWidth="1"/>
    <col min="11010" max="11010" width="8.140625" style="61" customWidth="1"/>
    <col min="11011" max="11011" width="8.7109375" style="61" customWidth="1"/>
    <col min="11012" max="11012" width="23.140625" style="61" customWidth="1"/>
    <col min="11013" max="11013" width="16.7109375" style="61" customWidth="1"/>
    <col min="11014" max="11014" width="18.85546875" style="61" customWidth="1"/>
    <col min="11015" max="11015" width="17.85546875" style="61" customWidth="1"/>
    <col min="11016" max="11016" width="22.28515625" style="61" customWidth="1"/>
    <col min="11017" max="11017" width="5.5703125" style="61" customWidth="1"/>
    <col min="11018" max="11264" width="9.140625" style="61"/>
    <col min="11265" max="11265" width="13.5703125" style="61" customWidth="1"/>
    <col min="11266" max="11266" width="8.140625" style="61" customWidth="1"/>
    <col min="11267" max="11267" width="8.7109375" style="61" customWidth="1"/>
    <col min="11268" max="11268" width="23.140625" style="61" customWidth="1"/>
    <col min="11269" max="11269" width="16.7109375" style="61" customWidth="1"/>
    <col min="11270" max="11270" width="18.85546875" style="61" customWidth="1"/>
    <col min="11271" max="11271" width="17.85546875" style="61" customWidth="1"/>
    <col min="11272" max="11272" width="22.28515625" style="61" customWidth="1"/>
    <col min="11273" max="11273" width="5.5703125" style="61" customWidth="1"/>
    <col min="11274" max="11520" width="9.140625" style="61"/>
    <col min="11521" max="11521" width="13.5703125" style="61" customWidth="1"/>
    <col min="11522" max="11522" width="8.140625" style="61" customWidth="1"/>
    <col min="11523" max="11523" width="8.7109375" style="61" customWidth="1"/>
    <col min="11524" max="11524" width="23.140625" style="61" customWidth="1"/>
    <col min="11525" max="11525" width="16.7109375" style="61" customWidth="1"/>
    <col min="11526" max="11526" width="18.85546875" style="61" customWidth="1"/>
    <col min="11527" max="11527" width="17.85546875" style="61" customWidth="1"/>
    <col min="11528" max="11528" width="22.28515625" style="61" customWidth="1"/>
    <col min="11529" max="11529" width="5.5703125" style="61" customWidth="1"/>
    <col min="11530" max="11776" width="9.140625" style="61"/>
    <col min="11777" max="11777" width="13.5703125" style="61" customWidth="1"/>
    <col min="11778" max="11778" width="8.140625" style="61" customWidth="1"/>
    <col min="11779" max="11779" width="8.7109375" style="61" customWidth="1"/>
    <col min="11780" max="11780" width="23.140625" style="61" customWidth="1"/>
    <col min="11781" max="11781" width="16.7109375" style="61" customWidth="1"/>
    <col min="11782" max="11782" width="18.85546875" style="61" customWidth="1"/>
    <col min="11783" max="11783" width="17.85546875" style="61" customWidth="1"/>
    <col min="11784" max="11784" width="22.28515625" style="61" customWidth="1"/>
    <col min="11785" max="11785" width="5.5703125" style="61" customWidth="1"/>
    <col min="11786" max="12032" width="9.140625" style="61"/>
    <col min="12033" max="12033" width="13.5703125" style="61" customWidth="1"/>
    <col min="12034" max="12034" width="8.140625" style="61" customWidth="1"/>
    <col min="12035" max="12035" width="8.7109375" style="61" customWidth="1"/>
    <col min="12036" max="12036" width="23.140625" style="61" customWidth="1"/>
    <col min="12037" max="12037" width="16.7109375" style="61" customWidth="1"/>
    <col min="12038" max="12038" width="18.85546875" style="61" customWidth="1"/>
    <col min="12039" max="12039" width="17.85546875" style="61" customWidth="1"/>
    <col min="12040" max="12040" width="22.28515625" style="61" customWidth="1"/>
    <col min="12041" max="12041" width="5.5703125" style="61" customWidth="1"/>
    <col min="12042" max="12288" width="9.140625" style="61"/>
    <col min="12289" max="12289" width="13.5703125" style="61" customWidth="1"/>
    <col min="12290" max="12290" width="8.140625" style="61" customWidth="1"/>
    <col min="12291" max="12291" width="8.7109375" style="61" customWidth="1"/>
    <col min="12292" max="12292" width="23.140625" style="61" customWidth="1"/>
    <col min="12293" max="12293" width="16.7109375" style="61" customWidth="1"/>
    <col min="12294" max="12294" width="18.85546875" style="61" customWidth="1"/>
    <col min="12295" max="12295" width="17.85546875" style="61" customWidth="1"/>
    <col min="12296" max="12296" width="22.28515625" style="61" customWidth="1"/>
    <col min="12297" max="12297" width="5.5703125" style="61" customWidth="1"/>
    <col min="12298" max="12544" width="9.140625" style="61"/>
    <col min="12545" max="12545" width="13.5703125" style="61" customWidth="1"/>
    <col min="12546" max="12546" width="8.140625" style="61" customWidth="1"/>
    <col min="12547" max="12547" width="8.7109375" style="61" customWidth="1"/>
    <col min="12548" max="12548" width="23.140625" style="61" customWidth="1"/>
    <col min="12549" max="12549" width="16.7109375" style="61" customWidth="1"/>
    <col min="12550" max="12550" width="18.85546875" style="61" customWidth="1"/>
    <col min="12551" max="12551" width="17.85546875" style="61" customWidth="1"/>
    <col min="12552" max="12552" width="22.28515625" style="61" customWidth="1"/>
    <col min="12553" max="12553" width="5.5703125" style="61" customWidth="1"/>
    <col min="12554" max="12800" width="9.140625" style="61"/>
    <col min="12801" max="12801" width="13.5703125" style="61" customWidth="1"/>
    <col min="12802" max="12802" width="8.140625" style="61" customWidth="1"/>
    <col min="12803" max="12803" width="8.7109375" style="61" customWidth="1"/>
    <col min="12804" max="12804" width="23.140625" style="61" customWidth="1"/>
    <col min="12805" max="12805" width="16.7109375" style="61" customWidth="1"/>
    <col min="12806" max="12806" width="18.85546875" style="61" customWidth="1"/>
    <col min="12807" max="12807" width="17.85546875" style="61" customWidth="1"/>
    <col min="12808" max="12808" width="22.28515625" style="61" customWidth="1"/>
    <col min="12809" max="12809" width="5.5703125" style="61" customWidth="1"/>
    <col min="12810" max="13056" width="9.140625" style="61"/>
    <col min="13057" max="13057" width="13.5703125" style="61" customWidth="1"/>
    <col min="13058" max="13058" width="8.140625" style="61" customWidth="1"/>
    <col min="13059" max="13059" width="8.7109375" style="61" customWidth="1"/>
    <col min="13060" max="13060" width="23.140625" style="61" customWidth="1"/>
    <col min="13061" max="13061" width="16.7109375" style="61" customWidth="1"/>
    <col min="13062" max="13062" width="18.85546875" style="61" customWidth="1"/>
    <col min="13063" max="13063" width="17.85546875" style="61" customWidth="1"/>
    <col min="13064" max="13064" width="22.28515625" style="61" customWidth="1"/>
    <col min="13065" max="13065" width="5.5703125" style="61" customWidth="1"/>
    <col min="13066" max="13312" width="9.140625" style="61"/>
    <col min="13313" max="13313" width="13.5703125" style="61" customWidth="1"/>
    <col min="13314" max="13314" width="8.140625" style="61" customWidth="1"/>
    <col min="13315" max="13315" width="8.7109375" style="61" customWidth="1"/>
    <col min="13316" max="13316" width="23.140625" style="61" customWidth="1"/>
    <col min="13317" max="13317" width="16.7109375" style="61" customWidth="1"/>
    <col min="13318" max="13318" width="18.85546875" style="61" customWidth="1"/>
    <col min="13319" max="13319" width="17.85546875" style="61" customWidth="1"/>
    <col min="13320" max="13320" width="22.28515625" style="61" customWidth="1"/>
    <col min="13321" max="13321" width="5.5703125" style="61" customWidth="1"/>
    <col min="13322" max="13568" width="9.140625" style="61"/>
    <col min="13569" max="13569" width="13.5703125" style="61" customWidth="1"/>
    <col min="13570" max="13570" width="8.140625" style="61" customWidth="1"/>
    <col min="13571" max="13571" width="8.7109375" style="61" customWidth="1"/>
    <col min="13572" max="13572" width="23.140625" style="61" customWidth="1"/>
    <col min="13573" max="13573" width="16.7109375" style="61" customWidth="1"/>
    <col min="13574" max="13574" width="18.85546875" style="61" customWidth="1"/>
    <col min="13575" max="13575" width="17.85546875" style="61" customWidth="1"/>
    <col min="13576" max="13576" width="22.28515625" style="61" customWidth="1"/>
    <col min="13577" max="13577" width="5.5703125" style="61" customWidth="1"/>
    <col min="13578" max="13824" width="9.140625" style="61"/>
    <col min="13825" max="13825" width="13.5703125" style="61" customWidth="1"/>
    <col min="13826" max="13826" width="8.140625" style="61" customWidth="1"/>
    <col min="13827" max="13827" width="8.7109375" style="61" customWidth="1"/>
    <col min="13828" max="13828" width="23.140625" style="61" customWidth="1"/>
    <col min="13829" max="13829" width="16.7109375" style="61" customWidth="1"/>
    <col min="13830" max="13830" width="18.85546875" style="61" customWidth="1"/>
    <col min="13831" max="13831" width="17.85546875" style="61" customWidth="1"/>
    <col min="13832" max="13832" width="22.28515625" style="61" customWidth="1"/>
    <col min="13833" max="13833" width="5.5703125" style="61" customWidth="1"/>
    <col min="13834" max="14080" width="9.140625" style="61"/>
    <col min="14081" max="14081" width="13.5703125" style="61" customWidth="1"/>
    <col min="14082" max="14082" width="8.140625" style="61" customWidth="1"/>
    <col min="14083" max="14083" width="8.7109375" style="61" customWidth="1"/>
    <col min="14084" max="14084" width="23.140625" style="61" customWidth="1"/>
    <col min="14085" max="14085" width="16.7109375" style="61" customWidth="1"/>
    <col min="14086" max="14086" width="18.85546875" style="61" customWidth="1"/>
    <col min="14087" max="14087" width="17.85546875" style="61" customWidth="1"/>
    <col min="14088" max="14088" width="22.28515625" style="61" customWidth="1"/>
    <col min="14089" max="14089" width="5.5703125" style="61" customWidth="1"/>
    <col min="14090" max="14336" width="9.140625" style="61"/>
    <col min="14337" max="14337" width="13.5703125" style="61" customWidth="1"/>
    <col min="14338" max="14338" width="8.140625" style="61" customWidth="1"/>
    <col min="14339" max="14339" width="8.7109375" style="61" customWidth="1"/>
    <col min="14340" max="14340" width="23.140625" style="61" customWidth="1"/>
    <col min="14341" max="14341" width="16.7109375" style="61" customWidth="1"/>
    <col min="14342" max="14342" width="18.85546875" style="61" customWidth="1"/>
    <col min="14343" max="14343" width="17.85546875" style="61" customWidth="1"/>
    <col min="14344" max="14344" width="22.28515625" style="61" customWidth="1"/>
    <col min="14345" max="14345" width="5.5703125" style="61" customWidth="1"/>
    <col min="14346" max="14592" width="9.140625" style="61"/>
    <col min="14593" max="14593" width="13.5703125" style="61" customWidth="1"/>
    <col min="14594" max="14594" width="8.140625" style="61" customWidth="1"/>
    <col min="14595" max="14595" width="8.7109375" style="61" customWidth="1"/>
    <col min="14596" max="14596" width="23.140625" style="61" customWidth="1"/>
    <col min="14597" max="14597" width="16.7109375" style="61" customWidth="1"/>
    <col min="14598" max="14598" width="18.85546875" style="61" customWidth="1"/>
    <col min="14599" max="14599" width="17.85546875" style="61" customWidth="1"/>
    <col min="14600" max="14600" width="22.28515625" style="61" customWidth="1"/>
    <col min="14601" max="14601" width="5.5703125" style="61" customWidth="1"/>
    <col min="14602" max="14848" width="9.140625" style="61"/>
    <col min="14849" max="14849" width="13.5703125" style="61" customWidth="1"/>
    <col min="14850" max="14850" width="8.140625" style="61" customWidth="1"/>
    <col min="14851" max="14851" width="8.7109375" style="61" customWidth="1"/>
    <col min="14852" max="14852" width="23.140625" style="61" customWidth="1"/>
    <col min="14853" max="14853" width="16.7109375" style="61" customWidth="1"/>
    <col min="14854" max="14854" width="18.85546875" style="61" customWidth="1"/>
    <col min="14855" max="14855" width="17.85546875" style="61" customWidth="1"/>
    <col min="14856" max="14856" width="22.28515625" style="61" customWidth="1"/>
    <col min="14857" max="14857" width="5.5703125" style="61" customWidth="1"/>
    <col min="14858" max="15104" width="9.140625" style="61"/>
    <col min="15105" max="15105" width="13.5703125" style="61" customWidth="1"/>
    <col min="15106" max="15106" width="8.140625" style="61" customWidth="1"/>
    <col min="15107" max="15107" width="8.7109375" style="61" customWidth="1"/>
    <col min="15108" max="15108" width="23.140625" style="61" customWidth="1"/>
    <col min="15109" max="15109" width="16.7109375" style="61" customWidth="1"/>
    <col min="15110" max="15110" width="18.85546875" style="61" customWidth="1"/>
    <col min="15111" max="15111" width="17.85546875" style="61" customWidth="1"/>
    <col min="15112" max="15112" width="22.28515625" style="61" customWidth="1"/>
    <col min="15113" max="15113" width="5.5703125" style="61" customWidth="1"/>
    <col min="15114" max="15360" width="9.140625" style="61"/>
    <col min="15361" max="15361" width="13.5703125" style="61" customWidth="1"/>
    <col min="15362" max="15362" width="8.140625" style="61" customWidth="1"/>
    <col min="15363" max="15363" width="8.7109375" style="61" customWidth="1"/>
    <col min="15364" max="15364" width="23.140625" style="61" customWidth="1"/>
    <col min="15365" max="15365" width="16.7109375" style="61" customWidth="1"/>
    <col min="15366" max="15366" width="18.85546875" style="61" customWidth="1"/>
    <col min="15367" max="15367" width="17.85546875" style="61" customWidth="1"/>
    <col min="15368" max="15368" width="22.28515625" style="61" customWidth="1"/>
    <col min="15369" max="15369" width="5.5703125" style="61" customWidth="1"/>
    <col min="15370" max="15616" width="9.140625" style="61"/>
    <col min="15617" max="15617" width="13.5703125" style="61" customWidth="1"/>
    <col min="15618" max="15618" width="8.140625" style="61" customWidth="1"/>
    <col min="15619" max="15619" width="8.7109375" style="61" customWidth="1"/>
    <col min="15620" max="15620" width="23.140625" style="61" customWidth="1"/>
    <col min="15621" max="15621" width="16.7109375" style="61" customWidth="1"/>
    <col min="15622" max="15622" width="18.85546875" style="61" customWidth="1"/>
    <col min="15623" max="15623" width="17.85546875" style="61" customWidth="1"/>
    <col min="15624" max="15624" width="22.28515625" style="61" customWidth="1"/>
    <col min="15625" max="15625" width="5.5703125" style="61" customWidth="1"/>
    <col min="15626" max="15872" width="9.140625" style="61"/>
    <col min="15873" max="15873" width="13.5703125" style="61" customWidth="1"/>
    <col min="15874" max="15874" width="8.140625" style="61" customWidth="1"/>
    <col min="15875" max="15875" width="8.7109375" style="61" customWidth="1"/>
    <col min="15876" max="15876" width="23.140625" style="61" customWidth="1"/>
    <col min="15877" max="15877" width="16.7109375" style="61" customWidth="1"/>
    <col min="15878" max="15878" width="18.85546875" style="61" customWidth="1"/>
    <col min="15879" max="15879" width="17.85546875" style="61" customWidth="1"/>
    <col min="15880" max="15880" width="22.28515625" style="61" customWidth="1"/>
    <col min="15881" max="15881" width="5.5703125" style="61" customWidth="1"/>
    <col min="15882" max="16128" width="9.140625" style="61"/>
    <col min="16129" max="16129" width="13.5703125" style="61" customWidth="1"/>
    <col min="16130" max="16130" width="8.140625" style="61" customWidth="1"/>
    <col min="16131" max="16131" width="8.7109375" style="61" customWidth="1"/>
    <col min="16132" max="16132" width="23.140625" style="61" customWidth="1"/>
    <col min="16133" max="16133" width="16.7109375" style="61" customWidth="1"/>
    <col min="16134" max="16134" width="18.85546875" style="61" customWidth="1"/>
    <col min="16135" max="16135" width="17.85546875" style="61" customWidth="1"/>
    <col min="16136" max="16136" width="22.28515625" style="61" customWidth="1"/>
    <col min="16137" max="16137" width="5.5703125" style="61" customWidth="1"/>
    <col min="16138" max="16384" width="9.140625" style="61"/>
  </cols>
  <sheetData>
    <row r="1" spans="1:8" ht="26.45" customHeight="1">
      <c r="A1" s="423" t="s">
        <v>55</v>
      </c>
      <c r="B1" s="424"/>
      <c r="C1" s="424"/>
      <c r="D1" s="424"/>
      <c r="E1" s="424"/>
      <c r="F1" s="424"/>
      <c r="G1" s="424"/>
      <c r="H1" s="424"/>
    </row>
    <row r="2" spans="1:8" ht="26.45" customHeight="1">
      <c r="A2" s="62"/>
      <c r="B2" s="63"/>
      <c r="C2" s="63"/>
      <c r="D2" s="63"/>
      <c r="E2" s="63"/>
      <c r="F2" s="63"/>
      <c r="G2" s="63"/>
      <c r="H2" s="63"/>
    </row>
    <row r="3" spans="1:8" ht="26.45" customHeight="1">
      <c r="A3" s="64" t="s">
        <v>591</v>
      </c>
      <c r="B3" s="64"/>
      <c r="C3" s="64"/>
      <c r="D3" s="64"/>
      <c r="E3" s="65"/>
      <c r="F3" s="425">
        <f ca="1">TODAY()</f>
        <v>46030</v>
      </c>
      <c r="G3" s="425"/>
      <c r="H3" s="425"/>
    </row>
    <row r="4" spans="1:8" ht="26.45" customHeight="1">
      <c r="A4" s="63"/>
      <c r="B4" s="66"/>
      <c r="C4" s="66"/>
      <c r="D4" s="66"/>
      <c r="E4" s="66"/>
      <c r="F4" s="66"/>
      <c r="G4" s="66"/>
      <c r="H4" s="66"/>
    </row>
    <row r="5" spans="1:8" ht="26.45" customHeight="1">
      <c r="A5" s="426" t="s">
        <v>54</v>
      </c>
      <c r="B5" s="426"/>
      <c r="C5" s="67" t="s">
        <v>592</v>
      </c>
      <c r="D5" s="67"/>
      <c r="E5" s="67"/>
      <c r="F5" s="67"/>
      <c r="G5" s="67"/>
      <c r="H5" s="66"/>
    </row>
    <row r="6" spans="1:8" ht="26.45" customHeight="1">
      <c r="A6" s="63"/>
      <c r="B6" s="66"/>
      <c r="C6" s="66"/>
      <c r="D6" s="66"/>
      <c r="E6" s="66"/>
      <c r="F6" s="66"/>
      <c r="G6" s="66"/>
      <c r="H6" s="66"/>
    </row>
    <row r="7" spans="1:8" ht="26.45" customHeight="1">
      <c r="A7" s="426" t="s">
        <v>53</v>
      </c>
      <c r="B7" s="426"/>
      <c r="C7" s="68" t="s">
        <v>52</v>
      </c>
      <c r="D7" s="68" t="str">
        <f>NUMBERSTRING(D8,1)&amp;"원정-부가세 별도"</f>
        <v>칠천구백일십칠만오천칠백일십오원정-부가세 별도</v>
      </c>
      <c r="E7" s="67"/>
      <c r="F7" s="67"/>
      <c r="G7" s="67"/>
      <c r="H7" s="66"/>
    </row>
    <row r="8" spans="1:8" ht="26.45" customHeight="1">
      <c r="A8" s="63"/>
      <c r="B8" s="66"/>
      <c r="C8" s="69" t="s">
        <v>51</v>
      </c>
      <c r="D8" s="70">
        <f>' 갑지-1'!L22</f>
        <v>79175715</v>
      </c>
      <c r="E8" s="66" t="s">
        <v>50</v>
      </c>
      <c r="F8" s="66"/>
      <c r="G8" s="66"/>
      <c r="H8" s="66"/>
    </row>
    <row r="9" spans="1:8" ht="26.45" customHeight="1">
      <c r="A9" s="63"/>
      <c r="B9" s="66"/>
      <c r="C9" s="66"/>
      <c r="D9" s="66"/>
      <c r="E9" s="66"/>
      <c r="F9" s="66"/>
      <c r="G9" s="66"/>
      <c r="H9" s="66"/>
    </row>
    <row r="10" spans="1:8" ht="26.45" customHeight="1">
      <c r="A10" s="66" t="s">
        <v>49</v>
      </c>
      <c r="B10" s="66"/>
      <c r="C10" s="66"/>
      <c r="D10" s="66"/>
      <c r="E10" s="66"/>
      <c r="F10" s="66"/>
      <c r="G10" s="66"/>
      <c r="H10" s="66"/>
    </row>
    <row r="11" spans="1:8" ht="26.45" customHeight="1">
      <c r="A11" s="63"/>
      <c r="B11" s="63"/>
      <c r="C11" s="63"/>
      <c r="D11" s="63"/>
      <c r="E11" s="66"/>
      <c r="F11" s="66"/>
      <c r="G11" s="66"/>
      <c r="H11" s="66"/>
    </row>
    <row r="12" spans="1:8" ht="26.4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26.45" customHeight="1">
      <c r="A13" s="195" t="s">
        <v>48</v>
      </c>
      <c r="B13" s="196"/>
      <c r="C13" s="71"/>
      <c r="D13" s="71"/>
      <c r="E13" s="71"/>
      <c r="F13" s="197"/>
      <c r="G13" s="197"/>
      <c r="H13" s="198"/>
    </row>
    <row r="14" spans="1:8" ht="26.45" customHeight="1">
      <c r="A14" s="199" t="s">
        <v>47</v>
      </c>
      <c r="B14" s="200" t="s">
        <v>217</v>
      </c>
      <c r="C14" s="196"/>
      <c r="D14" s="66"/>
      <c r="E14" s="72"/>
      <c r="F14" s="66"/>
      <c r="G14" s="66"/>
      <c r="H14" s="201"/>
    </row>
    <row r="15" spans="1:8" ht="26.45" customHeight="1">
      <c r="A15" s="199" t="s">
        <v>16</v>
      </c>
      <c r="B15" s="200" t="s">
        <v>175</v>
      </c>
      <c r="C15" s="71"/>
      <c r="D15" s="71"/>
      <c r="E15" s="71"/>
      <c r="F15" s="71"/>
      <c r="G15" s="71"/>
      <c r="H15" s="202" t="s">
        <v>46</v>
      </c>
    </row>
    <row r="16" spans="1:8" ht="26.45" customHeight="1">
      <c r="A16" s="199" t="s">
        <v>17</v>
      </c>
      <c r="B16" s="200"/>
      <c r="C16" s="71"/>
      <c r="D16" s="71"/>
      <c r="E16" s="71"/>
      <c r="F16" s="71"/>
      <c r="G16" s="71"/>
      <c r="H16" s="202"/>
    </row>
    <row r="17" spans="1:8" ht="26.45" customHeight="1">
      <c r="A17" s="199" t="s">
        <v>18</v>
      </c>
      <c r="B17" s="200"/>
      <c r="C17" s="71"/>
      <c r="D17" s="71"/>
      <c r="E17" s="71"/>
      <c r="F17" s="71"/>
      <c r="G17" s="71"/>
      <c r="H17" s="202"/>
    </row>
    <row r="18" spans="1:8" ht="26.45" customHeight="1">
      <c r="A18" s="199" t="s">
        <v>19</v>
      </c>
      <c r="B18" s="200"/>
      <c r="C18" s="71"/>
      <c r="D18" s="71"/>
      <c r="E18" s="71"/>
      <c r="F18" s="71"/>
      <c r="G18" s="71"/>
      <c r="H18" s="202"/>
    </row>
    <row r="19" spans="1:8" ht="26.45" customHeight="1">
      <c r="A19" s="199" t="s">
        <v>20</v>
      </c>
      <c r="B19" s="200"/>
      <c r="C19" s="71"/>
      <c r="D19" s="71"/>
      <c r="E19" s="71"/>
      <c r="F19" s="71"/>
      <c r="G19" s="71"/>
      <c r="H19" s="202"/>
    </row>
    <row r="20" spans="1:8" ht="26.45" customHeight="1">
      <c r="A20" s="203" t="s">
        <v>45</v>
      </c>
      <c r="B20" s="204"/>
      <c r="C20" s="205"/>
      <c r="D20" s="205"/>
      <c r="E20" s="205"/>
      <c r="F20" s="206"/>
      <c r="G20" s="206"/>
      <c r="H20" s="207"/>
    </row>
    <row r="21" spans="1:8" ht="26.45" customHeight="1">
      <c r="A21" s="71"/>
      <c r="B21" s="73"/>
      <c r="C21" s="73"/>
      <c r="D21" s="73"/>
      <c r="E21" s="74"/>
      <c r="F21" s="74"/>
      <c r="G21" s="427" t="s">
        <v>588</v>
      </c>
      <c r="H21" s="427"/>
    </row>
    <row r="22" spans="1:8" ht="26.45" customHeight="1">
      <c r="A22" s="71"/>
      <c r="B22" s="75"/>
      <c r="C22" s="75"/>
      <c r="D22" s="73"/>
      <c r="E22" s="74"/>
      <c r="F22" s="74"/>
      <c r="G22" s="72" t="s">
        <v>587</v>
      </c>
      <c r="H22" s="73"/>
    </row>
    <row r="23" spans="1:8" ht="26.45" customHeight="1">
      <c r="A23" s="71"/>
      <c r="B23" s="73"/>
      <c r="C23" s="73"/>
      <c r="D23" s="73"/>
      <c r="E23" s="74"/>
      <c r="F23" s="74"/>
      <c r="G23" s="72"/>
      <c r="H23" s="73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M32"/>
  <sheetViews>
    <sheetView view="pageBreakPreview" topLeftCell="A3" zoomScaleSheetLayoutView="100" workbookViewId="0">
      <selection activeCell="M23" sqref="M23"/>
    </sheetView>
  </sheetViews>
  <sheetFormatPr defaultColWidth="9.140625" defaultRowHeight="19.5" customHeight="1" outlineLevelCol="1"/>
  <cols>
    <col min="1" max="1" width="19.28515625" style="152" bestFit="1" customWidth="1"/>
    <col min="2" max="2" width="32.7109375" style="153" customWidth="1"/>
    <col min="3" max="3" width="24.5703125" style="107" customWidth="1"/>
    <col min="4" max="5" width="8.7109375" style="154" customWidth="1"/>
    <col min="6" max="6" width="21.5703125" style="155" customWidth="1"/>
    <col min="7" max="7" width="14.7109375" style="156" customWidth="1" outlineLevel="1"/>
    <col min="8" max="8" width="17.7109375" style="156" customWidth="1" outlineLevel="1"/>
    <col min="9" max="9" width="14.7109375" style="156" customWidth="1" outlineLevel="1"/>
    <col min="10" max="10" width="17.7109375" style="156" customWidth="1" outlineLevel="1"/>
    <col min="11" max="11" width="14.7109375" style="156" customWidth="1"/>
    <col min="12" max="12" width="17.7109375" style="156" customWidth="1"/>
    <col min="13" max="13" width="23.28515625" style="157" customWidth="1"/>
    <col min="14" max="16384" width="9.140625" style="98"/>
  </cols>
  <sheetData>
    <row r="1" spans="1:13" s="76" customFormat="1" ht="35.1" customHeight="1">
      <c r="A1" s="430" t="s">
        <v>623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</row>
    <row r="2" spans="1:13" s="76" customFormat="1" ht="24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s="76" customFormat="1" ht="24" customHeight="1">
      <c r="A3" s="175">
        <f ca="1">TODAY()</f>
        <v>46030</v>
      </c>
      <c r="B3" s="78"/>
      <c r="C3" s="78"/>
      <c r="D3" s="78"/>
      <c r="E3" s="78"/>
      <c r="F3" s="178"/>
      <c r="G3" s="78"/>
      <c r="H3" s="78"/>
      <c r="I3" s="78"/>
      <c r="J3" s="78"/>
      <c r="K3" s="78"/>
      <c r="L3" s="78"/>
      <c r="M3" s="78"/>
    </row>
    <row r="4" spans="1:13" s="79" customFormat="1" ht="18" customHeight="1">
      <c r="A4" s="428" t="s">
        <v>10</v>
      </c>
      <c r="B4" s="431" t="s">
        <v>4</v>
      </c>
      <c r="C4" s="428" t="s">
        <v>5</v>
      </c>
      <c r="D4" s="428" t="s">
        <v>35</v>
      </c>
      <c r="E4" s="428" t="s">
        <v>6</v>
      </c>
      <c r="F4" s="433" t="s">
        <v>7</v>
      </c>
      <c r="G4" s="435" t="s">
        <v>56</v>
      </c>
      <c r="H4" s="435"/>
      <c r="I4" s="435" t="s">
        <v>57</v>
      </c>
      <c r="J4" s="435"/>
      <c r="K4" s="435" t="s">
        <v>58</v>
      </c>
      <c r="L4" s="435"/>
      <c r="M4" s="428" t="s">
        <v>8</v>
      </c>
    </row>
    <row r="5" spans="1:13" s="79" customFormat="1" ht="18" customHeight="1">
      <c r="A5" s="429"/>
      <c r="B5" s="432"/>
      <c r="C5" s="429"/>
      <c r="D5" s="429"/>
      <c r="E5" s="429"/>
      <c r="F5" s="434"/>
      <c r="G5" s="80" t="s">
        <v>0</v>
      </c>
      <c r="H5" s="80" t="s">
        <v>1</v>
      </c>
      <c r="I5" s="80" t="s">
        <v>0</v>
      </c>
      <c r="J5" s="80" t="s">
        <v>1</v>
      </c>
      <c r="K5" s="80" t="s">
        <v>0</v>
      </c>
      <c r="L5" s="80" t="s">
        <v>1</v>
      </c>
      <c r="M5" s="429"/>
    </row>
    <row r="6" spans="1:13" s="89" customFormat="1" ht="18" customHeight="1">
      <c r="A6" s="81" t="s">
        <v>14</v>
      </c>
      <c r="B6" s="82" t="s">
        <v>624</v>
      </c>
      <c r="C6" s="83"/>
      <c r="D6" s="84"/>
      <c r="E6" s="85"/>
      <c r="F6" s="86"/>
      <c r="G6" s="87"/>
      <c r="H6" s="87"/>
      <c r="I6" s="87"/>
      <c r="J6" s="87"/>
      <c r="K6" s="87"/>
      <c r="L6" s="87"/>
      <c r="M6" s="88"/>
    </row>
    <row r="7" spans="1:13" ht="18" customHeight="1">
      <c r="A7" s="90" t="s">
        <v>42</v>
      </c>
      <c r="B7" s="91" t="s">
        <v>151</v>
      </c>
      <c r="C7" s="92"/>
      <c r="D7" s="93"/>
      <c r="E7" s="94" t="s">
        <v>34</v>
      </c>
      <c r="F7" s="95">
        <v>1</v>
      </c>
      <c r="G7" s="96"/>
      <c r="H7" s="96">
        <f>상세!H48</f>
        <v>31939500</v>
      </c>
      <c r="I7" s="96"/>
      <c r="J7" s="96">
        <f>상세!J48</f>
        <v>28081000</v>
      </c>
      <c r="K7" s="96"/>
      <c r="L7" s="96">
        <f>상세!L48</f>
        <v>60000500</v>
      </c>
      <c r="M7" s="97"/>
    </row>
    <row r="8" spans="1:13" ht="18" customHeight="1">
      <c r="A8" s="90" t="s">
        <v>26</v>
      </c>
      <c r="B8" s="91" t="s">
        <v>173</v>
      </c>
      <c r="C8" s="92"/>
      <c r="D8" s="93"/>
      <c r="E8" s="94" t="s">
        <v>34</v>
      </c>
      <c r="F8" s="95">
        <v>1</v>
      </c>
      <c r="G8" s="96"/>
      <c r="H8" s="96">
        <f>상세!H33</f>
        <v>2510000</v>
      </c>
      <c r="I8" s="96"/>
      <c r="J8" s="96">
        <f>상세!J33</f>
        <v>1860000</v>
      </c>
      <c r="K8" s="96"/>
      <c r="L8" s="96">
        <f>상세!L33</f>
        <v>4370000</v>
      </c>
      <c r="M8" s="97"/>
    </row>
    <row r="9" spans="1:13" ht="18" customHeight="1">
      <c r="A9" s="90"/>
      <c r="B9" s="91"/>
      <c r="C9" s="92"/>
      <c r="D9" s="93"/>
      <c r="E9" s="94"/>
      <c r="F9" s="95"/>
      <c r="G9" s="96"/>
      <c r="H9" s="96"/>
      <c r="I9" s="96"/>
      <c r="J9" s="96"/>
      <c r="K9" s="96"/>
      <c r="L9" s="96"/>
      <c r="M9" s="97"/>
    </row>
    <row r="10" spans="1:13" s="106" customFormat="1" ht="18" customHeight="1">
      <c r="A10" s="99"/>
      <c r="B10" s="99" t="s">
        <v>97</v>
      </c>
      <c r="C10" s="100"/>
      <c r="D10" s="101"/>
      <c r="E10" s="102"/>
      <c r="F10" s="103"/>
      <c r="G10" s="104"/>
      <c r="H10" s="104">
        <f>상세!H10</f>
        <v>34449500</v>
      </c>
      <c r="I10" s="104"/>
      <c r="J10" s="104">
        <f>상세!J10</f>
        <v>29941000</v>
      </c>
      <c r="K10" s="104"/>
      <c r="L10" s="104">
        <f>상세!L10</f>
        <v>64370500</v>
      </c>
      <c r="M10" s="105"/>
    </row>
    <row r="11" spans="1:13" ht="18" customHeight="1">
      <c r="A11" s="181"/>
      <c r="B11" s="182"/>
      <c r="C11" s="183"/>
      <c r="D11" s="184"/>
      <c r="E11" s="185"/>
      <c r="F11" s="186"/>
      <c r="G11" s="187"/>
      <c r="H11" s="187"/>
      <c r="I11" s="96"/>
      <c r="J11" s="96"/>
      <c r="K11" s="96"/>
      <c r="L11" s="96"/>
      <c r="M11" s="97"/>
    </row>
    <row r="12" spans="1:13" ht="18" customHeight="1">
      <c r="A12" s="378" t="s">
        <v>23</v>
      </c>
      <c r="B12" s="92" t="s">
        <v>156</v>
      </c>
      <c r="C12" s="379"/>
      <c r="D12" s="380"/>
      <c r="E12" s="158">
        <v>0.06</v>
      </c>
      <c r="F12" s="108">
        <v>1</v>
      </c>
      <c r="G12" s="368"/>
      <c r="H12" s="369"/>
      <c r="I12" s="370"/>
      <c r="J12" s="369"/>
      <c r="K12" s="369"/>
      <c r="L12" s="110">
        <f>L10*E12</f>
        <v>3862230</v>
      </c>
      <c r="M12" s="371"/>
    </row>
    <row r="13" spans="1:13" ht="18" hidden="1" customHeight="1">
      <c r="A13" s="113" t="s">
        <v>23</v>
      </c>
      <c r="B13" s="92" t="s">
        <v>150</v>
      </c>
      <c r="C13" s="92"/>
      <c r="D13" s="158"/>
      <c r="E13" s="158">
        <v>0</v>
      </c>
      <c r="F13" s="108">
        <v>1</v>
      </c>
      <c r="G13" s="109"/>
      <c r="H13" s="110"/>
      <c r="I13" s="179"/>
      <c r="J13" s="110"/>
      <c r="K13" s="110"/>
      <c r="L13" s="110">
        <f>L10*E13</f>
        <v>0</v>
      </c>
      <c r="M13" s="97"/>
    </row>
    <row r="14" spans="1:13" ht="18" customHeight="1">
      <c r="A14" s="113" t="s">
        <v>23</v>
      </c>
      <c r="B14" s="92" t="s">
        <v>176</v>
      </c>
      <c r="C14" s="92"/>
      <c r="D14" s="158"/>
      <c r="E14" s="158">
        <v>0.05</v>
      </c>
      <c r="F14" s="108">
        <v>1</v>
      </c>
      <c r="G14" s="109"/>
      <c r="H14" s="110"/>
      <c r="I14" s="179"/>
      <c r="J14" s="110"/>
      <c r="K14" s="110"/>
      <c r="L14" s="110">
        <f>L10*E14</f>
        <v>3218525</v>
      </c>
      <c r="M14" s="97"/>
    </row>
    <row r="15" spans="1:13" ht="18" customHeight="1">
      <c r="A15" s="113" t="s">
        <v>23</v>
      </c>
      <c r="B15" s="92" t="s">
        <v>177</v>
      </c>
      <c r="C15" s="92"/>
      <c r="D15" s="91"/>
      <c r="E15" s="158">
        <v>0.1</v>
      </c>
      <c r="F15" s="108">
        <v>1</v>
      </c>
      <c r="G15" s="109"/>
      <c r="H15" s="110"/>
      <c r="I15" s="179"/>
      <c r="J15" s="110"/>
      <c r="K15" s="110"/>
      <c r="L15" s="110">
        <f>L10*E15</f>
        <v>6437050</v>
      </c>
      <c r="M15" s="97"/>
    </row>
    <row r="16" spans="1:13" ht="18" customHeight="1">
      <c r="A16" s="113" t="s">
        <v>422</v>
      </c>
      <c r="B16" s="92" t="s">
        <v>423</v>
      </c>
      <c r="C16" s="92"/>
      <c r="D16" s="91"/>
      <c r="E16" s="158">
        <v>0.02</v>
      </c>
      <c r="F16" s="108">
        <v>1</v>
      </c>
      <c r="G16" s="109"/>
      <c r="H16" s="110"/>
      <c r="I16" s="179"/>
      <c r="J16" s="110"/>
      <c r="K16" s="110"/>
      <c r="L16" s="110">
        <f>L10*E16</f>
        <v>1287410</v>
      </c>
      <c r="M16" s="97"/>
    </row>
    <row r="17" spans="1:13" ht="18" customHeight="1">
      <c r="A17" s="113"/>
      <c r="B17" s="92"/>
      <c r="C17" s="92"/>
      <c r="D17" s="91"/>
      <c r="E17" s="94"/>
      <c r="F17" s="108"/>
      <c r="G17" s="109"/>
      <c r="H17" s="110"/>
      <c r="I17" s="179"/>
      <c r="J17" s="110"/>
      <c r="K17" s="110"/>
      <c r="L17" s="111"/>
      <c r="M17" s="97"/>
    </row>
    <row r="18" spans="1:13" ht="18" customHeight="1">
      <c r="A18" s="113"/>
      <c r="B18" s="92"/>
      <c r="C18" s="112"/>
      <c r="D18" s="113"/>
      <c r="E18" s="114"/>
      <c r="F18" s="108"/>
      <c r="G18" s="109"/>
      <c r="H18" s="110"/>
      <c r="I18" s="179"/>
      <c r="J18" s="110"/>
      <c r="K18" s="110"/>
      <c r="L18" s="110"/>
      <c r="M18" s="97"/>
    </row>
    <row r="19" spans="1:13" s="122" customFormat="1" ht="18" customHeight="1">
      <c r="A19" s="116"/>
      <c r="B19" s="99" t="s">
        <v>152</v>
      </c>
      <c r="C19" s="115"/>
      <c r="D19" s="116"/>
      <c r="E19" s="117"/>
      <c r="F19" s="118"/>
      <c r="G19" s="119"/>
      <c r="H19" s="120"/>
      <c r="I19" s="180"/>
      <c r="J19" s="120"/>
      <c r="K19" s="120"/>
      <c r="L19" s="120">
        <f>SUM(L12:L18)</f>
        <v>14805215</v>
      </c>
      <c r="M19" s="121"/>
    </row>
    <row r="20" spans="1:13" s="122" customFormat="1" ht="18" customHeight="1">
      <c r="A20" s="116"/>
      <c r="B20" s="99"/>
      <c r="C20" s="115"/>
      <c r="D20" s="116"/>
      <c r="E20" s="117"/>
      <c r="F20" s="118"/>
      <c r="G20" s="119"/>
      <c r="H20" s="120"/>
      <c r="I20" s="180"/>
      <c r="J20" s="120"/>
      <c r="K20" s="120"/>
      <c r="L20" s="120"/>
      <c r="M20" s="121"/>
    </row>
    <row r="21" spans="1:13" ht="18" customHeight="1">
      <c r="A21" s="188"/>
      <c r="B21" s="189"/>
      <c r="C21" s="190"/>
      <c r="D21" s="93"/>
      <c r="E21" s="94"/>
      <c r="F21" s="95"/>
      <c r="G21" s="96"/>
      <c r="H21" s="96"/>
      <c r="I21" s="96"/>
      <c r="J21" s="96"/>
      <c r="K21" s="96" t="s">
        <v>165</v>
      </c>
      <c r="L21" s="96"/>
      <c r="M21" s="97"/>
    </row>
    <row r="22" spans="1:13" s="130" customFormat="1" ht="18" customHeight="1">
      <c r="A22" s="123"/>
      <c r="B22" s="123" t="s">
        <v>153</v>
      </c>
      <c r="C22" s="124"/>
      <c r="D22" s="125"/>
      <c r="E22" s="126"/>
      <c r="F22" s="127"/>
      <c r="G22" s="128"/>
      <c r="H22" s="128"/>
      <c r="I22" s="128"/>
      <c r="J22" s="128"/>
      <c r="K22" s="128"/>
      <c r="L22" s="327">
        <f>L10+L19+L20-L21</f>
        <v>79175715</v>
      </c>
      <c r="M22" s="129" t="s">
        <v>216</v>
      </c>
    </row>
    <row r="23" spans="1:13" ht="18" customHeight="1">
      <c r="A23" s="131"/>
      <c r="B23" s="132"/>
      <c r="C23" s="133"/>
      <c r="D23" s="134"/>
      <c r="E23" s="134"/>
      <c r="F23" s="135"/>
      <c r="G23" s="136"/>
      <c r="H23" s="136"/>
      <c r="I23" s="136"/>
      <c r="J23" s="136"/>
      <c r="K23" s="136"/>
      <c r="L23" s="136">
        <f>L22*1.1</f>
        <v>87093286.5</v>
      </c>
      <c r="M23" s="137"/>
    </row>
    <row r="24" spans="1:13" ht="18" customHeight="1">
      <c r="A24" s="138"/>
      <c r="B24" s="139"/>
      <c r="C24" s="140"/>
      <c r="D24" s="141"/>
      <c r="E24" s="141"/>
      <c r="F24" s="142"/>
      <c r="G24" s="143"/>
      <c r="H24" s="143"/>
      <c r="I24" s="143"/>
      <c r="J24" s="143"/>
      <c r="K24" s="143"/>
      <c r="L24" s="143"/>
      <c r="M24" s="144"/>
    </row>
    <row r="25" spans="1:13" ht="18" customHeight="1">
      <c r="A25" s="138"/>
      <c r="B25" s="139"/>
      <c r="C25" s="140"/>
      <c r="D25" s="141"/>
      <c r="E25" s="141"/>
      <c r="F25" s="142"/>
      <c r="G25" s="143"/>
      <c r="H25" s="143"/>
      <c r="I25" s="143"/>
      <c r="J25" s="143"/>
      <c r="K25" s="143"/>
      <c r="L25" s="143"/>
      <c r="M25" s="144"/>
    </row>
    <row r="26" spans="1:13" ht="18" customHeight="1">
      <c r="A26" s="138"/>
      <c r="B26" s="139"/>
      <c r="C26" s="140"/>
      <c r="D26" s="141"/>
      <c r="E26" s="141"/>
      <c r="F26" s="142"/>
      <c r="G26" s="143"/>
      <c r="H26" s="143"/>
      <c r="I26" s="143"/>
      <c r="J26" s="143"/>
      <c r="K26" s="143"/>
      <c r="L26" s="143"/>
      <c r="M26" s="144"/>
    </row>
    <row r="27" spans="1:13" ht="18" customHeight="1">
      <c r="A27" s="138"/>
      <c r="B27" s="139"/>
      <c r="C27" s="140"/>
      <c r="D27" s="141"/>
      <c r="E27" s="141"/>
      <c r="F27" s="142"/>
      <c r="G27" s="143"/>
      <c r="H27" s="143"/>
      <c r="I27" s="143"/>
      <c r="J27" s="143"/>
      <c r="K27" s="143"/>
      <c r="L27" s="143"/>
      <c r="M27" s="144"/>
    </row>
    <row r="28" spans="1:13" ht="18" customHeight="1">
      <c r="A28" s="138" t="s">
        <v>38</v>
      </c>
      <c r="B28" s="139" t="s">
        <v>44</v>
      </c>
      <c r="C28" s="140"/>
      <c r="D28" s="141"/>
      <c r="E28" s="141"/>
      <c r="F28" s="142"/>
      <c r="G28" s="143"/>
      <c r="H28" s="143"/>
      <c r="I28" s="143"/>
      <c r="J28" s="143"/>
      <c r="K28" s="143"/>
      <c r="L28" s="143"/>
      <c r="M28" s="144"/>
    </row>
    <row r="29" spans="1:13" ht="18" customHeight="1">
      <c r="A29" s="138" t="s">
        <v>41</v>
      </c>
      <c r="B29" s="139" t="s">
        <v>217</v>
      </c>
      <c r="C29" s="140"/>
      <c r="D29" s="141"/>
      <c r="E29" s="141"/>
      <c r="F29" s="142"/>
      <c r="G29" s="143"/>
      <c r="H29" s="143"/>
      <c r="I29" s="143"/>
      <c r="J29" s="143"/>
      <c r="K29" s="143"/>
      <c r="L29" s="143"/>
      <c r="M29" s="144"/>
    </row>
    <row r="30" spans="1:13" ht="18" customHeight="1">
      <c r="A30" s="161" t="s">
        <v>41</v>
      </c>
      <c r="B30" s="139" t="s">
        <v>174</v>
      </c>
      <c r="C30" s="140"/>
      <c r="D30" s="141"/>
      <c r="E30" s="141"/>
      <c r="F30" s="142"/>
      <c r="G30" s="143"/>
      <c r="H30" s="143"/>
      <c r="I30" s="143"/>
      <c r="J30" s="143"/>
      <c r="K30" s="143"/>
      <c r="L30" s="143"/>
      <c r="M30" s="144"/>
    </row>
    <row r="31" spans="1:13" ht="18" customHeight="1">
      <c r="A31" s="138"/>
      <c r="B31" s="139"/>
      <c r="C31" s="140"/>
      <c r="D31" s="141"/>
      <c r="E31" s="141"/>
      <c r="F31" s="142"/>
      <c r="G31" s="143"/>
      <c r="H31" s="143"/>
      <c r="I31" s="143"/>
      <c r="J31" s="143"/>
      <c r="K31" s="143"/>
      <c r="L31" s="143"/>
      <c r="M31" s="144"/>
    </row>
    <row r="32" spans="1:13" ht="18" customHeight="1">
      <c r="A32" s="145"/>
      <c r="B32" s="146"/>
      <c r="C32" s="147"/>
      <c r="D32" s="148"/>
      <c r="E32" s="148"/>
      <c r="F32" s="149"/>
      <c r="G32" s="150"/>
      <c r="H32" s="150"/>
      <c r="I32" s="150"/>
      <c r="J32" s="150"/>
      <c r="K32" s="150"/>
      <c r="L32" s="150"/>
      <c r="M32" s="151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8" scale="9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V377"/>
  <sheetViews>
    <sheetView tabSelected="1" view="pageBreakPreview" zoomScaleSheetLayoutView="100" workbookViewId="0">
      <pane ySplit="3" topLeftCell="A263" activePane="bottomLeft" state="frozen"/>
      <selection activeCell="C5" sqref="C5"/>
      <selection pane="bottomLeft" activeCell="G340" sqref="G340"/>
    </sheetView>
  </sheetViews>
  <sheetFormatPr defaultColWidth="9.140625" defaultRowHeight="19.5" customHeight="1"/>
  <cols>
    <col min="1" max="1" width="8.85546875" style="56" bestFit="1" customWidth="1"/>
    <col min="2" max="2" width="32.7109375" style="57" customWidth="1"/>
    <col min="3" max="3" width="45.140625" style="56" bestFit="1" customWidth="1"/>
    <col min="4" max="4" width="19.7109375" style="58" customWidth="1"/>
    <col min="5" max="5" width="8.7109375" style="58" customWidth="1"/>
    <col min="6" max="6" width="13" style="59" customWidth="1"/>
    <col min="7" max="7" width="14.7109375" style="60" customWidth="1"/>
    <col min="8" max="8" width="18" style="60" customWidth="1"/>
    <col min="9" max="9" width="14.7109375" style="60" customWidth="1"/>
    <col min="10" max="10" width="18" style="60" customWidth="1"/>
    <col min="11" max="11" width="14.7109375" style="60" customWidth="1"/>
    <col min="12" max="12" width="18" style="60" customWidth="1"/>
    <col min="13" max="13" width="20.5703125" style="255" customWidth="1"/>
    <col min="14" max="14" width="0" style="8" hidden="1" customWidth="1"/>
    <col min="15" max="15" width="13.140625" style="163" hidden="1" customWidth="1"/>
    <col min="16" max="16" width="13.140625" style="168" hidden="1" customWidth="1"/>
    <col min="17" max="17" width="11" style="8" bestFit="1" customWidth="1"/>
    <col min="18" max="16384" width="9.140625" style="8"/>
  </cols>
  <sheetData>
    <row r="1" spans="1:17" s="1" customFormat="1" ht="35.1" customHeight="1">
      <c r="A1" s="440" t="s">
        <v>623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O1" s="162"/>
      <c r="P1" s="167"/>
    </row>
    <row r="2" spans="1:17" s="263" customFormat="1" ht="18" customHeight="1">
      <c r="A2" s="441" t="s">
        <v>539</v>
      </c>
      <c r="B2" s="442" t="s">
        <v>4</v>
      </c>
      <c r="C2" s="443" t="s">
        <v>119</v>
      </c>
      <c r="D2" s="443" t="s">
        <v>154</v>
      </c>
      <c r="E2" s="443" t="s">
        <v>6</v>
      </c>
      <c r="F2" s="444" t="s">
        <v>7</v>
      </c>
      <c r="G2" s="445" t="s">
        <v>2</v>
      </c>
      <c r="H2" s="445"/>
      <c r="I2" s="445" t="s">
        <v>9</v>
      </c>
      <c r="J2" s="445"/>
      <c r="K2" s="445" t="s">
        <v>3</v>
      </c>
      <c r="L2" s="445"/>
      <c r="M2" s="438" t="s">
        <v>8</v>
      </c>
      <c r="O2" s="264"/>
      <c r="P2" s="265"/>
    </row>
    <row r="3" spans="1:17" s="263" customFormat="1" ht="18" customHeight="1">
      <c r="A3" s="441"/>
      <c r="B3" s="442"/>
      <c r="C3" s="443"/>
      <c r="D3" s="443"/>
      <c r="E3" s="443"/>
      <c r="F3" s="444"/>
      <c r="G3" s="270" t="s">
        <v>0</v>
      </c>
      <c r="H3" s="270" t="s">
        <v>1</v>
      </c>
      <c r="I3" s="270" t="s">
        <v>0</v>
      </c>
      <c r="J3" s="270" t="s">
        <v>1</v>
      </c>
      <c r="K3" s="270" t="s">
        <v>0</v>
      </c>
      <c r="L3" s="270" t="s">
        <v>1</v>
      </c>
      <c r="M3" s="439"/>
      <c r="O3" s="266" t="s">
        <v>181</v>
      </c>
      <c r="P3" s="265"/>
    </row>
    <row r="4" spans="1:17" ht="18" customHeight="1">
      <c r="A4" s="2"/>
      <c r="B4" s="3"/>
      <c r="C4" s="361"/>
      <c r="D4" s="4"/>
      <c r="E4" s="4"/>
      <c r="F4" s="5"/>
      <c r="G4" s="6"/>
      <c r="H4" s="6"/>
      <c r="I4" s="6"/>
      <c r="J4" s="6"/>
      <c r="K4" s="6"/>
      <c r="L4" s="7"/>
      <c r="M4" s="177"/>
    </row>
    <row r="5" spans="1:17" ht="18" customHeight="1">
      <c r="A5" s="9"/>
      <c r="B5" s="10"/>
      <c r="C5" s="9"/>
      <c r="D5" s="4"/>
      <c r="E5" s="4"/>
      <c r="F5" s="5"/>
      <c r="G5" s="6"/>
      <c r="H5" s="6"/>
      <c r="I5" s="6"/>
      <c r="J5" s="6"/>
      <c r="K5" s="6"/>
      <c r="L5" s="7"/>
      <c r="M5" s="177"/>
    </row>
    <row r="6" spans="1:17" s="17" customFormat="1" ht="18" customHeight="1">
      <c r="A6" s="11" t="s">
        <v>14</v>
      </c>
      <c r="B6" s="12" t="s">
        <v>624</v>
      </c>
      <c r="C6" s="11"/>
      <c r="D6" s="13"/>
      <c r="E6" s="13"/>
      <c r="F6" s="14"/>
      <c r="G6" s="15"/>
      <c r="H6" s="15"/>
      <c r="I6" s="15"/>
      <c r="J6" s="15"/>
      <c r="K6" s="15"/>
      <c r="L6" s="16"/>
      <c r="M6" s="256"/>
      <c r="O6" s="164"/>
      <c r="P6" s="169"/>
    </row>
    <row r="7" spans="1:17" ht="18" customHeight="1">
      <c r="A7" s="9" t="s">
        <v>22</v>
      </c>
      <c r="B7" s="10" t="str">
        <f>B15</f>
        <v>가설공사</v>
      </c>
      <c r="C7" s="9"/>
      <c r="D7" s="4"/>
      <c r="E7" s="4" t="s">
        <v>34</v>
      </c>
      <c r="F7" s="5">
        <v>1</v>
      </c>
      <c r="G7" s="6"/>
      <c r="H7" s="6">
        <f>H33</f>
        <v>2510000</v>
      </c>
      <c r="I7" s="6"/>
      <c r="J7" s="6">
        <f>J33</f>
        <v>1860000</v>
      </c>
      <c r="K7" s="6"/>
      <c r="L7" s="7">
        <f>L33</f>
        <v>4370000</v>
      </c>
      <c r="M7" s="177"/>
    </row>
    <row r="8" spans="1:17" ht="18" customHeight="1">
      <c r="A8" s="9" t="s">
        <v>26</v>
      </c>
      <c r="B8" s="10" t="str">
        <f>B35</f>
        <v>인테리어 공사</v>
      </c>
      <c r="C8" s="9"/>
      <c r="D8" s="4"/>
      <c r="E8" s="4" t="s">
        <v>34</v>
      </c>
      <c r="F8" s="5">
        <v>1</v>
      </c>
      <c r="G8" s="6"/>
      <c r="H8" s="6">
        <f>H48</f>
        <v>31939500</v>
      </c>
      <c r="I8" s="6"/>
      <c r="J8" s="6">
        <f>J48</f>
        <v>28081000</v>
      </c>
      <c r="K8" s="6"/>
      <c r="L8" s="7">
        <f>L48</f>
        <v>60000500</v>
      </c>
      <c r="M8" s="177"/>
    </row>
    <row r="9" spans="1:17" ht="18" customHeight="1">
      <c r="A9" s="9"/>
      <c r="B9" s="10"/>
      <c r="C9" s="9"/>
      <c r="D9" s="4"/>
      <c r="E9" s="4"/>
      <c r="F9" s="5"/>
      <c r="G9" s="6"/>
      <c r="H9" s="6"/>
      <c r="I9" s="6"/>
      <c r="J9" s="6"/>
      <c r="K9" s="6"/>
      <c r="L9" s="7"/>
      <c r="M9" s="177"/>
    </row>
    <row r="10" spans="1:17" s="18" customFormat="1" ht="18" customHeight="1">
      <c r="A10" s="215"/>
      <c r="B10" s="215" t="s">
        <v>97</v>
      </c>
      <c r="C10" s="215"/>
      <c r="D10" s="216"/>
      <c r="E10" s="216"/>
      <c r="F10" s="217"/>
      <c r="G10" s="218"/>
      <c r="H10" s="218">
        <f>SUM(H7:H9)</f>
        <v>34449500</v>
      </c>
      <c r="I10" s="218"/>
      <c r="J10" s="218">
        <f>SUM(J7:J9)</f>
        <v>29941000</v>
      </c>
      <c r="K10" s="218"/>
      <c r="L10" s="219">
        <f>SUM(L7:L9)</f>
        <v>64370500</v>
      </c>
      <c r="M10" s="257"/>
      <c r="O10" s="220"/>
      <c r="P10" s="221"/>
    </row>
    <row r="11" spans="1:17" s="227" customFormat="1" ht="18" customHeight="1">
      <c r="A11" s="9"/>
      <c r="B11" s="10"/>
      <c r="C11" s="9"/>
      <c r="D11" s="209"/>
      <c r="E11" s="209"/>
      <c r="F11" s="210"/>
      <c r="G11" s="226"/>
      <c r="H11" s="226"/>
      <c r="I11" s="226"/>
      <c r="J11" s="226"/>
      <c r="K11" s="226"/>
      <c r="L11" s="226"/>
      <c r="M11" s="258"/>
      <c r="P11" s="228"/>
    </row>
    <row r="12" spans="1:17" s="227" customFormat="1" ht="18" customHeight="1">
      <c r="A12" s="9"/>
      <c r="B12" s="10"/>
      <c r="C12" s="9"/>
      <c r="D12" s="209"/>
      <c r="E12" s="209"/>
      <c r="F12" s="210"/>
      <c r="G12" s="226"/>
      <c r="H12" s="226"/>
      <c r="I12" s="226"/>
      <c r="J12" s="226"/>
      <c r="K12" s="226"/>
      <c r="L12" s="226"/>
      <c r="M12" s="258"/>
      <c r="P12" s="228"/>
    </row>
    <row r="13" spans="1:17" s="227" customFormat="1" ht="18" customHeight="1">
      <c r="A13" s="9"/>
      <c r="B13" s="10"/>
      <c r="C13" s="9"/>
      <c r="D13" s="209"/>
      <c r="E13" s="209"/>
      <c r="F13" s="210"/>
      <c r="G13" s="226"/>
      <c r="H13" s="226"/>
      <c r="I13" s="226"/>
      <c r="J13" s="226"/>
      <c r="K13" s="226"/>
      <c r="L13" s="226"/>
      <c r="M13" s="258"/>
      <c r="P13" s="228"/>
    </row>
    <row r="14" spans="1:17" s="227" customFormat="1" ht="18" customHeight="1">
      <c r="A14" s="9"/>
      <c r="B14" s="10"/>
      <c r="C14" s="9"/>
      <c r="D14" s="209"/>
      <c r="E14" s="209"/>
      <c r="F14" s="210"/>
      <c r="G14" s="226"/>
      <c r="H14" s="226"/>
      <c r="I14" s="226"/>
      <c r="J14" s="226"/>
      <c r="K14" s="226"/>
      <c r="L14" s="226"/>
      <c r="M14" s="258"/>
      <c r="P14" s="228"/>
    </row>
    <row r="15" spans="1:17" s="232" customFormat="1" ht="18" customHeight="1">
      <c r="A15" s="19" t="s">
        <v>22</v>
      </c>
      <c r="B15" s="20" t="s">
        <v>72</v>
      </c>
      <c r="C15" s="19"/>
      <c r="D15" s="229"/>
      <c r="E15" s="229"/>
      <c r="F15" s="230"/>
      <c r="G15" s="231"/>
      <c r="H15" s="231"/>
      <c r="I15" s="231"/>
      <c r="J15" s="231"/>
      <c r="K15" s="231"/>
      <c r="L15" s="231"/>
      <c r="M15" s="259"/>
      <c r="P15" s="233"/>
    </row>
    <row r="16" spans="1:17" s="227" customFormat="1" ht="18" customHeight="1">
      <c r="A16" s="9" t="s">
        <v>59</v>
      </c>
      <c r="B16" s="10" t="s">
        <v>501</v>
      </c>
      <c r="C16" s="9"/>
      <c r="D16" s="209"/>
      <c r="E16" s="209" t="s">
        <v>11</v>
      </c>
      <c r="F16" s="210">
        <v>105</v>
      </c>
      <c r="G16" s="211">
        <v>2000</v>
      </c>
      <c r="H16" s="211">
        <f t="shared" ref="H16:H26" si="0">F16*G16</f>
        <v>210000</v>
      </c>
      <c r="I16" s="211">
        <v>8000</v>
      </c>
      <c r="J16" s="211">
        <f t="shared" ref="J16:J26" si="1">F16*I16</f>
        <v>840000</v>
      </c>
      <c r="K16" s="211">
        <f t="shared" ref="K16:K26" si="2">G16+I16</f>
        <v>10000</v>
      </c>
      <c r="L16" s="211">
        <f t="shared" ref="L16:L26" si="3">F16*K16</f>
        <v>1050000</v>
      </c>
      <c r="M16" s="176"/>
      <c r="P16" s="228"/>
      <c r="Q16" s="227">
        <f>93993056/1000000</f>
        <v>93.993055999999996</v>
      </c>
    </row>
    <row r="17" spans="1:16" s="227" customFormat="1" ht="18" customHeight="1">
      <c r="A17" s="9" t="s">
        <v>59</v>
      </c>
      <c r="B17" s="10" t="s">
        <v>25</v>
      </c>
      <c r="C17" s="9"/>
      <c r="D17" s="209"/>
      <c r="E17" s="209" t="s">
        <v>157</v>
      </c>
      <c r="F17" s="210">
        <v>4</v>
      </c>
      <c r="G17" s="211">
        <v>0</v>
      </c>
      <c r="H17" s="211">
        <f t="shared" si="0"/>
        <v>0</v>
      </c>
      <c r="I17" s="211">
        <v>180000</v>
      </c>
      <c r="J17" s="211">
        <f t="shared" si="1"/>
        <v>720000</v>
      </c>
      <c r="K17" s="211">
        <f t="shared" si="2"/>
        <v>180000</v>
      </c>
      <c r="L17" s="211">
        <f t="shared" si="3"/>
        <v>720000</v>
      </c>
      <c r="M17" s="177"/>
      <c r="P17" s="228"/>
    </row>
    <row r="18" spans="1:16" s="227" customFormat="1" ht="18" hidden="1" customHeight="1">
      <c r="A18" s="9" t="s">
        <v>69</v>
      </c>
      <c r="B18" s="10" t="s">
        <v>24</v>
      </c>
      <c r="C18" s="9" t="s">
        <v>70</v>
      </c>
      <c r="D18" s="209"/>
      <c r="E18" s="209" t="s">
        <v>71</v>
      </c>
      <c r="F18" s="210">
        <v>0</v>
      </c>
      <c r="G18" s="211">
        <v>400000</v>
      </c>
      <c r="H18" s="211">
        <f>F18*G18</f>
        <v>0</v>
      </c>
      <c r="I18" s="211">
        <v>0</v>
      </c>
      <c r="J18" s="211">
        <f>F18*I18</f>
        <v>0</v>
      </c>
      <c r="K18" s="211">
        <f>G18+I18</f>
        <v>400000</v>
      </c>
      <c r="L18" s="211">
        <f>F18*K18</f>
        <v>0</v>
      </c>
      <c r="M18" s="177"/>
      <c r="P18" s="228"/>
    </row>
    <row r="19" spans="1:16" s="227" customFormat="1" ht="18" hidden="1" customHeight="1">
      <c r="A19" s="9" t="s">
        <v>492</v>
      </c>
      <c r="B19" s="10" t="s">
        <v>493</v>
      </c>
      <c r="C19" s="9"/>
      <c r="D19" s="209"/>
      <c r="E19" s="209" t="s">
        <v>487</v>
      </c>
      <c r="F19" s="210">
        <v>0</v>
      </c>
      <c r="G19" s="211">
        <v>200000</v>
      </c>
      <c r="H19" s="211">
        <f t="shared" ref="H19" si="4">F19*G19</f>
        <v>0</v>
      </c>
      <c r="I19" s="211">
        <v>0</v>
      </c>
      <c r="J19" s="211">
        <f t="shared" ref="J19" si="5">F19*I19</f>
        <v>0</v>
      </c>
      <c r="K19" s="211">
        <f t="shared" ref="K19" si="6">G19+I19</f>
        <v>200000</v>
      </c>
      <c r="L19" s="211">
        <f t="shared" ref="L19" si="7">F19*K19</f>
        <v>0</v>
      </c>
      <c r="M19" s="177"/>
      <c r="P19" s="228"/>
    </row>
    <row r="20" spans="1:16" s="227" customFormat="1" ht="18" customHeight="1">
      <c r="A20" s="9" t="s">
        <v>76</v>
      </c>
      <c r="B20" s="10" t="s">
        <v>86</v>
      </c>
      <c r="C20" s="9"/>
      <c r="D20" s="209"/>
      <c r="E20" s="209" t="s">
        <v>74</v>
      </c>
      <c r="F20" s="210">
        <v>1</v>
      </c>
      <c r="G20" s="211">
        <v>800000</v>
      </c>
      <c r="H20" s="211">
        <f>F20*G20</f>
        <v>800000</v>
      </c>
      <c r="I20" s="211">
        <v>0</v>
      </c>
      <c r="J20" s="211">
        <f>F20*I20</f>
        <v>0</v>
      </c>
      <c r="K20" s="211">
        <f>G20+I20</f>
        <v>800000</v>
      </c>
      <c r="L20" s="211">
        <f>F20*K20</f>
        <v>800000</v>
      </c>
      <c r="M20" s="177"/>
      <c r="P20" s="228"/>
    </row>
    <row r="21" spans="1:16" s="334" customFormat="1" ht="18" customHeight="1">
      <c r="A21" s="159" t="s">
        <v>61</v>
      </c>
      <c r="B21" s="316" t="s">
        <v>73</v>
      </c>
      <c r="C21" s="358"/>
      <c r="D21" s="331"/>
      <c r="E21" s="331" t="s">
        <v>75</v>
      </c>
      <c r="F21" s="332">
        <v>0</v>
      </c>
      <c r="G21" s="333">
        <v>200000</v>
      </c>
      <c r="H21" s="333">
        <f t="shared" si="0"/>
        <v>0</v>
      </c>
      <c r="I21" s="333">
        <v>0</v>
      </c>
      <c r="J21" s="333">
        <f t="shared" si="1"/>
        <v>0</v>
      </c>
      <c r="K21" s="333">
        <f t="shared" si="2"/>
        <v>200000</v>
      </c>
      <c r="L21" s="333">
        <f t="shared" si="3"/>
        <v>0</v>
      </c>
      <c r="M21" s="286"/>
      <c r="P21" s="335"/>
    </row>
    <row r="22" spans="1:16" s="234" customFormat="1" ht="18" customHeight="1">
      <c r="A22" s="159" t="s">
        <v>60</v>
      </c>
      <c r="B22" s="160" t="s">
        <v>77</v>
      </c>
      <c r="C22" s="159" t="s">
        <v>172</v>
      </c>
      <c r="D22" s="212"/>
      <c r="E22" s="212" t="s">
        <v>74</v>
      </c>
      <c r="F22" s="213">
        <v>0</v>
      </c>
      <c r="G22" s="214">
        <v>0</v>
      </c>
      <c r="H22" s="214">
        <f t="shared" si="0"/>
        <v>0</v>
      </c>
      <c r="I22" s="214">
        <v>0</v>
      </c>
      <c r="J22" s="214">
        <f t="shared" si="1"/>
        <v>0</v>
      </c>
      <c r="K22" s="214">
        <f t="shared" si="2"/>
        <v>0</v>
      </c>
      <c r="L22" s="214">
        <f t="shared" si="3"/>
        <v>0</v>
      </c>
      <c r="M22" s="176"/>
      <c r="P22" s="235"/>
    </row>
    <row r="23" spans="1:16" s="351" customFormat="1" ht="18" customHeight="1">
      <c r="A23" s="9" t="s">
        <v>502</v>
      </c>
      <c r="B23" s="340" t="s">
        <v>503</v>
      </c>
      <c r="C23" s="338"/>
      <c r="D23" s="348"/>
      <c r="E23" s="348" t="s">
        <v>504</v>
      </c>
      <c r="F23" s="349">
        <v>0</v>
      </c>
      <c r="G23" s="350">
        <v>200000</v>
      </c>
      <c r="H23" s="350">
        <f t="shared" si="0"/>
        <v>0</v>
      </c>
      <c r="I23" s="350">
        <v>0</v>
      </c>
      <c r="J23" s="350">
        <f t="shared" si="1"/>
        <v>0</v>
      </c>
      <c r="K23" s="350">
        <f t="shared" si="2"/>
        <v>200000</v>
      </c>
      <c r="L23" s="350">
        <f t="shared" si="3"/>
        <v>0</v>
      </c>
      <c r="M23" s="397"/>
      <c r="P23" s="352"/>
    </row>
    <row r="24" spans="1:16" s="227" customFormat="1" ht="18" customHeight="1">
      <c r="A24" s="9" t="s">
        <v>83</v>
      </c>
      <c r="B24" s="10" t="s">
        <v>84</v>
      </c>
      <c r="C24" s="9" t="s">
        <v>85</v>
      </c>
      <c r="D24" s="209"/>
      <c r="E24" s="209" t="s">
        <v>71</v>
      </c>
      <c r="F24" s="210">
        <v>3</v>
      </c>
      <c r="G24" s="211">
        <v>500000</v>
      </c>
      <c r="H24" s="211">
        <f>F24*G24</f>
        <v>1500000</v>
      </c>
      <c r="I24" s="211">
        <v>100000</v>
      </c>
      <c r="J24" s="211">
        <f>F24*I24</f>
        <v>300000</v>
      </c>
      <c r="K24" s="211">
        <f>G24+I24</f>
        <v>600000</v>
      </c>
      <c r="L24" s="211">
        <f>F24*K24</f>
        <v>1800000</v>
      </c>
      <c r="M24" s="177"/>
      <c r="N24" s="227" t="s">
        <v>296</v>
      </c>
    </row>
    <row r="25" spans="1:16" s="227" customFormat="1" ht="18" customHeight="1">
      <c r="A25" s="9"/>
      <c r="B25" s="10"/>
      <c r="C25" s="9"/>
      <c r="D25" s="209"/>
      <c r="E25" s="209"/>
      <c r="F25" s="210"/>
      <c r="G25" s="211"/>
      <c r="H25" s="211"/>
      <c r="I25" s="211"/>
      <c r="J25" s="211"/>
      <c r="K25" s="211"/>
      <c r="L25" s="211"/>
      <c r="M25" s="177"/>
    </row>
    <row r="26" spans="1:16" s="334" customFormat="1" ht="18" customHeight="1">
      <c r="A26" s="159" t="s">
        <v>82</v>
      </c>
      <c r="B26" s="316" t="s">
        <v>79</v>
      </c>
      <c r="C26" s="358" t="s">
        <v>158</v>
      </c>
      <c r="D26" s="331"/>
      <c r="E26" s="331" t="s">
        <v>11</v>
      </c>
      <c r="F26" s="332">
        <v>0</v>
      </c>
      <c r="G26" s="333">
        <v>0</v>
      </c>
      <c r="H26" s="333">
        <f t="shared" si="0"/>
        <v>0</v>
      </c>
      <c r="I26" s="333">
        <v>0</v>
      </c>
      <c r="J26" s="333">
        <f t="shared" si="1"/>
        <v>0</v>
      </c>
      <c r="K26" s="333">
        <f t="shared" si="2"/>
        <v>0</v>
      </c>
      <c r="L26" s="333">
        <f t="shared" si="3"/>
        <v>0</v>
      </c>
      <c r="M26" s="286"/>
      <c r="P26" s="335"/>
    </row>
    <row r="27" spans="1:16" s="334" customFormat="1" ht="18" customHeight="1">
      <c r="A27" s="159" t="s">
        <v>78</v>
      </c>
      <c r="B27" s="316" t="s">
        <v>78</v>
      </c>
      <c r="C27" s="358" t="s">
        <v>158</v>
      </c>
      <c r="D27" s="331"/>
      <c r="E27" s="331" t="s">
        <v>11</v>
      </c>
      <c r="F27" s="332">
        <v>0</v>
      </c>
      <c r="G27" s="333">
        <v>0</v>
      </c>
      <c r="H27" s="333">
        <f>F27*G27</f>
        <v>0</v>
      </c>
      <c r="I27" s="333">
        <v>0</v>
      </c>
      <c r="J27" s="333">
        <f>F27*I27</f>
        <v>0</v>
      </c>
      <c r="K27" s="333">
        <f>G27+I27</f>
        <v>0</v>
      </c>
      <c r="L27" s="333">
        <f>F27*K27</f>
        <v>0</v>
      </c>
      <c r="M27" s="286"/>
      <c r="P27" s="335"/>
    </row>
    <row r="28" spans="1:16" s="334" customFormat="1" ht="18" customHeight="1">
      <c r="A28" s="159" t="s">
        <v>221</v>
      </c>
      <c r="B28" s="316" t="s">
        <v>220</v>
      </c>
      <c r="C28" s="358" t="s">
        <v>158</v>
      </c>
      <c r="D28" s="331"/>
      <c r="E28" s="331" t="s">
        <v>222</v>
      </c>
      <c r="F28" s="332">
        <v>0</v>
      </c>
      <c r="G28" s="333">
        <v>0</v>
      </c>
      <c r="H28" s="333">
        <f>F28*G28</f>
        <v>0</v>
      </c>
      <c r="I28" s="333">
        <v>0</v>
      </c>
      <c r="J28" s="333">
        <f>F28*I28</f>
        <v>0</v>
      </c>
      <c r="K28" s="333">
        <f>G28+I28</f>
        <v>0</v>
      </c>
      <c r="L28" s="333">
        <f>F28*K28</f>
        <v>0</v>
      </c>
      <c r="M28" s="286"/>
      <c r="P28" s="335"/>
    </row>
    <row r="29" spans="1:16" s="334" customFormat="1" ht="18" hidden="1" customHeight="1">
      <c r="A29" s="159" t="s">
        <v>237</v>
      </c>
      <c r="B29" s="316" t="s">
        <v>236</v>
      </c>
      <c r="C29" s="358" t="s">
        <v>158</v>
      </c>
      <c r="D29" s="331"/>
      <c r="E29" s="331" t="s">
        <v>222</v>
      </c>
      <c r="F29" s="332">
        <v>0</v>
      </c>
      <c r="G29" s="333">
        <v>0</v>
      </c>
      <c r="H29" s="333">
        <f>F29*G29</f>
        <v>0</v>
      </c>
      <c r="I29" s="333">
        <v>1</v>
      </c>
      <c r="J29" s="333">
        <f>F29*I29</f>
        <v>0</v>
      </c>
      <c r="K29" s="333">
        <f>G29+I29</f>
        <v>1</v>
      </c>
      <c r="L29" s="333">
        <f>F29*K29</f>
        <v>0</v>
      </c>
      <c r="M29" s="290"/>
      <c r="O29" s="334">
        <f>(155*0.05)</f>
        <v>7.75</v>
      </c>
      <c r="P29" s="335"/>
    </row>
    <row r="30" spans="1:16" s="334" customFormat="1" ht="18" hidden="1" customHeight="1">
      <c r="A30" s="159" t="s">
        <v>425</v>
      </c>
      <c r="B30" s="316" t="s">
        <v>424</v>
      </c>
      <c r="C30" s="358" t="s">
        <v>426</v>
      </c>
      <c r="D30" s="331"/>
      <c r="E30" s="331" t="s">
        <v>390</v>
      </c>
      <c r="F30" s="332">
        <v>0</v>
      </c>
      <c r="G30" s="333">
        <v>0</v>
      </c>
      <c r="H30" s="333">
        <f>F30*G30</f>
        <v>0</v>
      </c>
      <c r="I30" s="333">
        <v>0</v>
      </c>
      <c r="J30" s="333">
        <f>F30*I30</f>
        <v>0</v>
      </c>
      <c r="K30" s="333">
        <f>G30+I30</f>
        <v>0</v>
      </c>
      <c r="L30" s="333">
        <f>F30*K30</f>
        <v>0</v>
      </c>
      <c r="M30" s="290"/>
      <c r="P30" s="335"/>
    </row>
    <row r="31" spans="1:16" s="334" customFormat="1" ht="18" customHeight="1">
      <c r="A31" s="358" t="s">
        <v>80</v>
      </c>
      <c r="B31" s="316" t="s">
        <v>81</v>
      </c>
      <c r="C31" s="358" t="s">
        <v>360</v>
      </c>
      <c r="D31" s="331"/>
      <c r="E31" s="331" t="s">
        <v>11</v>
      </c>
      <c r="F31" s="332">
        <v>0</v>
      </c>
      <c r="G31" s="333">
        <v>0</v>
      </c>
      <c r="H31" s="333">
        <f>F31*G31</f>
        <v>0</v>
      </c>
      <c r="I31" s="333">
        <v>0</v>
      </c>
      <c r="J31" s="333">
        <f>F31*I31</f>
        <v>0</v>
      </c>
      <c r="K31" s="333">
        <f>G31+I31</f>
        <v>0</v>
      </c>
      <c r="L31" s="333">
        <f>F31*K31</f>
        <v>0</v>
      </c>
      <c r="M31" s="286"/>
      <c r="P31" s="335"/>
    </row>
    <row r="32" spans="1:16" s="227" customFormat="1" ht="18" customHeight="1">
      <c r="A32" s="9"/>
      <c r="B32" s="10"/>
      <c r="C32" s="9"/>
      <c r="D32" s="209"/>
      <c r="E32" s="209"/>
      <c r="F32" s="209"/>
      <c r="G32" s="211"/>
      <c r="H32" s="211"/>
      <c r="I32" s="211"/>
      <c r="J32" s="211"/>
      <c r="K32" s="211"/>
      <c r="L32" s="211"/>
      <c r="M32" s="177"/>
      <c r="P32" s="228"/>
    </row>
    <row r="33" spans="1:16" s="238" customFormat="1" ht="18" customHeight="1">
      <c r="A33" s="27"/>
      <c r="B33" s="28" t="s">
        <v>33</v>
      </c>
      <c r="C33" s="27"/>
      <c r="D33" s="236"/>
      <c r="E33" s="236"/>
      <c r="F33" s="236"/>
      <c r="G33" s="237"/>
      <c r="H33" s="237">
        <f>SUM(H16:H32)</f>
        <v>2510000</v>
      </c>
      <c r="I33" s="237"/>
      <c r="J33" s="237">
        <f>SUM(J16:J32)</f>
        <v>1860000</v>
      </c>
      <c r="K33" s="237"/>
      <c r="L33" s="237">
        <f>SUM(L16:L32)</f>
        <v>4370000</v>
      </c>
      <c r="M33" s="177"/>
      <c r="P33" s="239"/>
    </row>
    <row r="34" spans="1:16" s="227" customFormat="1" ht="18" customHeight="1">
      <c r="A34" s="9"/>
      <c r="B34" s="10"/>
      <c r="C34" s="9"/>
      <c r="D34" s="209"/>
      <c r="E34" s="209"/>
      <c r="F34" s="209"/>
      <c r="G34" s="211"/>
      <c r="H34" s="211"/>
      <c r="I34" s="211"/>
      <c r="J34" s="240"/>
      <c r="K34" s="211"/>
      <c r="L34" s="211"/>
      <c r="M34" s="177"/>
      <c r="P34" s="228"/>
    </row>
    <row r="35" spans="1:16" s="22" customFormat="1" ht="18" customHeight="1">
      <c r="A35" s="222" t="s">
        <v>26</v>
      </c>
      <c r="B35" s="223" t="s">
        <v>98</v>
      </c>
      <c r="C35" s="222"/>
      <c r="D35" s="21"/>
      <c r="E35" s="21"/>
      <c r="F35" s="35"/>
      <c r="G35" s="36"/>
      <c r="H35" s="36"/>
      <c r="I35" s="36"/>
      <c r="J35" s="36"/>
      <c r="K35" s="36"/>
      <c r="L35" s="37"/>
      <c r="M35" s="260"/>
      <c r="O35" s="224"/>
      <c r="P35" s="225"/>
    </row>
    <row r="36" spans="1:16" ht="18" customHeight="1">
      <c r="A36" s="38" t="s">
        <v>15</v>
      </c>
      <c r="B36" s="10" t="s">
        <v>519</v>
      </c>
      <c r="C36" s="9"/>
      <c r="D36" s="4"/>
      <c r="E36" s="4" t="s">
        <v>34</v>
      </c>
      <c r="F36" s="23">
        <v>1</v>
      </c>
      <c r="G36" s="24"/>
      <c r="H36" s="24">
        <f>H69</f>
        <v>1363000</v>
      </c>
      <c r="I36" s="24"/>
      <c r="J36" s="24">
        <f>J69</f>
        <v>3551000</v>
      </c>
      <c r="K36" s="24"/>
      <c r="L36" s="25">
        <f>L69</f>
        <v>4914000</v>
      </c>
      <c r="M36" s="177"/>
      <c r="O36" s="208">
        <f t="shared" ref="O36:O45" si="8">H36+J36</f>
        <v>4914000</v>
      </c>
    </row>
    <row r="37" spans="1:16" ht="18" customHeight="1">
      <c r="A37" s="38" t="s">
        <v>16</v>
      </c>
      <c r="B37" s="10" t="s">
        <v>518</v>
      </c>
      <c r="C37" s="9"/>
      <c r="D37" s="4"/>
      <c r="E37" s="4" t="s">
        <v>34</v>
      </c>
      <c r="F37" s="23">
        <v>1</v>
      </c>
      <c r="G37" s="24"/>
      <c r="H37" s="24">
        <f>H85</f>
        <v>1950000</v>
      </c>
      <c r="I37" s="24"/>
      <c r="J37" s="24">
        <f>J85</f>
        <v>2800000</v>
      </c>
      <c r="K37" s="24"/>
      <c r="L37" s="25">
        <f>L85</f>
        <v>4750000</v>
      </c>
      <c r="M37" s="177"/>
      <c r="O37" s="208"/>
    </row>
    <row r="38" spans="1:16" ht="18" customHeight="1">
      <c r="A38" s="38" t="s">
        <v>17</v>
      </c>
      <c r="B38" s="10" t="str">
        <f>B87</f>
        <v>필름 공사</v>
      </c>
      <c r="C38" s="9"/>
      <c r="D38" s="4"/>
      <c r="E38" s="4" t="s">
        <v>34</v>
      </c>
      <c r="F38" s="23">
        <v>1</v>
      </c>
      <c r="G38" s="24"/>
      <c r="H38" s="24">
        <f>H98</f>
        <v>946000</v>
      </c>
      <c r="I38" s="24"/>
      <c r="J38" s="24">
        <f>J98</f>
        <v>2031000</v>
      </c>
      <c r="K38" s="24"/>
      <c r="L38" s="25">
        <f>L98</f>
        <v>2977000</v>
      </c>
      <c r="M38" s="177"/>
      <c r="O38" s="208">
        <f t="shared" si="8"/>
        <v>2977000</v>
      </c>
    </row>
    <row r="39" spans="1:16" ht="18" customHeight="1">
      <c r="A39" s="38" t="s">
        <v>18</v>
      </c>
      <c r="B39" s="10" t="str">
        <f>B100</f>
        <v>가구 공사</v>
      </c>
      <c r="C39" s="9"/>
      <c r="D39" s="4"/>
      <c r="E39" s="4" t="s">
        <v>34</v>
      </c>
      <c r="F39" s="23">
        <v>1</v>
      </c>
      <c r="G39" s="24"/>
      <c r="H39" s="24">
        <f>H170</f>
        <v>7919500</v>
      </c>
      <c r="I39" s="24"/>
      <c r="J39" s="24">
        <f>J170</f>
        <v>1586000</v>
      </c>
      <c r="K39" s="24"/>
      <c r="L39" s="25">
        <f>L170</f>
        <v>9505500</v>
      </c>
      <c r="M39" s="177"/>
      <c r="O39" s="208">
        <f t="shared" si="8"/>
        <v>9505500</v>
      </c>
    </row>
    <row r="40" spans="1:16" ht="18" customHeight="1">
      <c r="A40" s="38" t="s">
        <v>19</v>
      </c>
      <c r="B40" s="10" t="str">
        <f>B171</f>
        <v>전기 공사</v>
      </c>
      <c r="C40" s="9"/>
      <c r="D40" s="4" t="s">
        <v>385</v>
      </c>
      <c r="E40" s="4" t="s">
        <v>34</v>
      </c>
      <c r="F40" s="23">
        <v>1</v>
      </c>
      <c r="G40" s="24"/>
      <c r="H40" s="24">
        <f>H189</f>
        <v>2376000</v>
      </c>
      <c r="I40" s="24"/>
      <c r="J40" s="24">
        <f>J189</f>
        <v>2235000</v>
      </c>
      <c r="K40" s="24"/>
      <c r="L40" s="25">
        <f>L189</f>
        <v>4611000</v>
      </c>
      <c r="M40" s="177"/>
      <c r="O40" s="208">
        <f t="shared" si="8"/>
        <v>4611000</v>
      </c>
    </row>
    <row r="41" spans="1:16" s="52" customFormat="1" ht="18" customHeight="1">
      <c r="A41" s="38" t="s">
        <v>20</v>
      </c>
      <c r="B41" s="47" t="str">
        <f>B191</f>
        <v>화장실 공사</v>
      </c>
      <c r="C41" s="46"/>
      <c r="D41" s="48"/>
      <c r="E41" s="48" t="s">
        <v>34</v>
      </c>
      <c r="F41" s="241">
        <v>1</v>
      </c>
      <c r="G41" s="50"/>
      <c r="H41" s="50">
        <f>H226</f>
        <v>3362000</v>
      </c>
      <c r="I41" s="50"/>
      <c r="J41" s="50">
        <f>J226</f>
        <v>1310000</v>
      </c>
      <c r="K41" s="50"/>
      <c r="L41" s="51">
        <f>L226</f>
        <v>4652000</v>
      </c>
      <c r="M41" s="176"/>
      <c r="O41" s="242">
        <f t="shared" si="8"/>
        <v>4672000</v>
      </c>
      <c r="P41" s="171"/>
    </row>
    <row r="42" spans="1:16" s="52" customFormat="1" ht="18" customHeight="1">
      <c r="A42" s="38" t="s">
        <v>513</v>
      </c>
      <c r="B42" s="47" t="str">
        <f>B228</f>
        <v>타일 공사</v>
      </c>
      <c r="C42" s="46"/>
      <c r="D42" s="48"/>
      <c r="E42" s="48" t="s">
        <v>34</v>
      </c>
      <c r="F42" s="241">
        <v>1</v>
      </c>
      <c r="G42" s="50"/>
      <c r="H42" s="50">
        <f>H272</f>
        <v>3182000</v>
      </c>
      <c r="I42" s="50"/>
      <c r="J42" s="50">
        <f>J272</f>
        <v>3498000</v>
      </c>
      <c r="K42" s="50"/>
      <c r="L42" s="51">
        <f>L272</f>
        <v>6680000</v>
      </c>
      <c r="M42" s="176"/>
      <c r="O42" s="242">
        <f t="shared" si="8"/>
        <v>6680000</v>
      </c>
      <c r="P42" s="171"/>
    </row>
    <row r="43" spans="1:16" ht="18" customHeight="1">
      <c r="A43" s="38" t="s">
        <v>515</v>
      </c>
      <c r="B43" s="10" t="str">
        <f>B274</f>
        <v>도배 공사</v>
      </c>
      <c r="C43" s="9"/>
      <c r="D43" s="4"/>
      <c r="E43" s="4" t="s">
        <v>34</v>
      </c>
      <c r="F43" s="23">
        <v>1</v>
      </c>
      <c r="G43" s="24"/>
      <c r="H43" s="24">
        <f>H281</f>
        <v>1716000</v>
      </c>
      <c r="I43" s="24"/>
      <c r="J43" s="24">
        <f>J281</f>
        <v>3120000</v>
      </c>
      <c r="K43" s="24"/>
      <c r="L43" s="25">
        <f>L281</f>
        <v>4836000</v>
      </c>
      <c r="M43" s="177"/>
      <c r="O43" s="208">
        <f t="shared" si="8"/>
        <v>4836000</v>
      </c>
    </row>
    <row r="44" spans="1:16" ht="18" customHeight="1">
      <c r="A44" s="38" t="s">
        <v>21</v>
      </c>
      <c r="B44" s="10" t="str">
        <f>B283</f>
        <v>도장 공사</v>
      </c>
      <c r="C44" s="9"/>
      <c r="D44" s="4"/>
      <c r="E44" s="4" t="s">
        <v>34</v>
      </c>
      <c r="F44" s="23">
        <v>1</v>
      </c>
      <c r="G44" s="24"/>
      <c r="H44" s="24">
        <f>H294</f>
        <v>600000</v>
      </c>
      <c r="I44" s="24"/>
      <c r="J44" s="24">
        <f>J294</f>
        <v>750000</v>
      </c>
      <c r="K44" s="24"/>
      <c r="L44" s="25">
        <f>L294</f>
        <v>1350000</v>
      </c>
      <c r="M44" s="177"/>
      <c r="O44" s="208">
        <f t="shared" si="8"/>
        <v>1350000</v>
      </c>
    </row>
    <row r="45" spans="1:16" ht="18" customHeight="1">
      <c r="A45" s="38" t="s">
        <v>27</v>
      </c>
      <c r="B45" s="10" t="str">
        <f>B296</f>
        <v>마루 공사</v>
      </c>
      <c r="C45" s="9"/>
      <c r="D45" s="4"/>
      <c r="E45" s="4" t="s">
        <v>34</v>
      </c>
      <c r="F45" s="23">
        <v>1</v>
      </c>
      <c r="G45" s="24"/>
      <c r="H45" s="24">
        <f>H306</f>
        <v>2645000</v>
      </c>
      <c r="I45" s="24"/>
      <c r="J45" s="24">
        <f>J306</f>
        <v>575000</v>
      </c>
      <c r="K45" s="24"/>
      <c r="L45" s="25">
        <f>L306</f>
        <v>3220000</v>
      </c>
      <c r="M45" s="177"/>
      <c r="O45" s="208">
        <f t="shared" si="8"/>
        <v>3220000</v>
      </c>
    </row>
    <row r="46" spans="1:16" ht="18" customHeight="1">
      <c r="A46" s="38" t="s">
        <v>28</v>
      </c>
      <c r="B46" s="10" t="str">
        <f>B308</f>
        <v>목공사</v>
      </c>
      <c r="C46" s="9"/>
      <c r="D46" s="4"/>
      <c r="E46" s="4" t="s">
        <v>34</v>
      </c>
      <c r="F46" s="23">
        <v>1</v>
      </c>
      <c r="G46" s="24"/>
      <c r="H46" s="24">
        <f>H365</f>
        <v>5880000</v>
      </c>
      <c r="I46" s="24"/>
      <c r="J46" s="24">
        <f>J365</f>
        <v>6625000</v>
      </c>
      <c r="K46" s="24"/>
      <c r="L46" s="25">
        <f>L365</f>
        <v>12505000</v>
      </c>
      <c r="M46" s="177"/>
      <c r="O46" s="208">
        <f>H46+J46</f>
        <v>12505000</v>
      </c>
    </row>
    <row r="47" spans="1:16" ht="18" customHeight="1">
      <c r="A47" s="38"/>
      <c r="B47" s="10"/>
      <c r="C47" s="9"/>
      <c r="D47" s="4"/>
      <c r="E47" s="4"/>
      <c r="F47" s="26"/>
      <c r="G47" s="24"/>
      <c r="H47" s="24"/>
      <c r="I47" s="24"/>
      <c r="J47" s="24"/>
      <c r="K47" s="24"/>
      <c r="L47" s="25"/>
      <c r="M47" s="177"/>
    </row>
    <row r="48" spans="1:16" s="33" customFormat="1" ht="18" customHeight="1">
      <c r="A48" s="27"/>
      <c r="B48" s="28" t="s">
        <v>33</v>
      </c>
      <c r="C48" s="27"/>
      <c r="D48" s="29"/>
      <c r="E48" s="29"/>
      <c r="F48" s="30"/>
      <c r="G48" s="31"/>
      <c r="H48" s="31">
        <f>SUM(H36:H47)</f>
        <v>31939500</v>
      </c>
      <c r="I48" s="31"/>
      <c r="J48" s="31">
        <f>SUM(J36:J47)</f>
        <v>28081000</v>
      </c>
      <c r="K48" s="31"/>
      <c r="L48" s="32">
        <f>SUM(L36:L47)</f>
        <v>60000500</v>
      </c>
      <c r="M48" s="261"/>
      <c r="O48" s="165"/>
      <c r="P48" s="170"/>
    </row>
    <row r="49" spans="1:17" ht="18" customHeight="1">
      <c r="A49" s="9"/>
      <c r="B49" s="10"/>
      <c r="C49" s="9"/>
      <c r="D49" s="4"/>
      <c r="E49" s="4"/>
      <c r="F49" s="26"/>
      <c r="G49" s="24"/>
      <c r="H49" s="24"/>
      <c r="I49" s="24"/>
      <c r="J49" s="24"/>
      <c r="K49" s="24"/>
      <c r="L49" s="25"/>
      <c r="M49" s="177"/>
    </row>
    <row r="50" spans="1:17" ht="18" customHeight="1">
      <c r="A50" s="9"/>
      <c r="B50" s="10"/>
      <c r="C50" s="9"/>
      <c r="D50" s="4"/>
      <c r="E50" s="4"/>
      <c r="F50" s="26"/>
      <c r="G50" s="24"/>
      <c r="H50" s="24"/>
      <c r="I50" s="24"/>
      <c r="J50" s="34"/>
      <c r="K50" s="24"/>
      <c r="L50" s="25"/>
      <c r="M50" s="177"/>
    </row>
    <row r="51" spans="1:17" s="17" customFormat="1" ht="18" customHeight="1">
      <c r="A51" s="39" t="s">
        <v>29</v>
      </c>
      <c r="B51" s="40" t="s">
        <v>525</v>
      </c>
      <c r="C51" s="362"/>
      <c r="D51" s="13"/>
      <c r="E51" s="13"/>
      <c r="F51" s="41"/>
      <c r="G51" s="42"/>
      <c r="H51" s="42"/>
      <c r="I51" s="42"/>
      <c r="J51" s="42"/>
      <c r="K51" s="42"/>
      <c r="L51" s="43"/>
      <c r="M51" s="256"/>
      <c r="N51" s="17" t="s">
        <v>155</v>
      </c>
      <c r="O51" s="164"/>
      <c r="P51" s="169"/>
    </row>
    <row r="52" spans="1:17" s="342" customFormat="1" ht="18" customHeight="1">
      <c r="A52" s="9" t="s">
        <v>62</v>
      </c>
      <c r="B52" s="340" t="s">
        <v>90</v>
      </c>
      <c r="C52" s="338" t="s">
        <v>476</v>
      </c>
      <c r="D52" s="329"/>
      <c r="E52" s="329" t="s">
        <v>67</v>
      </c>
      <c r="F52" s="345">
        <v>0</v>
      </c>
      <c r="G52" s="336">
        <v>8800</v>
      </c>
      <c r="H52" s="336">
        <f t="shared" ref="H52:H79" si="9">F52*G52</f>
        <v>0</v>
      </c>
      <c r="I52" s="336">
        <v>18700</v>
      </c>
      <c r="J52" s="336">
        <f t="shared" ref="J52:J79" si="10">F52*I52</f>
        <v>0</v>
      </c>
      <c r="K52" s="336">
        <f t="shared" ref="K52:K79" si="11">G52+I52</f>
        <v>27500</v>
      </c>
      <c r="L52" s="337">
        <f t="shared" ref="L52:L79" si="12">F52*K52</f>
        <v>0</v>
      </c>
      <c r="M52" s="276"/>
      <c r="N52" s="342">
        <v>1400000</v>
      </c>
      <c r="O52" s="343"/>
      <c r="P52" s="344"/>
      <c r="Q52" s="342">
        <v>68</v>
      </c>
    </row>
    <row r="53" spans="1:17" s="342" customFormat="1" ht="18" customHeight="1">
      <c r="A53" s="9" t="s">
        <v>62</v>
      </c>
      <c r="B53" s="340" t="s">
        <v>572</v>
      </c>
      <c r="C53" s="338" t="s">
        <v>321</v>
      </c>
      <c r="D53" s="329"/>
      <c r="E53" s="329" t="s">
        <v>67</v>
      </c>
      <c r="F53" s="345">
        <v>26</v>
      </c>
      <c r="G53" s="336">
        <v>3000</v>
      </c>
      <c r="H53" s="336">
        <f t="shared" ref="H53" si="13">F53*G53</f>
        <v>78000</v>
      </c>
      <c r="I53" s="336">
        <v>8500</v>
      </c>
      <c r="J53" s="336">
        <f t="shared" ref="J53" si="14">F53*I53</f>
        <v>221000</v>
      </c>
      <c r="K53" s="336">
        <f t="shared" ref="K53" si="15">G53+I53</f>
        <v>11500</v>
      </c>
      <c r="L53" s="337">
        <f t="shared" ref="L53" si="16">F53*K53</f>
        <v>299000</v>
      </c>
      <c r="M53" s="276"/>
      <c r="N53" s="342">
        <v>1400000</v>
      </c>
      <c r="O53" s="343"/>
      <c r="P53" s="344"/>
      <c r="Q53" s="342">
        <v>68</v>
      </c>
    </row>
    <row r="54" spans="1:17" s="342" customFormat="1" ht="18" customHeight="1">
      <c r="A54" s="9" t="s">
        <v>62</v>
      </c>
      <c r="B54" s="340" t="s">
        <v>168</v>
      </c>
      <c r="C54" s="338" t="s">
        <v>562</v>
      </c>
      <c r="D54" s="329"/>
      <c r="E54" s="329" t="s">
        <v>67</v>
      </c>
      <c r="F54" s="345">
        <v>3</v>
      </c>
      <c r="G54" s="336">
        <v>15000</v>
      </c>
      <c r="H54" s="336">
        <f t="shared" si="9"/>
        <v>45000</v>
      </c>
      <c r="I54" s="336">
        <v>40000</v>
      </c>
      <c r="J54" s="336">
        <f t="shared" si="10"/>
        <v>120000</v>
      </c>
      <c r="K54" s="336">
        <f t="shared" si="11"/>
        <v>55000</v>
      </c>
      <c r="L54" s="337">
        <f t="shared" si="12"/>
        <v>165000</v>
      </c>
      <c r="M54" s="276"/>
      <c r="O54" s="343"/>
      <c r="P54" s="344"/>
      <c r="Q54" s="436"/>
    </row>
    <row r="55" spans="1:17" s="342" customFormat="1" ht="18" hidden="1" customHeight="1">
      <c r="A55" s="9" t="s">
        <v>474</v>
      </c>
      <c r="B55" s="340" t="s">
        <v>475</v>
      </c>
      <c r="C55" s="338" t="s">
        <v>476</v>
      </c>
      <c r="D55" s="329" t="s">
        <v>507</v>
      </c>
      <c r="E55" s="329" t="s">
        <v>477</v>
      </c>
      <c r="F55" s="345">
        <v>0</v>
      </c>
      <c r="G55" s="336">
        <v>20000</v>
      </c>
      <c r="H55" s="336">
        <f t="shared" si="9"/>
        <v>0</v>
      </c>
      <c r="I55" s="336">
        <v>50000</v>
      </c>
      <c r="J55" s="336">
        <f t="shared" si="10"/>
        <v>0</v>
      </c>
      <c r="K55" s="336">
        <f t="shared" si="11"/>
        <v>70000</v>
      </c>
      <c r="L55" s="337">
        <f t="shared" si="12"/>
        <v>0</v>
      </c>
      <c r="M55" s="276"/>
      <c r="O55" s="343"/>
      <c r="P55" s="344"/>
      <c r="Q55" s="437"/>
    </row>
    <row r="56" spans="1:17" s="277" customFormat="1" ht="18" customHeight="1">
      <c r="A56" s="46" t="s">
        <v>63</v>
      </c>
      <c r="B56" s="271" t="s">
        <v>563</v>
      </c>
      <c r="C56" s="346" t="s">
        <v>564</v>
      </c>
      <c r="D56" s="272" t="s">
        <v>565</v>
      </c>
      <c r="E56" s="272" t="s">
        <v>74</v>
      </c>
      <c r="F56" s="420">
        <v>1</v>
      </c>
      <c r="G56" s="274">
        <v>50000</v>
      </c>
      <c r="H56" s="274">
        <f t="shared" si="9"/>
        <v>50000</v>
      </c>
      <c r="I56" s="274">
        <v>250000</v>
      </c>
      <c r="J56" s="274">
        <f t="shared" si="10"/>
        <v>250000</v>
      </c>
      <c r="K56" s="274">
        <f t="shared" si="11"/>
        <v>300000</v>
      </c>
      <c r="L56" s="275">
        <f t="shared" si="12"/>
        <v>300000</v>
      </c>
      <c r="M56" s="280"/>
      <c r="O56" s="278"/>
      <c r="P56" s="279"/>
    </row>
    <row r="57" spans="1:17" s="277" customFormat="1" ht="18" customHeight="1">
      <c r="A57" s="46" t="s">
        <v>62</v>
      </c>
      <c r="B57" s="271" t="s">
        <v>87</v>
      </c>
      <c r="C57" s="346" t="s">
        <v>252</v>
      </c>
      <c r="D57" s="272"/>
      <c r="E57" s="272" t="s">
        <v>74</v>
      </c>
      <c r="F57" s="420">
        <v>2</v>
      </c>
      <c r="G57" s="274">
        <v>50000</v>
      </c>
      <c r="H57" s="274">
        <f t="shared" ref="H57" si="17">F57*G57</f>
        <v>100000</v>
      </c>
      <c r="I57" s="274">
        <v>600000</v>
      </c>
      <c r="J57" s="274">
        <f t="shared" ref="J57" si="18">F57*I57</f>
        <v>1200000</v>
      </c>
      <c r="K57" s="274">
        <f t="shared" ref="K57" si="19">G57+I57</f>
        <v>650000</v>
      </c>
      <c r="L57" s="275">
        <f t="shared" ref="L57" si="20">F57*K57</f>
        <v>1300000</v>
      </c>
      <c r="M57" s="280"/>
      <c r="O57" s="278"/>
      <c r="P57" s="279"/>
    </row>
    <row r="58" spans="1:17" s="277" customFormat="1" ht="18" customHeight="1">
      <c r="A58" s="346" t="s">
        <v>62</v>
      </c>
      <c r="B58" s="271" t="s">
        <v>218</v>
      </c>
      <c r="C58" s="346" t="s">
        <v>619</v>
      </c>
      <c r="D58" s="272"/>
      <c r="E58" s="272" t="s">
        <v>11</v>
      </c>
      <c r="F58" s="420">
        <v>50</v>
      </c>
      <c r="G58" s="274">
        <v>5000</v>
      </c>
      <c r="H58" s="274">
        <f t="shared" si="9"/>
        <v>250000</v>
      </c>
      <c r="I58" s="274">
        <v>6000</v>
      </c>
      <c r="J58" s="274">
        <f t="shared" si="10"/>
        <v>300000</v>
      </c>
      <c r="K58" s="274">
        <f t="shared" si="11"/>
        <v>11000</v>
      </c>
      <c r="L58" s="275">
        <f t="shared" si="12"/>
        <v>550000</v>
      </c>
      <c r="M58" s="280"/>
      <c r="O58" s="278"/>
      <c r="P58" s="279"/>
    </row>
    <row r="59" spans="1:17" s="342" customFormat="1" ht="18" customHeight="1">
      <c r="A59" s="9" t="s">
        <v>62</v>
      </c>
      <c r="B59" s="340" t="s">
        <v>88</v>
      </c>
      <c r="C59" s="338"/>
      <c r="D59" s="329"/>
      <c r="E59" s="329" t="s">
        <v>11</v>
      </c>
      <c r="F59" s="345">
        <v>105</v>
      </c>
      <c r="G59" s="336">
        <v>8000</v>
      </c>
      <c r="H59" s="336">
        <f t="shared" si="9"/>
        <v>840000</v>
      </c>
      <c r="I59" s="336">
        <v>12000</v>
      </c>
      <c r="J59" s="336">
        <f t="shared" si="10"/>
        <v>1260000</v>
      </c>
      <c r="K59" s="336">
        <f t="shared" si="11"/>
        <v>20000</v>
      </c>
      <c r="L59" s="337">
        <f t="shared" si="12"/>
        <v>2100000</v>
      </c>
      <c r="M59" s="276"/>
      <c r="O59" s="343"/>
      <c r="P59" s="344"/>
    </row>
    <row r="60" spans="1:17" s="342" customFormat="1" ht="18" customHeight="1">
      <c r="A60" s="9" t="s">
        <v>62</v>
      </c>
      <c r="B60" s="340" t="s">
        <v>230</v>
      </c>
      <c r="C60" s="338"/>
      <c r="D60" s="329"/>
      <c r="E60" s="329" t="s">
        <v>229</v>
      </c>
      <c r="F60" s="345">
        <v>1</v>
      </c>
      <c r="G60" s="336"/>
      <c r="H60" s="336">
        <f t="shared" si="9"/>
        <v>0</v>
      </c>
      <c r="I60" s="336">
        <v>200000</v>
      </c>
      <c r="J60" s="336">
        <f t="shared" si="10"/>
        <v>200000</v>
      </c>
      <c r="K60" s="336">
        <f t="shared" si="11"/>
        <v>200000</v>
      </c>
      <c r="L60" s="337">
        <f t="shared" si="12"/>
        <v>200000</v>
      </c>
      <c r="M60" s="276"/>
      <c r="O60" s="343"/>
      <c r="P60" s="344"/>
      <c r="Q60" s="374">
        <v>132000</v>
      </c>
    </row>
    <row r="61" spans="1:17" s="342" customFormat="1" ht="18" hidden="1" customHeight="1">
      <c r="A61" s="9" t="s">
        <v>471</v>
      </c>
      <c r="B61" s="340" t="s">
        <v>472</v>
      </c>
      <c r="C61" s="338" t="s">
        <v>118</v>
      </c>
      <c r="D61" s="329"/>
      <c r="E61" s="329" t="s">
        <v>473</v>
      </c>
      <c r="F61" s="345">
        <v>0</v>
      </c>
      <c r="G61" s="336">
        <v>15000</v>
      </c>
      <c r="H61" s="336">
        <f t="shared" si="9"/>
        <v>0</v>
      </c>
      <c r="I61" s="336">
        <v>60000</v>
      </c>
      <c r="J61" s="336">
        <f t="shared" si="10"/>
        <v>0</v>
      </c>
      <c r="K61" s="336">
        <f t="shared" ref="K61" si="21">G61+I61</f>
        <v>75000</v>
      </c>
      <c r="L61" s="337">
        <f t="shared" ref="L61" si="22">F61*K61</f>
        <v>0</v>
      </c>
      <c r="M61" s="276"/>
      <c r="O61" s="343"/>
      <c r="P61" s="344"/>
    </row>
    <row r="62" spans="1:17" s="342" customFormat="1" ht="18" hidden="1" customHeight="1">
      <c r="A62" s="338" t="s">
        <v>398</v>
      </c>
      <c r="B62" s="340" t="s">
        <v>399</v>
      </c>
      <c r="C62" s="338"/>
      <c r="D62" s="329"/>
      <c r="E62" s="329" t="s">
        <v>396</v>
      </c>
      <c r="F62" s="345">
        <v>0</v>
      </c>
      <c r="G62" s="336"/>
      <c r="H62" s="336">
        <f t="shared" si="9"/>
        <v>0</v>
      </c>
      <c r="I62" s="336"/>
      <c r="J62" s="336"/>
      <c r="K62" s="336"/>
      <c r="L62" s="337"/>
      <c r="M62" s="276"/>
      <c r="O62" s="343"/>
      <c r="P62" s="344"/>
    </row>
    <row r="63" spans="1:17" s="342" customFormat="1" ht="18" hidden="1" customHeight="1">
      <c r="A63" s="9" t="s">
        <v>92</v>
      </c>
      <c r="B63" s="340" t="s">
        <v>89</v>
      </c>
      <c r="C63" s="338"/>
      <c r="D63" s="329"/>
      <c r="E63" s="329" t="s">
        <v>292</v>
      </c>
      <c r="F63" s="345">
        <v>0</v>
      </c>
      <c r="G63" s="336">
        <v>300000</v>
      </c>
      <c r="H63" s="336">
        <f t="shared" si="9"/>
        <v>0</v>
      </c>
      <c r="I63" s="336">
        <v>500000</v>
      </c>
      <c r="J63" s="336">
        <f t="shared" si="10"/>
        <v>0</v>
      </c>
      <c r="K63" s="336">
        <f t="shared" si="11"/>
        <v>800000</v>
      </c>
      <c r="L63" s="337">
        <f t="shared" si="12"/>
        <v>0</v>
      </c>
      <c r="M63" s="276"/>
      <c r="O63" s="343"/>
      <c r="P63" s="344"/>
    </row>
    <row r="64" spans="1:17" s="342" customFormat="1" ht="18" hidden="1" customHeight="1">
      <c r="A64" s="9" t="s">
        <v>92</v>
      </c>
      <c r="B64" s="340" t="s">
        <v>284</v>
      </c>
      <c r="C64" s="338" t="s">
        <v>293</v>
      </c>
      <c r="D64" s="329"/>
      <c r="E64" s="329" t="s">
        <v>286</v>
      </c>
      <c r="F64" s="345">
        <v>0</v>
      </c>
      <c r="G64" s="336">
        <f>520000*1.1</f>
        <v>572000</v>
      </c>
      <c r="H64" s="336">
        <f t="shared" si="9"/>
        <v>0</v>
      </c>
      <c r="I64" s="336">
        <v>450000</v>
      </c>
      <c r="J64" s="336">
        <f t="shared" si="10"/>
        <v>0</v>
      </c>
      <c r="K64" s="336">
        <f t="shared" si="11"/>
        <v>1022000</v>
      </c>
      <c r="L64" s="337">
        <f t="shared" si="12"/>
        <v>0</v>
      </c>
      <c r="M64" s="276"/>
      <c r="O64" s="343" t="s">
        <v>294</v>
      </c>
      <c r="P64" s="344"/>
    </row>
    <row r="65" spans="1:17" s="342" customFormat="1" ht="18" hidden="1" customHeight="1">
      <c r="A65" s="9" t="s">
        <v>92</v>
      </c>
      <c r="B65" s="340" t="s">
        <v>285</v>
      </c>
      <c r="C65" s="338"/>
      <c r="D65" s="329"/>
      <c r="E65" s="329" t="s">
        <v>286</v>
      </c>
      <c r="F65" s="345">
        <v>0</v>
      </c>
      <c r="G65" s="336">
        <v>0</v>
      </c>
      <c r="H65" s="336">
        <f t="shared" ref="H65:H78" si="23">F65*G65</f>
        <v>0</v>
      </c>
      <c r="I65" s="336">
        <v>0</v>
      </c>
      <c r="J65" s="336">
        <f>F65*I65</f>
        <v>0</v>
      </c>
      <c r="K65" s="336">
        <f>G65+I65</f>
        <v>0</v>
      </c>
      <c r="L65" s="337">
        <f>F65*K65</f>
        <v>0</v>
      </c>
      <c r="M65" s="276"/>
      <c r="O65" s="343" t="s">
        <v>295</v>
      </c>
      <c r="P65" s="344"/>
    </row>
    <row r="66" spans="1:17" s="342" customFormat="1" ht="18" hidden="1" customHeight="1">
      <c r="A66" s="9" t="s">
        <v>287</v>
      </c>
      <c r="B66" s="340" t="s">
        <v>289</v>
      </c>
      <c r="C66" s="338" t="s">
        <v>293</v>
      </c>
      <c r="D66" s="329"/>
      <c r="E66" s="329" t="s">
        <v>286</v>
      </c>
      <c r="F66" s="345">
        <v>0</v>
      </c>
      <c r="G66" s="336">
        <v>0</v>
      </c>
      <c r="H66" s="336">
        <f t="shared" si="23"/>
        <v>0</v>
      </c>
      <c r="I66" s="336">
        <v>150000</v>
      </c>
      <c r="J66" s="336">
        <f>F66*I66</f>
        <v>0</v>
      </c>
      <c r="K66" s="336">
        <f>G66+I66</f>
        <v>150000</v>
      </c>
      <c r="L66" s="337">
        <f>F66*K66</f>
        <v>0</v>
      </c>
      <c r="M66" s="276"/>
      <c r="O66" s="343"/>
      <c r="P66" s="344"/>
    </row>
    <row r="67" spans="1:17" s="342" customFormat="1" ht="18" hidden="1" customHeight="1">
      <c r="A67" s="9" t="s">
        <v>288</v>
      </c>
      <c r="B67" s="340" t="s">
        <v>290</v>
      </c>
      <c r="C67" s="338" t="s">
        <v>297</v>
      </c>
      <c r="D67" s="329"/>
      <c r="E67" s="329" t="s">
        <v>291</v>
      </c>
      <c r="F67" s="345">
        <v>0</v>
      </c>
      <c r="G67" s="336">
        <f>74000*1.1</f>
        <v>81400</v>
      </c>
      <c r="H67" s="336">
        <f t="shared" si="23"/>
        <v>0</v>
      </c>
      <c r="I67" s="336">
        <v>110000</v>
      </c>
      <c r="J67" s="336">
        <f>F67*I67</f>
        <v>0</v>
      </c>
      <c r="K67" s="336">
        <f>G67+I67</f>
        <v>191400</v>
      </c>
      <c r="L67" s="337">
        <f>F67*K67</f>
        <v>0</v>
      </c>
      <c r="M67" s="276"/>
      <c r="O67" s="343"/>
      <c r="P67" s="344"/>
    </row>
    <row r="68" spans="1:17" s="342" customFormat="1" ht="18" customHeight="1">
      <c r="A68" s="9"/>
      <c r="B68" s="340"/>
      <c r="C68" s="338"/>
      <c r="D68" s="329"/>
      <c r="E68" s="329"/>
      <c r="F68" s="345"/>
      <c r="G68" s="336"/>
      <c r="H68" s="336"/>
      <c r="I68" s="336"/>
      <c r="J68" s="336"/>
      <c r="K68" s="336"/>
      <c r="L68" s="337"/>
      <c r="M68" s="276"/>
      <c r="O68" s="343"/>
      <c r="P68" s="344"/>
    </row>
    <row r="69" spans="1:17" s="17" customFormat="1" ht="18" customHeight="1">
      <c r="A69" s="11"/>
      <c r="B69" s="11" t="s">
        <v>13</v>
      </c>
      <c r="C69" s="11"/>
      <c r="D69" s="13"/>
      <c r="E69" s="13"/>
      <c r="F69" s="45"/>
      <c r="G69" s="42"/>
      <c r="H69" s="42">
        <f>SUM(H52:H64)</f>
        <v>1363000</v>
      </c>
      <c r="I69" s="42"/>
      <c r="J69" s="42">
        <f>SUM(J52:J64)</f>
        <v>3551000</v>
      </c>
      <c r="K69" s="42"/>
      <c r="L69" s="43">
        <f>SUM(L52:L65)</f>
        <v>4914000</v>
      </c>
      <c r="M69" s="177"/>
      <c r="O69" s="164"/>
      <c r="P69" s="169"/>
      <c r="Q69" s="375">
        <v>5335000</v>
      </c>
    </row>
    <row r="70" spans="1:17" s="342" customFormat="1" ht="18" customHeight="1">
      <c r="A70" s="9"/>
      <c r="B70" s="340"/>
      <c r="C70" s="338"/>
      <c r="D70" s="329"/>
      <c r="E70" s="329"/>
      <c r="F70" s="345"/>
      <c r="G70" s="336"/>
      <c r="H70" s="336"/>
      <c r="I70" s="336"/>
      <c r="J70" s="336"/>
      <c r="K70" s="336"/>
      <c r="L70" s="337"/>
      <c r="M70" s="276"/>
      <c r="O70" s="343"/>
      <c r="P70" s="344"/>
    </row>
    <row r="71" spans="1:17" s="17" customFormat="1" ht="18" customHeight="1">
      <c r="A71" s="39" t="s">
        <v>30</v>
      </c>
      <c r="B71" s="40" t="s">
        <v>526</v>
      </c>
      <c r="C71" s="362"/>
      <c r="D71" s="13"/>
      <c r="E71" s="13"/>
      <c r="F71" s="41"/>
      <c r="G71" s="42"/>
      <c r="H71" s="42"/>
      <c r="I71" s="42"/>
      <c r="J71" s="42"/>
      <c r="K71" s="42"/>
      <c r="L71" s="43"/>
      <c r="M71" s="256"/>
      <c r="N71" s="17" t="s">
        <v>155</v>
      </c>
      <c r="O71" s="164"/>
      <c r="P71" s="169"/>
    </row>
    <row r="72" spans="1:17" ht="18" customHeight="1">
      <c r="A72" s="9" t="s">
        <v>92</v>
      </c>
      <c r="B72" s="10" t="s">
        <v>89</v>
      </c>
      <c r="C72" s="377"/>
      <c r="D72" s="4"/>
      <c r="E72" s="4" t="s">
        <v>75</v>
      </c>
      <c r="F72" s="44">
        <v>2</v>
      </c>
      <c r="G72" s="24">
        <v>450000</v>
      </c>
      <c r="H72" s="24">
        <f t="shared" ref="H72" si="24">F72*G72</f>
        <v>900000</v>
      </c>
      <c r="I72" s="24">
        <v>550000</v>
      </c>
      <c r="J72" s="24">
        <f t="shared" ref="J72" si="25">F72*I72</f>
        <v>1100000</v>
      </c>
      <c r="K72" s="24">
        <f t="shared" ref="K72" si="26">G72+I72</f>
        <v>1000000</v>
      </c>
      <c r="L72" s="25">
        <f t="shared" ref="L72" si="27">F72*K72</f>
        <v>2000000</v>
      </c>
      <c r="M72" s="256"/>
      <c r="O72" s="8"/>
      <c r="P72" s="8"/>
      <c r="Q72" s="8" t="s">
        <v>542</v>
      </c>
    </row>
    <row r="73" spans="1:17" ht="18" customHeight="1">
      <c r="A73" s="9" t="s">
        <v>92</v>
      </c>
      <c r="B73" s="10" t="s">
        <v>89</v>
      </c>
      <c r="C73" s="9" t="s">
        <v>618</v>
      </c>
      <c r="D73" s="4"/>
      <c r="E73" s="4" t="s">
        <v>75</v>
      </c>
      <c r="F73" s="44">
        <v>1</v>
      </c>
      <c r="G73" s="24">
        <v>200000</v>
      </c>
      <c r="H73" s="24">
        <f t="shared" ref="H73" si="28">F73*G73</f>
        <v>200000</v>
      </c>
      <c r="I73" s="24">
        <v>300000</v>
      </c>
      <c r="J73" s="24">
        <f t="shared" ref="J73" si="29">F73*I73</f>
        <v>300000</v>
      </c>
      <c r="K73" s="24">
        <f t="shared" ref="K73" si="30">G73+I73</f>
        <v>500000</v>
      </c>
      <c r="L73" s="25">
        <f t="shared" ref="L73" si="31">F73*K73</f>
        <v>500000</v>
      </c>
      <c r="M73" s="256"/>
      <c r="O73" s="8"/>
      <c r="P73" s="8"/>
      <c r="Q73" s="8" t="s">
        <v>542</v>
      </c>
    </row>
    <row r="74" spans="1:17" s="342" customFormat="1" ht="18" customHeight="1">
      <c r="A74" s="9" t="s">
        <v>92</v>
      </c>
      <c r="B74" s="340" t="s">
        <v>553</v>
      </c>
      <c r="C74" s="338" t="s">
        <v>633</v>
      </c>
      <c r="D74" s="329"/>
      <c r="E74" s="329" t="s">
        <v>75</v>
      </c>
      <c r="F74" s="345">
        <v>1</v>
      </c>
      <c r="G74" s="336">
        <v>150000</v>
      </c>
      <c r="H74" s="336">
        <f t="shared" si="23"/>
        <v>150000</v>
      </c>
      <c r="I74" s="336">
        <v>200000</v>
      </c>
      <c r="J74" s="336">
        <f>F74*I74</f>
        <v>200000</v>
      </c>
      <c r="K74" s="336">
        <f>G74+I74</f>
        <v>350000</v>
      </c>
      <c r="L74" s="337">
        <f>F74*K74</f>
        <v>350000</v>
      </c>
      <c r="M74" s="276"/>
      <c r="O74" s="343"/>
      <c r="P74" s="344"/>
    </row>
    <row r="75" spans="1:17" s="342" customFormat="1" ht="18" customHeight="1">
      <c r="A75" s="9" t="s">
        <v>92</v>
      </c>
      <c r="B75" s="340" t="s">
        <v>91</v>
      </c>
      <c r="C75" s="338" t="s">
        <v>505</v>
      </c>
      <c r="D75" s="329" t="s">
        <v>534</v>
      </c>
      <c r="E75" s="329" t="s">
        <v>506</v>
      </c>
      <c r="F75" s="345">
        <v>2</v>
      </c>
      <c r="G75" s="336">
        <v>150000</v>
      </c>
      <c r="H75" s="336">
        <f t="shared" si="23"/>
        <v>300000</v>
      </c>
      <c r="I75" s="336">
        <v>300000</v>
      </c>
      <c r="J75" s="336">
        <f t="shared" si="10"/>
        <v>600000</v>
      </c>
      <c r="K75" s="336">
        <f t="shared" si="11"/>
        <v>450000</v>
      </c>
      <c r="L75" s="337">
        <f t="shared" si="12"/>
        <v>900000</v>
      </c>
      <c r="M75" s="276"/>
      <c r="O75" s="343"/>
      <c r="P75" s="344"/>
      <c r="Q75" s="376">
        <f>320000+250000</f>
        <v>570000</v>
      </c>
    </row>
    <row r="76" spans="1:17" s="342" customFormat="1" ht="18" hidden="1" customHeight="1">
      <c r="A76" s="9" t="s">
        <v>288</v>
      </c>
      <c r="B76" s="340" t="s">
        <v>298</v>
      </c>
      <c r="C76" s="338" t="s">
        <v>299</v>
      </c>
      <c r="D76" s="329"/>
      <c r="E76" s="329" t="s">
        <v>300</v>
      </c>
      <c r="F76" s="345">
        <v>0</v>
      </c>
      <c r="G76" s="336">
        <v>80000</v>
      </c>
      <c r="H76" s="336">
        <f t="shared" si="23"/>
        <v>0</v>
      </c>
      <c r="I76" s="336">
        <v>30000</v>
      </c>
      <c r="J76" s="336">
        <f t="shared" si="10"/>
        <v>0</v>
      </c>
      <c r="K76" s="336">
        <f t="shared" si="11"/>
        <v>110000</v>
      </c>
      <c r="L76" s="337">
        <f t="shared" si="12"/>
        <v>0</v>
      </c>
      <c r="M76" s="276"/>
      <c r="O76" s="343"/>
      <c r="P76" s="344"/>
    </row>
    <row r="77" spans="1:17" s="342" customFormat="1" ht="18" customHeight="1">
      <c r="A77" s="9" t="s">
        <v>92</v>
      </c>
      <c r="B77" s="340" t="s">
        <v>536</v>
      </c>
      <c r="C77" s="338" t="s">
        <v>537</v>
      </c>
      <c r="D77" s="329" t="s">
        <v>534</v>
      </c>
      <c r="E77" s="329" t="s">
        <v>75</v>
      </c>
      <c r="F77" s="345">
        <v>2</v>
      </c>
      <c r="G77" s="336">
        <v>50000</v>
      </c>
      <c r="H77" s="336">
        <f t="shared" ref="H77" si="32">F77*G77</f>
        <v>100000</v>
      </c>
      <c r="I77" s="336">
        <v>150000</v>
      </c>
      <c r="J77" s="336">
        <f t="shared" ref="J77" si="33">F77*I77</f>
        <v>300000</v>
      </c>
      <c r="K77" s="336">
        <f t="shared" ref="K77" si="34">G77+I77</f>
        <v>200000</v>
      </c>
      <c r="L77" s="337">
        <f t="shared" ref="L77" si="35">F77*K77</f>
        <v>400000</v>
      </c>
      <c r="M77" s="276"/>
      <c r="O77" s="343"/>
      <c r="P77" s="344"/>
      <c r="Q77" s="376">
        <f>320000+250000</f>
        <v>570000</v>
      </c>
    </row>
    <row r="78" spans="1:17" s="342" customFormat="1" ht="18" customHeight="1">
      <c r="A78" s="9" t="s">
        <v>93</v>
      </c>
      <c r="B78" s="340" t="s">
        <v>589</v>
      </c>
      <c r="C78" s="338" t="s">
        <v>535</v>
      </c>
      <c r="D78" s="329" t="s">
        <v>534</v>
      </c>
      <c r="E78" s="329" t="s">
        <v>75</v>
      </c>
      <c r="F78" s="345">
        <v>2</v>
      </c>
      <c r="G78" s="336">
        <v>150000</v>
      </c>
      <c r="H78" s="336">
        <f t="shared" si="23"/>
        <v>300000</v>
      </c>
      <c r="I78" s="336">
        <v>150000</v>
      </c>
      <c r="J78" s="336">
        <f t="shared" ref="J78" si="36">F78*I78</f>
        <v>300000</v>
      </c>
      <c r="K78" s="336">
        <f t="shared" ref="K78" si="37">G78+I78</f>
        <v>300000</v>
      </c>
      <c r="L78" s="337">
        <f t="shared" ref="L78" si="38">F78*K78</f>
        <v>600000</v>
      </c>
      <c r="M78" s="286"/>
      <c r="O78" s="343"/>
      <c r="P78" s="344"/>
      <c r="Q78" s="376">
        <v>450000</v>
      </c>
    </row>
    <row r="79" spans="1:17" s="293" customFormat="1" ht="18" customHeight="1">
      <c r="A79" s="159" t="s">
        <v>93</v>
      </c>
      <c r="B79" s="160" t="s">
        <v>622</v>
      </c>
      <c r="C79" s="159" t="s">
        <v>590</v>
      </c>
      <c r="D79" s="388"/>
      <c r="E79" s="388" t="s">
        <v>558</v>
      </c>
      <c r="F79" s="389">
        <v>0</v>
      </c>
      <c r="G79" s="390">
        <v>600000</v>
      </c>
      <c r="H79" s="390">
        <f t="shared" si="9"/>
        <v>0</v>
      </c>
      <c r="I79" s="390">
        <v>900000</v>
      </c>
      <c r="J79" s="390">
        <f t="shared" si="10"/>
        <v>0</v>
      </c>
      <c r="K79" s="390">
        <f t="shared" si="11"/>
        <v>1500000</v>
      </c>
      <c r="L79" s="391">
        <f t="shared" si="12"/>
        <v>0</v>
      </c>
      <c r="M79" s="292" t="s">
        <v>566</v>
      </c>
      <c r="O79" s="294"/>
      <c r="P79" s="295"/>
      <c r="Q79" s="392">
        <v>450000</v>
      </c>
    </row>
    <row r="80" spans="1:17" s="277" customFormat="1" ht="18" hidden="1" customHeight="1">
      <c r="A80" s="347" t="s">
        <v>421</v>
      </c>
      <c r="B80" s="271" t="s">
        <v>419</v>
      </c>
      <c r="C80" s="347" t="s">
        <v>420</v>
      </c>
      <c r="D80" s="272"/>
      <c r="E80" s="272" t="s">
        <v>390</v>
      </c>
      <c r="F80" s="345">
        <v>0</v>
      </c>
      <c r="G80" s="274">
        <v>300000</v>
      </c>
      <c r="H80" s="274">
        <f>F80*G80</f>
        <v>0</v>
      </c>
      <c r="I80" s="274">
        <v>150000</v>
      </c>
      <c r="J80" s="274">
        <f>F80*I80</f>
        <v>0</v>
      </c>
      <c r="K80" s="274">
        <f>G80+I80</f>
        <v>450000</v>
      </c>
      <c r="L80" s="275">
        <f>F80*K80</f>
        <v>0</v>
      </c>
      <c r="M80" s="276"/>
      <c r="O80" s="278"/>
      <c r="P80" s="279"/>
    </row>
    <row r="81" spans="1:18" s="321" customFormat="1" ht="18" hidden="1" customHeight="1">
      <c r="A81" s="159" t="s">
        <v>445</v>
      </c>
      <c r="B81" s="316" t="s">
        <v>446</v>
      </c>
      <c r="C81" s="358" t="s">
        <v>451</v>
      </c>
      <c r="D81" s="317"/>
      <c r="E81" s="317" t="s">
        <v>449</v>
      </c>
      <c r="F81" s="330">
        <v>0</v>
      </c>
      <c r="G81" s="319">
        <v>50000</v>
      </c>
      <c r="H81" s="319">
        <f>F81*G81</f>
        <v>0</v>
      </c>
      <c r="I81" s="319">
        <v>250000</v>
      </c>
      <c r="J81" s="319">
        <f>F81*I81</f>
        <v>0</v>
      </c>
      <c r="K81" s="319">
        <f>G81+I81</f>
        <v>300000</v>
      </c>
      <c r="L81" s="320">
        <f>F81*K81</f>
        <v>0</v>
      </c>
      <c r="M81" s="286"/>
      <c r="O81" s="322"/>
      <c r="P81" s="323"/>
    </row>
    <row r="82" spans="1:18" s="321" customFormat="1" ht="18" hidden="1" customHeight="1">
      <c r="A82" s="159" t="s">
        <v>447</v>
      </c>
      <c r="B82" s="316" t="s">
        <v>448</v>
      </c>
      <c r="C82" s="358" t="s">
        <v>451</v>
      </c>
      <c r="D82" s="317"/>
      <c r="E82" s="317" t="s">
        <v>450</v>
      </c>
      <c r="F82" s="330">
        <v>0</v>
      </c>
      <c r="G82" s="319">
        <v>50000</v>
      </c>
      <c r="H82" s="319">
        <f>F82*G82</f>
        <v>0</v>
      </c>
      <c r="I82" s="319">
        <v>250000</v>
      </c>
      <c r="J82" s="319">
        <f>F82*I82</f>
        <v>0</v>
      </c>
      <c r="K82" s="319">
        <f>G82+I82</f>
        <v>300000</v>
      </c>
      <c r="L82" s="320">
        <f>F82*K82</f>
        <v>0</v>
      </c>
      <c r="M82" s="286"/>
      <c r="O82" s="322"/>
      <c r="P82" s="323"/>
    </row>
    <row r="83" spans="1:18" s="293" customFormat="1" ht="18" customHeight="1">
      <c r="A83" s="159"/>
      <c r="B83" s="160"/>
      <c r="C83" s="159"/>
      <c r="D83" s="388"/>
      <c r="E83" s="388"/>
      <c r="F83" s="389"/>
      <c r="G83" s="390"/>
      <c r="H83" s="390"/>
      <c r="I83" s="390"/>
      <c r="J83" s="390"/>
      <c r="K83" s="390"/>
      <c r="L83" s="391"/>
      <c r="M83" s="292"/>
      <c r="O83" s="294"/>
      <c r="P83" s="295"/>
      <c r="Q83" s="392"/>
    </row>
    <row r="84" spans="1:18" ht="18" customHeight="1">
      <c r="A84" s="9"/>
      <c r="B84" s="10"/>
      <c r="C84" s="9"/>
      <c r="D84" s="4"/>
      <c r="E84" s="4"/>
      <c r="F84" s="44"/>
      <c r="G84" s="24"/>
      <c r="H84" s="24"/>
      <c r="I84" s="24"/>
      <c r="J84" s="24"/>
      <c r="K84" s="24"/>
      <c r="L84" s="25"/>
      <c r="M84" s="177"/>
    </row>
    <row r="85" spans="1:18" s="17" customFormat="1" ht="18" customHeight="1">
      <c r="A85" s="11"/>
      <c r="B85" s="11" t="s">
        <v>13</v>
      </c>
      <c r="C85" s="11"/>
      <c r="D85" s="13"/>
      <c r="E85" s="13"/>
      <c r="F85" s="45"/>
      <c r="G85" s="42"/>
      <c r="H85" s="43">
        <f>SUM(H72:H80)</f>
        <v>1950000</v>
      </c>
      <c r="I85" s="42"/>
      <c r="J85" s="43">
        <f>SUM(J72:J80)</f>
        <v>2800000</v>
      </c>
      <c r="K85" s="42"/>
      <c r="L85" s="43">
        <f>SUM(L72:L80)</f>
        <v>4750000</v>
      </c>
      <c r="M85" s="177"/>
      <c r="O85" s="164"/>
      <c r="P85" s="169"/>
    </row>
    <row r="86" spans="1:18" ht="18" customHeight="1">
      <c r="A86" s="11"/>
      <c r="B86" s="12"/>
      <c r="C86" s="9"/>
      <c r="D86" s="4"/>
      <c r="E86" s="4"/>
      <c r="F86" s="44"/>
      <c r="G86" s="24"/>
      <c r="H86" s="24"/>
      <c r="I86" s="24"/>
      <c r="J86" s="24"/>
      <c r="K86" s="24"/>
      <c r="L86" s="25"/>
      <c r="M86" s="177"/>
    </row>
    <row r="87" spans="1:18" s="17" customFormat="1" ht="18" customHeight="1">
      <c r="A87" s="39" t="s">
        <v>510</v>
      </c>
      <c r="B87" s="40" t="s">
        <v>94</v>
      </c>
      <c r="C87" s="362"/>
      <c r="D87" s="13"/>
      <c r="E87" s="13"/>
      <c r="F87" s="45"/>
      <c r="G87" s="42"/>
      <c r="H87" s="42"/>
      <c r="I87" s="42"/>
      <c r="J87" s="42"/>
      <c r="K87" s="42"/>
      <c r="L87" s="43"/>
      <c r="M87" s="177"/>
      <c r="O87" s="164"/>
      <c r="P87" s="169"/>
    </row>
    <row r="88" spans="1:18" s="52" customFormat="1" ht="18" customHeight="1">
      <c r="A88" s="46">
        <v>-1</v>
      </c>
      <c r="B88" s="47" t="s">
        <v>96</v>
      </c>
      <c r="C88" s="46"/>
      <c r="D88" s="48"/>
      <c r="E88" s="48"/>
      <c r="F88" s="49"/>
      <c r="G88" s="50"/>
      <c r="H88" s="50"/>
      <c r="I88" s="50"/>
      <c r="J88" s="50"/>
      <c r="K88" s="50"/>
      <c r="L88" s="51"/>
      <c r="M88" s="177"/>
      <c r="O88" s="166"/>
      <c r="P88" s="171"/>
    </row>
    <row r="89" spans="1:18" s="52" customFormat="1" ht="18" customHeight="1">
      <c r="A89" s="53" t="s">
        <v>187</v>
      </c>
      <c r="B89" s="47" t="s">
        <v>95</v>
      </c>
      <c r="C89" s="53"/>
      <c r="D89" s="48"/>
      <c r="E89" s="48" t="s">
        <v>183</v>
      </c>
      <c r="F89" s="54">
        <v>1</v>
      </c>
      <c r="G89" s="50">
        <v>50000</v>
      </c>
      <c r="H89" s="50">
        <f t="shared" ref="H89:H96" si="39">F89*G89</f>
        <v>50000</v>
      </c>
      <c r="I89" s="50">
        <v>150000</v>
      </c>
      <c r="J89" s="50">
        <f t="shared" ref="J89:J96" si="40">F89*I89</f>
        <v>150000</v>
      </c>
      <c r="K89" s="50">
        <f t="shared" ref="K89:K96" si="41">G89+I89</f>
        <v>200000</v>
      </c>
      <c r="L89" s="51">
        <f t="shared" ref="L89:L96" si="42">F89*K89</f>
        <v>200000</v>
      </c>
      <c r="M89" s="177"/>
      <c r="O89" s="166"/>
      <c r="P89" s="171"/>
    </row>
    <row r="90" spans="1:18" s="52" customFormat="1" ht="18" hidden="1" customHeight="1">
      <c r="A90" s="53" t="s">
        <v>187</v>
      </c>
      <c r="B90" s="47" t="s">
        <v>260</v>
      </c>
      <c r="C90" s="53"/>
      <c r="D90" s="48" t="s">
        <v>377</v>
      </c>
      <c r="E90" s="48" t="s">
        <v>37</v>
      </c>
      <c r="F90" s="54"/>
      <c r="G90" s="50">
        <v>2200</v>
      </c>
      <c r="H90" s="50">
        <f t="shared" si="39"/>
        <v>0</v>
      </c>
      <c r="I90" s="50">
        <v>6600</v>
      </c>
      <c r="J90" s="50">
        <f t="shared" si="40"/>
        <v>0</v>
      </c>
      <c r="K90" s="50">
        <f t="shared" si="41"/>
        <v>8800</v>
      </c>
      <c r="L90" s="51">
        <f t="shared" si="42"/>
        <v>0</v>
      </c>
      <c r="M90" s="177"/>
      <c r="O90" s="166">
        <f>((3.3+3+3.3+0.6)+(2.1+0.4+0.7+1.4+4.3+1.9+2.4+3.2)+(2.9+2.7+2.1)+(2.3+3.6+3.9+1.3+2.2))*2+(0.8+0.7+0.7+3.3+1.9+2.5)+(2.1+2.1+0.8)*4</f>
        <v>125.1</v>
      </c>
      <c r="P90" s="171"/>
    </row>
    <row r="91" spans="1:18" ht="18" customHeight="1">
      <c r="A91" s="172" t="s">
        <v>187</v>
      </c>
      <c r="B91" s="10" t="s">
        <v>178</v>
      </c>
      <c r="C91" s="172"/>
      <c r="D91" s="48"/>
      <c r="E91" s="4" t="s">
        <v>39</v>
      </c>
      <c r="F91" s="173">
        <v>38</v>
      </c>
      <c r="G91" s="24">
        <v>11000</v>
      </c>
      <c r="H91" s="24">
        <f t="shared" si="39"/>
        <v>418000</v>
      </c>
      <c r="I91" s="24">
        <v>16500</v>
      </c>
      <c r="J91" s="24">
        <f t="shared" si="40"/>
        <v>627000</v>
      </c>
      <c r="K91" s="24">
        <f t="shared" si="41"/>
        <v>27500</v>
      </c>
      <c r="L91" s="407">
        <f t="shared" si="42"/>
        <v>1045000</v>
      </c>
      <c r="M91" s="177"/>
      <c r="O91" s="163">
        <f>(5*7)</f>
        <v>35</v>
      </c>
      <c r="Q91" s="8" t="s">
        <v>538</v>
      </c>
      <c r="R91" s="8">
        <f>12*2.4</f>
        <v>28.799999999999997</v>
      </c>
    </row>
    <row r="92" spans="1:18" s="52" customFormat="1" ht="18" customHeight="1">
      <c r="A92" s="53" t="s">
        <v>187</v>
      </c>
      <c r="B92" s="47" t="s">
        <v>306</v>
      </c>
      <c r="C92" s="53"/>
      <c r="D92" s="48" t="s">
        <v>617</v>
      </c>
      <c r="E92" s="48" t="s">
        <v>11</v>
      </c>
      <c r="F92" s="54">
        <v>20</v>
      </c>
      <c r="G92" s="50">
        <v>8500</v>
      </c>
      <c r="H92" s="50">
        <f t="shared" si="39"/>
        <v>170000</v>
      </c>
      <c r="I92" s="50">
        <v>16500</v>
      </c>
      <c r="J92" s="50">
        <f>F92*I92</f>
        <v>330000</v>
      </c>
      <c r="K92" s="50">
        <f t="shared" si="41"/>
        <v>25000</v>
      </c>
      <c r="L92" s="25">
        <f t="shared" si="42"/>
        <v>500000</v>
      </c>
      <c r="M92" s="176"/>
      <c r="O92" s="166">
        <f>73+4+2</f>
        <v>79</v>
      </c>
      <c r="P92" s="171"/>
    </row>
    <row r="93" spans="1:18" s="52" customFormat="1" ht="18" customHeight="1">
      <c r="A93" s="53" t="s">
        <v>187</v>
      </c>
      <c r="B93" s="47" t="s">
        <v>179</v>
      </c>
      <c r="C93" s="53"/>
      <c r="D93" s="48"/>
      <c r="E93" s="48" t="s">
        <v>180</v>
      </c>
      <c r="F93" s="54">
        <v>0</v>
      </c>
      <c r="G93" s="50">
        <v>8800</v>
      </c>
      <c r="H93" s="50">
        <f t="shared" si="39"/>
        <v>0</v>
      </c>
      <c r="I93" s="50">
        <v>16500</v>
      </c>
      <c r="J93" s="50">
        <f t="shared" si="40"/>
        <v>0</v>
      </c>
      <c r="K93" s="50">
        <f t="shared" si="41"/>
        <v>25300</v>
      </c>
      <c r="L93" s="51">
        <f t="shared" si="42"/>
        <v>0</v>
      </c>
      <c r="M93" s="177"/>
      <c r="O93" s="166"/>
      <c r="P93" s="171"/>
    </row>
    <row r="94" spans="1:18" s="52" customFormat="1" ht="18" hidden="1" customHeight="1">
      <c r="A94" s="53" t="s">
        <v>349</v>
      </c>
      <c r="B94" s="47" t="s">
        <v>322</v>
      </c>
      <c r="C94" s="53"/>
      <c r="D94" s="48" t="s">
        <v>380</v>
      </c>
      <c r="E94" s="48" t="s">
        <v>323</v>
      </c>
      <c r="F94" s="54"/>
      <c r="G94" s="50">
        <v>8800</v>
      </c>
      <c r="H94" s="50">
        <f t="shared" si="39"/>
        <v>0</v>
      </c>
      <c r="I94" s="50">
        <v>16500</v>
      </c>
      <c r="J94" s="50">
        <f t="shared" si="40"/>
        <v>0</v>
      </c>
      <c r="K94" s="50">
        <f t="shared" si="41"/>
        <v>25300</v>
      </c>
      <c r="L94" s="51">
        <f t="shared" si="42"/>
        <v>0</v>
      </c>
      <c r="M94" s="177"/>
      <c r="O94" s="166">
        <f>3.72+1.84</f>
        <v>5.5600000000000005</v>
      </c>
      <c r="P94" s="171"/>
    </row>
    <row r="95" spans="1:18" s="52" customFormat="1" ht="18" customHeight="1">
      <c r="A95" s="53" t="s">
        <v>392</v>
      </c>
      <c r="B95" s="47" t="s">
        <v>543</v>
      </c>
      <c r="C95" s="53" t="s">
        <v>405</v>
      </c>
      <c r="D95" s="48" t="s">
        <v>378</v>
      </c>
      <c r="E95" s="48" t="s">
        <v>180</v>
      </c>
      <c r="F95" s="54">
        <v>140</v>
      </c>
      <c r="G95" s="50">
        <v>2200</v>
      </c>
      <c r="H95" s="50">
        <f t="shared" si="39"/>
        <v>308000</v>
      </c>
      <c r="I95" s="50">
        <v>6600</v>
      </c>
      <c r="J95" s="50">
        <f t="shared" si="40"/>
        <v>924000</v>
      </c>
      <c r="K95" s="50">
        <f t="shared" si="41"/>
        <v>8800</v>
      </c>
      <c r="L95" s="51">
        <f t="shared" si="42"/>
        <v>1232000</v>
      </c>
      <c r="M95" s="177"/>
      <c r="O95" s="166"/>
      <c r="P95" s="171"/>
      <c r="Q95" s="52">
        <v>40</v>
      </c>
    </row>
    <row r="96" spans="1:18" s="52" customFormat="1" ht="18" hidden="1" customHeight="1">
      <c r="A96" s="53" t="s">
        <v>403</v>
      </c>
      <c r="B96" s="47" t="s">
        <v>404</v>
      </c>
      <c r="C96" s="53" t="s">
        <v>406</v>
      </c>
      <c r="D96" s="48" t="s">
        <v>378</v>
      </c>
      <c r="E96" s="48" t="s">
        <v>180</v>
      </c>
      <c r="F96" s="54">
        <v>0</v>
      </c>
      <c r="G96" s="50">
        <v>2200</v>
      </c>
      <c r="H96" s="50">
        <f t="shared" si="39"/>
        <v>0</v>
      </c>
      <c r="I96" s="50">
        <v>6600</v>
      </c>
      <c r="J96" s="50">
        <f t="shared" si="40"/>
        <v>0</v>
      </c>
      <c r="K96" s="50">
        <f t="shared" si="41"/>
        <v>8800</v>
      </c>
      <c r="L96" s="51">
        <f t="shared" si="42"/>
        <v>0</v>
      </c>
      <c r="M96" s="177"/>
      <c r="O96" s="166"/>
      <c r="P96" s="171"/>
    </row>
    <row r="97" spans="1:16" s="52" customFormat="1" ht="18" customHeight="1">
      <c r="A97" s="46"/>
      <c r="B97" s="47"/>
      <c r="C97" s="46"/>
      <c r="D97" s="48"/>
      <c r="E97" s="48"/>
      <c r="F97" s="49"/>
      <c r="G97" s="50"/>
      <c r="H97" s="50"/>
      <c r="I97" s="50"/>
      <c r="J97" s="50"/>
      <c r="K97" s="50"/>
      <c r="L97" s="51"/>
      <c r="M97" s="177"/>
      <c r="O97" s="166"/>
      <c r="P97" s="171"/>
    </row>
    <row r="98" spans="1:16" s="247" customFormat="1" ht="18" customHeight="1">
      <c r="A98" s="243"/>
      <c r="B98" s="243" t="s">
        <v>13</v>
      </c>
      <c r="C98" s="243"/>
      <c r="D98" s="244"/>
      <c r="E98" s="244"/>
      <c r="F98" s="245"/>
      <c r="G98" s="246"/>
      <c r="H98" s="246">
        <f>SUM(H89:H97)</f>
        <v>946000</v>
      </c>
      <c r="I98" s="246"/>
      <c r="J98" s="246">
        <f>SUM(J89:J97)</f>
        <v>2031000</v>
      </c>
      <c r="K98" s="246"/>
      <c r="L98" s="246">
        <f>SUM(L89:L97)</f>
        <v>2977000</v>
      </c>
      <c r="M98" s="176"/>
      <c r="O98" s="248"/>
      <c r="P98" s="249"/>
    </row>
    <row r="99" spans="1:16" ht="18" customHeight="1">
      <c r="A99" s="9"/>
      <c r="B99" s="10"/>
      <c r="C99" s="9"/>
      <c r="D99" s="4"/>
      <c r="E99" s="4"/>
      <c r="F99" s="44"/>
      <c r="G99" s="24"/>
      <c r="H99" s="24"/>
      <c r="I99" s="24"/>
      <c r="J99" s="24"/>
      <c r="K99" s="24"/>
      <c r="L99" s="25"/>
      <c r="M99" s="177"/>
    </row>
    <row r="100" spans="1:16" s="17" customFormat="1" ht="18" customHeight="1">
      <c r="A100" s="39" t="s">
        <v>511</v>
      </c>
      <c r="B100" s="40" t="s">
        <v>99</v>
      </c>
      <c r="C100" s="362"/>
      <c r="D100" s="13"/>
      <c r="E100" s="13"/>
      <c r="F100" s="45"/>
      <c r="G100" s="42"/>
      <c r="H100" s="42"/>
      <c r="I100" s="42"/>
      <c r="J100" s="42"/>
      <c r="K100" s="42"/>
      <c r="L100" s="43"/>
      <c r="M100" s="177"/>
      <c r="O100" s="164"/>
      <c r="P100" s="169"/>
    </row>
    <row r="101" spans="1:16" s="52" customFormat="1" ht="18" customHeight="1">
      <c r="A101" s="46">
        <v>-1</v>
      </c>
      <c r="B101" s="47" t="s">
        <v>103</v>
      </c>
      <c r="C101" s="46"/>
      <c r="D101" s="48"/>
      <c r="E101" s="48"/>
      <c r="F101" s="49"/>
      <c r="G101" s="50"/>
      <c r="H101" s="50"/>
      <c r="I101" s="50"/>
      <c r="J101" s="50"/>
      <c r="K101" s="50"/>
      <c r="L101" s="51"/>
      <c r="M101" s="177"/>
      <c r="O101" s="166"/>
      <c r="P101" s="171"/>
    </row>
    <row r="102" spans="1:16" s="52" customFormat="1" ht="18" customHeight="1">
      <c r="A102" s="53" t="s">
        <v>12</v>
      </c>
      <c r="B102" s="47" t="s">
        <v>104</v>
      </c>
      <c r="C102" s="53"/>
      <c r="D102" s="48"/>
      <c r="E102" s="48" t="s">
        <v>101</v>
      </c>
      <c r="F102" s="54">
        <v>6</v>
      </c>
      <c r="G102" s="50">
        <v>120000</v>
      </c>
      <c r="H102" s="50">
        <f>F102*G102</f>
        <v>720000</v>
      </c>
      <c r="I102" s="50">
        <v>30000</v>
      </c>
      <c r="J102" s="50">
        <f>F102*I102</f>
        <v>180000</v>
      </c>
      <c r="K102" s="50">
        <f>G102+I102</f>
        <v>150000</v>
      </c>
      <c r="L102" s="51">
        <f>F102*K102</f>
        <v>900000</v>
      </c>
      <c r="M102" s="177"/>
      <c r="O102" s="166">
        <f>2.5+21</f>
        <v>23.5</v>
      </c>
      <c r="P102" s="171"/>
    </row>
    <row r="103" spans="1:16" s="52" customFormat="1" ht="18" hidden="1" customHeight="1">
      <c r="A103" s="53" t="s">
        <v>328</v>
      </c>
      <c r="B103" s="47" t="s">
        <v>412</v>
      </c>
      <c r="C103" s="53"/>
      <c r="D103" s="48"/>
      <c r="E103" s="48" t="s">
        <v>334</v>
      </c>
      <c r="F103" s="54"/>
      <c r="G103" s="50">
        <v>275000</v>
      </c>
      <c r="H103" s="50">
        <f>F103*G103</f>
        <v>0</v>
      </c>
      <c r="I103" s="50">
        <v>55000</v>
      </c>
      <c r="J103" s="50">
        <f>F103*I103</f>
        <v>0</v>
      </c>
      <c r="K103" s="50">
        <f>G103+I103</f>
        <v>330000</v>
      </c>
      <c r="L103" s="51">
        <f>F103*K103</f>
        <v>0</v>
      </c>
      <c r="M103" s="177"/>
      <c r="O103" s="166"/>
      <c r="P103" s="171"/>
    </row>
    <row r="104" spans="1:16" s="52" customFormat="1" ht="18" hidden="1" customHeight="1">
      <c r="A104" s="53" t="s">
        <v>41</v>
      </c>
      <c r="B104" s="47" t="s">
        <v>411</v>
      </c>
      <c r="C104" s="347"/>
      <c r="D104" s="347" t="s">
        <v>413</v>
      </c>
      <c r="E104" s="48" t="s">
        <v>334</v>
      </c>
      <c r="F104" s="54"/>
      <c r="G104" s="50">
        <v>250000</v>
      </c>
      <c r="H104" s="50">
        <f>F104*G104</f>
        <v>0</v>
      </c>
      <c r="I104" s="50">
        <v>150000</v>
      </c>
      <c r="J104" s="50">
        <f>F104*I104</f>
        <v>0</v>
      </c>
      <c r="K104" s="50">
        <f>G104+I104</f>
        <v>400000</v>
      </c>
      <c r="L104" s="51">
        <f>F104*K104</f>
        <v>0</v>
      </c>
      <c r="M104" s="177"/>
      <c r="O104" s="166"/>
      <c r="P104" s="171"/>
    </row>
    <row r="105" spans="1:16" s="52" customFormat="1" ht="18" hidden="1" customHeight="1">
      <c r="A105" s="53" t="s">
        <v>408</v>
      </c>
      <c r="B105" s="47" t="s">
        <v>409</v>
      </c>
      <c r="C105" s="347" t="s">
        <v>410</v>
      </c>
      <c r="D105" s="48"/>
      <c r="E105" s="48" t="s">
        <v>396</v>
      </c>
      <c r="F105" s="54">
        <v>0</v>
      </c>
      <c r="G105" s="50">
        <v>150000</v>
      </c>
      <c r="H105" s="50">
        <f>F105*G105</f>
        <v>0</v>
      </c>
      <c r="I105" s="50">
        <v>150000</v>
      </c>
      <c r="J105" s="50">
        <f>F105*I105</f>
        <v>0</v>
      </c>
      <c r="K105" s="50">
        <f>G105+I105</f>
        <v>300000</v>
      </c>
      <c r="L105" s="51">
        <f>F105*K105</f>
        <v>0</v>
      </c>
      <c r="M105" s="177"/>
      <c r="O105" s="166"/>
      <c r="P105" s="171"/>
    </row>
    <row r="106" spans="1:16" ht="18" hidden="1" customHeight="1">
      <c r="A106" s="9" t="s">
        <v>41</v>
      </c>
      <c r="B106" s="10" t="s">
        <v>336</v>
      </c>
      <c r="C106" s="9" t="s">
        <v>461</v>
      </c>
      <c r="D106" s="48"/>
      <c r="E106" s="4" t="s">
        <v>36</v>
      </c>
      <c r="F106" s="54">
        <v>0</v>
      </c>
      <c r="G106" s="24">
        <v>150000</v>
      </c>
      <c r="H106" s="24">
        <f>F106*G106</f>
        <v>0</v>
      </c>
      <c r="I106" s="24">
        <v>30000</v>
      </c>
      <c r="J106" s="24">
        <f>F106*I106</f>
        <v>0</v>
      </c>
      <c r="K106" s="24">
        <f t="shared" ref="K106" si="43">G106+I106</f>
        <v>180000</v>
      </c>
      <c r="L106" s="25">
        <f>F106*K106</f>
        <v>0</v>
      </c>
      <c r="M106" s="177"/>
    </row>
    <row r="107" spans="1:16" s="52" customFormat="1" ht="18" hidden="1" customHeight="1">
      <c r="A107" s="46">
        <v>-1</v>
      </c>
      <c r="B107" s="47" t="s">
        <v>414</v>
      </c>
      <c r="C107" s="46"/>
      <c r="D107" s="48"/>
      <c r="E107" s="48"/>
      <c r="F107" s="49"/>
      <c r="G107" s="50"/>
      <c r="H107" s="50"/>
      <c r="I107" s="50"/>
      <c r="J107" s="50"/>
      <c r="K107" s="50"/>
      <c r="L107" s="51"/>
      <c r="M107" s="177"/>
      <c r="O107" s="166"/>
      <c r="P107" s="171"/>
    </row>
    <row r="108" spans="1:16" ht="18" customHeight="1">
      <c r="A108" s="9"/>
      <c r="B108" s="10"/>
      <c r="C108" s="9"/>
      <c r="D108" s="48"/>
      <c r="E108" s="4"/>
      <c r="F108" s="54"/>
      <c r="G108" s="24"/>
      <c r="H108" s="24"/>
      <c r="I108" s="24"/>
      <c r="J108" s="24"/>
      <c r="K108" s="24"/>
      <c r="L108" s="25"/>
      <c r="M108" s="177"/>
    </row>
    <row r="109" spans="1:16" s="52" customFormat="1" ht="18" customHeight="1">
      <c r="A109" s="46">
        <v>-1</v>
      </c>
      <c r="B109" s="47" t="s">
        <v>383</v>
      </c>
      <c r="C109" s="46"/>
      <c r="D109" s="48"/>
      <c r="E109" s="48"/>
      <c r="F109" s="49"/>
      <c r="G109" s="50"/>
      <c r="H109" s="50"/>
      <c r="I109" s="50"/>
      <c r="J109" s="50"/>
      <c r="K109" s="50"/>
      <c r="L109" s="51"/>
      <c r="M109" s="177">
        <f>1.6*1.1+2.5</f>
        <v>4.26</v>
      </c>
      <c r="O109" s="166"/>
      <c r="P109" s="171"/>
    </row>
    <row r="110" spans="1:16" s="52" customFormat="1" ht="18" customHeight="1">
      <c r="A110" s="53" t="s">
        <v>41</v>
      </c>
      <c r="B110" s="47" t="s">
        <v>559</v>
      </c>
      <c r="C110" s="53"/>
      <c r="D110" s="48" t="s">
        <v>555</v>
      </c>
      <c r="E110" s="48" t="s">
        <v>37</v>
      </c>
      <c r="F110" s="54">
        <v>2.5</v>
      </c>
      <c r="G110" s="50">
        <v>275000</v>
      </c>
      <c r="H110" s="50">
        <f t="shared" ref="H110:H122" si="44">F110*G110</f>
        <v>687500</v>
      </c>
      <c r="I110" s="50">
        <v>55000</v>
      </c>
      <c r="J110" s="50">
        <f t="shared" ref="J110:J122" si="45">F110*I110</f>
        <v>137500</v>
      </c>
      <c r="K110" s="50">
        <f t="shared" ref="K110:K114" si="46">G110+I110</f>
        <v>330000</v>
      </c>
      <c r="L110" s="51">
        <f t="shared" ref="L110:L122" si="47">F110*K110</f>
        <v>825000</v>
      </c>
      <c r="M110" s="176"/>
      <c r="O110" s="166"/>
      <c r="P110" s="171"/>
    </row>
    <row r="111" spans="1:16" s="52" customFormat="1" ht="18" hidden="1" customHeight="1">
      <c r="A111" s="53" t="s">
        <v>187</v>
      </c>
      <c r="B111" s="47" t="s">
        <v>226</v>
      </c>
      <c r="C111" s="347" t="s">
        <v>415</v>
      </c>
      <c r="D111" s="347" t="s">
        <v>413</v>
      </c>
      <c r="E111" s="48" t="s">
        <v>37</v>
      </c>
      <c r="F111" s="54"/>
      <c r="G111" s="50">
        <v>250000</v>
      </c>
      <c r="H111" s="50">
        <f t="shared" si="44"/>
        <v>0</v>
      </c>
      <c r="I111" s="50">
        <v>150000</v>
      </c>
      <c r="J111" s="50">
        <f t="shared" si="45"/>
        <v>0</v>
      </c>
      <c r="K111" s="50">
        <f t="shared" si="46"/>
        <v>400000</v>
      </c>
      <c r="L111" s="51">
        <f t="shared" si="47"/>
        <v>0</v>
      </c>
      <c r="M111" s="177"/>
      <c r="O111" s="166"/>
      <c r="P111" s="171"/>
    </row>
    <row r="112" spans="1:16" s="52" customFormat="1" ht="18" hidden="1" customHeight="1">
      <c r="A112" s="53" t="s">
        <v>187</v>
      </c>
      <c r="B112" s="47" t="s">
        <v>227</v>
      </c>
      <c r="C112" s="53" t="s">
        <v>166</v>
      </c>
      <c r="D112" s="53"/>
      <c r="E112" s="48" t="s">
        <v>40</v>
      </c>
      <c r="F112" s="54"/>
      <c r="G112" s="50">
        <v>190000</v>
      </c>
      <c r="H112" s="50">
        <f t="shared" si="44"/>
        <v>0</v>
      </c>
      <c r="I112" s="50">
        <v>50000</v>
      </c>
      <c r="J112" s="50">
        <f t="shared" si="45"/>
        <v>0</v>
      </c>
      <c r="K112" s="50">
        <f t="shared" si="46"/>
        <v>240000</v>
      </c>
      <c r="L112" s="51">
        <f t="shared" si="47"/>
        <v>0</v>
      </c>
      <c r="M112" s="176"/>
      <c r="O112" s="166"/>
      <c r="P112" s="171"/>
    </row>
    <row r="113" spans="1:16" s="52" customFormat="1" ht="18" customHeight="1">
      <c r="A113" s="53" t="s">
        <v>187</v>
      </c>
      <c r="B113" s="47" t="s">
        <v>560</v>
      </c>
      <c r="C113" s="53"/>
      <c r="D113" s="48" t="s">
        <v>555</v>
      </c>
      <c r="E113" s="48" t="s">
        <v>37</v>
      </c>
      <c r="F113" s="54">
        <v>2.5</v>
      </c>
      <c r="G113" s="50">
        <v>275000</v>
      </c>
      <c r="H113" s="50">
        <f>F113*G113</f>
        <v>687500</v>
      </c>
      <c r="I113" s="50">
        <v>55000</v>
      </c>
      <c r="J113" s="50">
        <f>F113*I113</f>
        <v>137500</v>
      </c>
      <c r="K113" s="50">
        <f>G113+I113</f>
        <v>330000</v>
      </c>
      <c r="L113" s="51">
        <f>F113*K113</f>
        <v>825000</v>
      </c>
      <c r="M113" s="177"/>
      <c r="O113" s="166"/>
      <c r="P113" s="171"/>
    </row>
    <row r="114" spans="1:16" s="52" customFormat="1" ht="18" customHeight="1">
      <c r="A114" s="53" t="s">
        <v>12</v>
      </c>
      <c r="B114" s="47" t="s">
        <v>246</v>
      </c>
      <c r="C114" s="53" t="s">
        <v>247</v>
      </c>
      <c r="D114" s="48" t="s">
        <v>573</v>
      </c>
      <c r="E114" s="48" t="s">
        <v>74</v>
      </c>
      <c r="F114" s="54">
        <v>3</v>
      </c>
      <c r="G114" s="50">
        <v>85000</v>
      </c>
      <c r="H114" s="50">
        <f>F114*G114</f>
        <v>255000</v>
      </c>
      <c r="I114" s="50">
        <v>20000</v>
      </c>
      <c r="J114" s="50">
        <f>F114*I114</f>
        <v>60000</v>
      </c>
      <c r="K114" s="50">
        <f t="shared" si="46"/>
        <v>105000</v>
      </c>
      <c r="L114" s="51">
        <f>F114*K114</f>
        <v>315000</v>
      </c>
      <c r="M114" s="177"/>
      <c r="O114" s="166"/>
      <c r="P114" s="171"/>
    </row>
    <row r="115" spans="1:16" s="277" customFormat="1" ht="18" customHeight="1">
      <c r="A115" s="346" t="s">
        <v>478</v>
      </c>
      <c r="B115" s="328" t="s">
        <v>600</v>
      </c>
      <c r="C115" s="347" t="s">
        <v>593</v>
      </c>
      <c r="D115" s="347"/>
      <c r="E115" s="272" t="s">
        <v>37</v>
      </c>
      <c r="F115" s="54">
        <v>2.5</v>
      </c>
      <c r="G115" s="274">
        <v>225000</v>
      </c>
      <c r="H115" s="274">
        <f>F115*G115</f>
        <v>562500</v>
      </c>
      <c r="I115" s="274">
        <v>80000</v>
      </c>
      <c r="J115" s="274">
        <f>F115*I115</f>
        <v>200000</v>
      </c>
      <c r="K115" s="274">
        <f>G115+I115</f>
        <v>305000</v>
      </c>
      <c r="L115" s="275">
        <f>F115*K115</f>
        <v>762500</v>
      </c>
      <c r="M115" s="272"/>
      <c r="O115" s="278"/>
      <c r="P115" s="279"/>
    </row>
    <row r="116" spans="1:16" s="52" customFormat="1" ht="18" hidden="1" customHeight="1">
      <c r="A116" s="53" t="s">
        <v>239</v>
      </c>
      <c r="B116" s="47" t="s">
        <v>240</v>
      </c>
      <c r="C116" s="53"/>
      <c r="D116" s="269"/>
      <c r="E116" s="48" t="s">
        <v>241</v>
      </c>
      <c r="F116" s="54"/>
      <c r="G116" s="50">
        <v>225000</v>
      </c>
      <c r="H116" s="50">
        <f t="shared" si="44"/>
        <v>0</v>
      </c>
      <c r="I116" s="50">
        <v>33000</v>
      </c>
      <c r="J116" s="50">
        <f t="shared" si="45"/>
        <v>0</v>
      </c>
      <c r="K116" s="50">
        <f t="shared" ref="K116:K122" si="48">G116+I116</f>
        <v>258000</v>
      </c>
      <c r="L116" s="51">
        <f t="shared" si="47"/>
        <v>0</v>
      </c>
      <c r="M116" s="176"/>
      <c r="O116" s="166"/>
      <c r="P116" s="171"/>
    </row>
    <row r="117" spans="1:16" s="52" customFormat="1" ht="18" hidden="1" customHeight="1">
      <c r="A117" s="53" t="s">
        <v>239</v>
      </c>
      <c r="B117" s="47" t="s">
        <v>242</v>
      </c>
      <c r="C117" s="53" t="s">
        <v>243</v>
      </c>
      <c r="D117" s="269" t="s">
        <v>244</v>
      </c>
      <c r="E117" s="48" t="s">
        <v>245</v>
      </c>
      <c r="F117" s="54"/>
      <c r="G117" s="50">
        <v>500000</v>
      </c>
      <c r="H117" s="50">
        <f t="shared" si="44"/>
        <v>0</v>
      </c>
      <c r="I117" s="50">
        <v>80000</v>
      </c>
      <c r="J117" s="50">
        <f t="shared" si="45"/>
        <v>0</v>
      </c>
      <c r="K117" s="50">
        <f t="shared" si="48"/>
        <v>580000</v>
      </c>
      <c r="L117" s="51">
        <f t="shared" si="47"/>
        <v>0</v>
      </c>
      <c r="M117" s="176"/>
      <c r="O117" s="166"/>
      <c r="P117" s="171"/>
    </row>
    <row r="118" spans="1:16" s="52" customFormat="1" ht="18" customHeight="1">
      <c r="A118" s="53" t="s">
        <v>187</v>
      </c>
      <c r="B118" s="47" t="s">
        <v>167</v>
      </c>
      <c r="C118" s="409" t="s">
        <v>635</v>
      </c>
      <c r="D118" s="53" t="s">
        <v>574</v>
      </c>
      <c r="E118" s="48" t="s">
        <v>40</v>
      </c>
      <c r="F118" s="54">
        <v>1</v>
      </c>
      <c r="G118" s="50">
        <v>232000</v>
      </c>
      <c r="H118" s="50">
        <f>F118*G118</f>
        <v>232000</v>
      </c>
      <c r="I118" s="50">
        <v>50000</v>
      </c>
      <c r="J118" s="50">
        <f>F118*I118</f>
        <v>50000</v>
      </c>
      <c r="K118" s="50">
        <f>G118+I118</f>
        <v>282000</v>
      </c>
      <c r="L118" s="51">
        <f>F118*K118</f>
        <v>282000</v>
      </c>
      <c r="M118" s="176"/>
      <c r="O118" s="166"/>
      <c r="P118" s="171"/>
    </row>
    <row r="119" spans="1:16" s="404" customFormat="1" ht="18" customHeight="1">
      <c r="A119" s="297" t="s">
        <v>498</v>
      </c>
      <c r="B119" s="298" t="s">
        <v>499</v>
      </c>
      <c r="C119" s="421" t="s">
        <v>634</v>
      </c>
      <c r="D119" s="399"/>
      <c r="E119" s="400" t="s">
        <v>500</v>
      </c>
      <c r="F119" s="401">
        <v>1</v>
      </c>
      <c r="G119" s="314">
        <v>310000</v>
      </c>
      <c r="H119" s="314">
        <f>F119*G119</f>
        <v>310000</v>
      </c>
      <c r="I119" s="314">
        <v>50000</v>
      </c>
      <c r="J119" s="314">
        <f>F119*I119</f>
        <v>50000</v>
      </c>
      <c r="K119" s="314">
        <f>G119+I119</f>
        <v>360000</v>
      </c>
      <c r="L119" s="402">
        <f>F119*K119</f>
        <v>360000</v>
      </c>
      <c r="M119" s="403"/>
      <c r="O119" s="405"/>
      <c r="P119" s="406"/>
    </row>
    <row r="120" spans="1:16" s="52" customFormat="1" ht="18" customHeight="1">
      <c r="A120" s="53" t="s">
        <v>239</v>
      </c>
      <c r="B120" s="47" t="s">
        <v>594</v>
      </c>
      <c r="C120" s="53" t="s">
        <v>463</v>
      </c>
      <c r="D120" s="269"/>
      <c r="E120" s="48" t="s">
        <v>40</v>
      </c>
      <c r="F120" s="54">
        <v>2</v>
      </c>
      <c r="G120" s="50">
        <v>165000</v>
      </c>
      <c r="H120" s="50">
        <f t="shared" si="44"/>
        <v>330000</v>
      </c>
      <c r="I120" s="50">
        <v>40000</v>
      </c>
      <c r="J120" s="50">
        <f t="shared" si="45"/>
        <v>80000</v>
      </c>
      <c r="K120" s="50">
        <f t="shared" si="48"/>
        <v>205000</v>
      </c>
      <c r="L120" s="51">
        <f t="shared" si="47"/>
        <v>410000</v>
      </c>
      <c r="M120" s="176"/>
      <c r="O120" s="166"/>
      <c r="P120" s="171"/>
    </row>
    <row r="121" spans="1:16" s="52" customFormat="1" ht="18" hidden="1" customHeight="1">
      <c r="A121" s="53" t="s">
        <v>307</v>
      </c>
      <c r="B121" s="47" t="s">
        <v>308</v>
      </c>
      <c r="C121" s="53"/>
      <c r="D121" s="269" t="s">
        <v>462</v>
      </c>
      <c r="E121" s="48" t="s">
        <v>245</v>
      </c>
      <c r="F121" s="54"/>
      <c r="G121" s="50">
        <v>100000</v>
      </c>
      <c r="H121" s="50">
        <f t="shared" si="44"/>
        <v>0</v>
      </c>
      <c r="I121" s="50">
        <v>40000</v>
      </c>
      <c r="J121" s="50">
        <f t="shared" si="45"/>
        <v>0</v>
      </c>
      <c r="K121" s="50">
        <f t="shared" si="48"/>
        <v>140000</v>
      </c>
      <c r="L121" s="51">
        <f t="shared" si="47"/>
        <v>0</v>
      </c>
      <c r="M121" s="176"/>
      <c r="O121" s="166"/>
      <c r="P121" s="171"/>
    </row>
    <row r="122" spans="1:16" s="52" customFormat="1" ht="18" hidden="1" customHeight="1">
      <c r="A122" s="53" t="s">
        <v>309</v>
      </c>
      <c r="B122" s="47" t="s">
        <v>310</v>
      </c>
      <c r="C122" s="53" t="s">
        <v>312</v>
      </c>
      <c r="D122" s="269"/>
      <c r="E122" s="48" t="s">
        <v>311</v>
      </c>
      <c r="F122" s="54"/>
      <c r="G122" s="50">
        <v>450000</v>
      </c>
      <c r="H122" s="50">
        <f t="shared" si="44"/>
        <v>0</v>
      </c>
      <c r="I122" s="50">
        <v>150000</v>
      </c>
      <c r="J122" s="50">
        <f t="shared" si="45"/>
        <v>0</v>
      </c>
      <c r="K122" s="50">
        <f t="shared" si="48"/>
        <v>600000</v>
      </c>
      <c r="L122" s="51">
        <f t="shared" si="47"/>
        <v>0</v>
      </c>
      <c r="M122" s="176"/>
      <c r="O122" s="166"/>
      <c r="P122" s="171"/>
    </row>
    <row r="123" spans="1:16" s="52" customFormat="1" ht="18" hidden="1" customHeight="1">
      <c r="A123" s="53" t="s">
        <v>41</v>
      </c>
      <c r="B123" s="47" t="s">
        <v>400</v>
      </c>
      <c r="C123" s="347" t="s">
        <v>382</v>
      </c>
      <c r="D123" s="48"/>
      <c r="E123" s="48" t="s">
        <v>37</v>
      </c>
      <c r="F123" s="54"/>
      <c r="G123" s="50">
        <v>230000</v>
      </c>
      <c r="H123" s="50">
        <f t="shared" ref="H123:H126" si="49">F123*G123</f>
        <v>0</v>
      </c>
      <c r="I123" s="50">
        <v>50000</v>
      </c>
      <c r="J123" s="50">
        <f t="shared" ref="J123:J126" si="50">F123*I123</f>
        <v>0</v>
      </c>
      <c r="K123" s="50">
        <f t="shared" ref="K123:K130" si="51">G123+I123</f>
        <v>280000</v>
      </c>
      <c r="L123" s="51">
        <f t="shared" ref="L123:L126" si="52">F123*K123</f>
        <v>0</v>
      </c>
      <c r="M123" s="177"/>
      <c r="O123" s="166"/>
      <c r="P123" s="171"/>
    </row>
    <row r="124" spans="1:16" s="52" customFormat="1" ht="18" hidden="1" customHeight="1">
      <c r="A124" s="53" t="s">
        <v>41</v>
      </c>
      <c r="B124" s="47" t="s">
        <v>337</v>
      </c>
      <c r="C124" s="347"/>
      <c r="D124" s="48"/>
      <c r="E124" s="48" t="s">
        <v>37</v>
      </c>
      <c r="F124" s="54"/>
      <c r="G124" s="50">
        <v>230000</v>
      </c>
      <c r="H124" s="50">
        <f>F124*G124</f>
        <v>0</v>
      </c>
      <c r="I124" s="50">
        <v>50000</v>
      </c>
      <c r="J124" s="50">
        <f>F124*I124</f>
        <v>0</v>
      </c>
      <c r="K124" s="50">
        <f t="shared" si="51"/>
        <v>280000</v>
      </c>
      <c r="L124" s="51">
        <f>F124*K124</f>
        <v>0</v>
      </c>
      <c r="M124" s="176"/>
      <c r="O124" s="166"/>
      <c r="P124" s="171"/>
    </row>
    <row r="125" spans="1:16" s="52" customFormat="1" ht="18" hidden="1" customHeight="1">
      <c r="A125" s="53" t="s">
        <v>41</v>
      </c>
      <c r="B125" s="47" t="s">
        <v>401</v>
      </c>
      <c r="C125" s="347"/>
      <c r="D125" s="347" t="s">
        <v>413</v>
      </c>
      <c r="E125" s="48" t="s">
        <v>37</v>
      </c>
      <c r="F125" s="54"/>
      <c r="G125" s="50">
        <v>250000</v>
      </c>
      <c r="H125" s="50">
        <f t="shared" si="49"/>
        <v>0</v>
      </c>
      <c r="I125" s="50">
        <v>150000</v>
      </c>
      <c r="J125" s="50">
        <f t="shared" si="50"/>
        <v>0</v>
      </c>
      <c r="K125" s="50">
        <f t="shared" si="51"/>
        <v>400000</v>
      </c>
      <c r="L125" s="51">
        <f t="shared" si="52"/>
        <v>0</v>
      </c>
      <c r="M125" s="176"/>
      <c r="O125" s="166"/>
      <c r="P125" s="171"/>
    </row>
    <row r="126" spans="1:16" s="52" customFormat="1" ht="18" hidden="1" customHeight="1">
      <c r="A126" s="53" t="s">
        <v>12</v>
      </c>
      <c r="B126" s="47" t="s">
        <v>402</v>
      </c>
      <c r="C126" s="347" t="s">
        <v>247</v>
      </c>
      <c r="D126" s="48"/>
      <c r="E126" s="48" t="s">
        <v>74</v>
      </c>
      <c r="F126" s="54"/>
      <c r="G126" s="50">
        <v>60000</v>
      </c>
      <c r="H126" s="50">
        <f t="shared" si="49"/>
        <v>0</v>
      </c>
      <c r="I126" s="50">
        <v>20000</v>
      </c>
      <c r="J126" s="50">
        <f t="shared" si="50"/>
        <v>0</v>
      </c>
      <c r="K126" s="50">
        <f t="shared" si="51"/>
        <v>80000</v>
      </c>
      <c r="L126" s="51">
        <f t="shared" si="52"/>
        <v>0</v>
      </c>
      <c r="M126" s="177"/>
      <c r="O126" s="166"/>
      <c r="P126" s="171"/>
    </row>
    <row r="127" spans="1:16" s="52" customFormat="1" ht="18" hidden="1" customHeight="1">
      <c r="A127" s="53" t="s">
        <v>41</v>
      </c>
      <c r="B127" s="47" t="s">
        <v>338</v>
      </c>
      <c r="C127" s="347" t="s">
        <v>350</v>
      </c>
      <c r="D127" s="48"/>
      <c r="E127" s="48" t="s">
        <v>101</v>
      </c>
      <c r="F127" s="54"/>
      <c r="G127" s="50">
        <v>120000</v>
      </c>
      <c r="H127" s="50">
        <f>F127*G127</f>
        <v>0</v>
      </c>
      <c r="I127" s="50">
        <v>30000</v>
      </c>
      <c r="J127" s="50">
        <f>F127*I127</f>
        <v>0</v>
      </c>
      <c r="K127" s="50">
        <f t="shared" si="51"/>
        <v>150000</v>
      </c>
      <c r="L127" s="51">
        <f>F127*K127</f>
        <v>0</v>
      </c>
      <c r="M127" s="177"/>
      <c r="O127" s="166">
        <f>40/3</f>
        <v>13.333333333333334</v>
      </c>
      <c r="P127" s="171"/>
    </row>
    <row r="128" spans="1:16" s="52" customFormat="1" ht="18" customHeight="1">
      <c r="A128" s="53" t="s">
        <v>41</v>
      </c>
      <c r="B128" s="47" t="s">
        <v>627</v>
      </c>
      <c r="C128" s="53"/>
      <c r="D128" s="48" t="s">
        <v>555</v>
      </c>
      <c r="E128" s="48" t="s">
        <v>37</v>
      </c>
      <c r="F128" s="54">
        <v>1.6</v>
      </c>
      <c r="G128" s="50">
        <v>275000</v>
      </c>
      <c r="H128" s="50">
        <f t="shared" ref="H128:H130" si="53">F128*G128</f>
        <v>440000</v>
      </c>
      <c r="I128" s="50">
        <v>55000</v>
      </c>
      <c r="J128" s="50">
        <f t="shared" ref="J128:J130" si="54">F128*I128</f>
        <v>88000</v>
      </c>
      <c r="K128" s="50">
        <f t="shared" si="51"/>
        <v>330000</v>
      </c>
      <c r="L128" s="51">
        <f t="shared" ref="L128:L130" si="55">F128*K128</f>
        <v>528000</v>
      </c>
      <c r="M128" s="176"/>
      <c r="O128" s="166"/>
      <c r="P128" s="171"/>
    </row>
    <row r="129" spans="1:18" s="52" customFormat="1" ht="18" hidden="1" customHeight="1">
      <c r="A129" s="53" t="s">
        <v>41</v>
      </c>
      <c r="B129" s="47" t="s">
        <v>226</v>
      </c>
      <c r="C129" s="347" t="s">
        <v>415</v>
      </c>
      <c r="D129" s="347" t="s">
        <v>413</v>
      </c>
      <c r="E129" s="48" t="s">
        <v>37</v>
      </c>
      <c r="F129" s="54"/>
      <c r="G129" s="50">
        <v>250000</v>
      </c>
      <c r="H129" s="50">
        <f t="shared" si="53"/>
        <v>0</v>
      </c>
      <c r="I129" s="50">
        <v>150000</v>
      </c>
      <c r="J129" s="50">
        <f t="shared" si="54"/>
        <v>0</v>
      </c>
      <c r="K129" s="50">
        <f t="shared" si="51"/>
        <v>400000</v>
      </c>
      <c r="L129" s="51">
        <f t="shared" si="55"/>
        <v>0</v>
      </c>
      <c r="M129" s="177"/>
      <c r="O129" s="166"/>
      <c r="P129" s="171"/>
    </row>
    <row r="130" spans="1:18" s="52" customFormat="1" ht="18" hidden="1" customHeight="1">
      <c r="A130" s="53" t="s">
        <v>41</v>
      </c>
      <c r="B130" s="47" t="s">
        <v>227</v>
      </c>
      <c r="C130" s="53" t="s">
        <v>166</v>
      </c>
      <c r="D130" s="53"/>
      <c r="E130" s="48" t="s">
        <v>40</v>
      </c>
      <c r="F130" s="54"/>
      <c r="G130" s="50">
        <v>190000</v>
      </c>
      <c r="H130" s="50">
        <f t="shared" si="53"/>
        <v>0</v>
      </c>
      <c r="I130" s="50">
        <v>50000</v>
      </c>
      <c r="J130" s="50">
        <f t="shared" si="54"/>
        <v>0</v>
      </c>
      <c r="K130" s="50">
        <f t="shared" si="51"/>
        <v>240000</v>
      </c>
      <c r="L130" s="51">
        <f t="shared" si="55"/>
        <v>0</v>
      </c>
      <c r="M130" s="176"/>
      <c r="O130" s="166"/>
      <c r="P130" s="171"/>
    </row>
    <row r="131" spans="1:18" s="52" customFormat="1" ht="18" customHeight="1">
      <c r="A131" s="53" t="s">
        <v>41</v>
      </c>
      <c r="B131" s="47" t="s">
        <v>628</v>
      </c>
      <c r="C131" s="53"/>
      <c r="D131" s="48" t="s">
        <v>555</v>
      </c>
      <c r="E131" s="48" t="s">
        <v>37</v>
      </c>
      <c r="F131" s="54">
        <v>1.6</v>
      </c>
      <c r="G131" s="50">
        <v>275000</v>
      </c>
      <c r="H131" s="50">
        <f>F131*G131</f>
        <v>440000</v>
      </c>
      <c r="I131" s="50">
        <v>55000</v>
      </c>
      <c r="J131" s="50">
        <f>F131*I131</f>
        <v>88000</v>
      </c>
      <c r="K131" s="50">
        <f>G131+I131</f>
        <v>330000</v>
      </c>
      <c r="L131" s="51">
        <f>F131*K131</f>
        <v>528000</v>
      </c>
      <c r="M131" s="177"/>
      <c r="O131" s="166"/>
      <c r="P131" s="171"/>
    </row>
    <row r="132" spans="1:18" s="277" customFormat="1" ht="18" customHeight="1">
      <c r="A132" s="346" t="s">
        <v>41</v>
      </c>
      <c r="B132" s="328" t="s">
        <v>600</v>
      </c>
      <c r="C132" s="347" t="s">
        <v>593</v>
      </c>
      <c r="D132" s="347"/>
      <c r="E132" s="272" t="s">
        <v>37</v>
      </c>
      <c r="F132" s="54">
        <v>3.2</v>
      </c>
      <c r="G132" s="274">
        <v>225000</v>
      </c>
      <c r="H132" s="274">
        <f>F132*G132</f>
        <v>720000</v>
      </c>
      <c r="I132" s="274">
        <v>80000</v>
      </c>
      <c r="J132" s="274">
        <f>F132*I132</f>
        <v>256000</v>
      </c>
      <c r="K132" s="274">
        <f>G132+I132</f>
        <v>305000</v>
      </c>
      <c r="L132" s="275">
        <f>F132*K132</f>
        <v>976000</v>
      </c>
      <c r="M132" s="272"/>
      <c r="O132" s="278"/>
      <c r="P132" s="279"/>
    </row>
    <row r="133" spans="1:18" s="52" customFormat="1" ht="18" customHeight="1">
      <c r="A133" s="53" t="s">
        <v>41</v>
      </c>
      <c r="B133" s="47" t="s">
        <v>595</v>
      </c>
      <c r="C133" s="53" t="s">
        <v>595</v>
      </c>
      <c r="D133" s="269" t="s">
        <v>621</v>
      </c>
      <c r="E133" s="48" t="s">
        <v>74</v>
      </c>
      <c r="F133" s="54">
        <v>1</v>
      </c>
      <c r="G133" s="50">
        <v>200000</v>
      </c>
      <c r="H133" s="50">
        <f t="shared" ref="H133" si="56">F133*G133</f>
        <v>200000</v>
      </c>
      <c r="I133" s="50">
        <v>30000</v>
      </c>
      <c r="J133" s="50">
        <f t="shared" ref="J133" si="57">F133*I133</f>
        <v>30000</v>
      </c>
      <c r="K133" s="50">
        <f t="shared" ref="K133" si="58">G133+I133</f>
        <v>230000</v>
      </c>
      <c r="L133" s="51">
        <f t="shared" ref="L133" si="59">F133*K133</f>
        <v>230000</v>
      </c>
      <c r="M133" s="176"/>
      <c r="O133" s="166"/>
      <c r="P133" s="171"/>
    </row>
    <row r="134" spans="1:18" s="52" customFormat="1" ht="18" customHeight="1">
      <c r="A134" s="53"/>
      <c r="B134" s="47"/>
      <c r="C134" s="53"/>
      <c r="D134" s="48"/>
      <c r="E134" s="48"/>
      <c r="F134" s="54"/>
      <c r="G134" s="50"/>
      <c r="H134" s="50"/>
      <c r="I134" s="50"/>
      <c r="J134" s="50"/>
      <c r="K134" s="50"/>
      <c r="L134" s="51"/>
      <c r="M134" s="177"/>
      <c r="O134" s="166"/>
      <c r="P134" s="171"/>
      <c r="R134" s="52" t="s">
        <v>385</v>
      </c>
    </row>
    <row r="135" spans="1:18" s="52" customFormat="1" ht="18" customHeight="1">
      <c r="A135" s="53">
        <v>-1</v>
      </c>
      <c r="B135" s="47" t="s">
        <v>102</v>
      </c>
      <c r="C135" s="53"/>
      <c r="D135" s="48"/>
      <c r="E135" s="48"/>
      <c r="F135" s="54"/>
      <c r="G135" s="50"/>
      <c r="H135" s="50"/>
      <c r="I135" s="50"/>
      <c r="J135" s="50"/>
      <c r="K135" s="50"/>
      <c r="L135" s="51"/>
      <c r="M135" s="177"/>
      <c r="O135" s="166"/>
      <c r="P135" s="171"/>
    </row>
    <row r="136" spans="1:18" s="52" customFormat="1" ht="18" customHeight="1">
      <c r="A136" s="53" t="s">
        <v>41</v>
      </c>
      <c r="B136" s="47" t="s">
        <v>579</v>
      </c>
      <c r="C136" s="53" t="s">
        <v>626</v>
      </c>
      <c r="D136" s="48"/>
      <c r="E136" s="48" t="s">
        <v>101</v>
      </c>
      <c r="F136" s="54">
        <v>13</v>
      </c>
      <c r="G136" s="50">
        <v>135000</v>
      </c>
      <c r="H136" s="50">
        <f>F136*G136</f>
        <v>1755000</v>
      </c>
      <c r="I136" s="50">
        <v>3000</v>
      </c>
      <c r="J136" s="50">
        <f>F136*I136</f>
        <v>39000</v>
      </c>
      <c r="K136" s="50">
        <f>G136+I136</f>
        <v>138000</v>
      </c>
      <c r="L136" s="51">
        <f>F136*K136</f>
        <v>1794000</v>
      </c>
      <c r="M136" s="177"/>
      <c r="O136" s="166"/>
      <c r="P136" s="171"/>
    </row>
    <row r="137" spans="1:18" s="52" customFormat="1" ht="18" hidden="1" customHeight="1">
      <c r="A137" s="53" t="s">
        <v>575</v>
      </c>
      <c r="B137" s="47"/>
      <c r="C137" s="347"/>
      <c r="D137" s="48"/>
      <c r="E137" s="48"/>
      <c r="F137" s="54"/>
      <c r="G137" s="50"/>
      <c r="H137" s="50"/>
      <c r="I137" s="50"/>
      <c r="J137" s="50"/>
      <c r="K137" s="50"/>
      <c r="L137" s="51"/>
      <c r="M137" s="176"/>
      <c r="O137" s="166"/>
      <c r="P137" s="171"/>
    </row>
    <row r="138" spans="1:18" s="52" customFormat="1" ht="18" hidden="1" customHeight="1">
      <c r="A138" s="46">
        <v>-1</v>
      </c>
      <c r="B138" s="47" t="s">
        <v>102</v>
      </c>
      <c r="C138" s="46"/>
      <c r="D138" s="48"/>
      <c r="E138" s="48"/>
      <c r="F138" s="49"/>
      <c r="G138" s="50"/>
      <c r="H138" s="50"/>
      <c r="I138" s="50"/>
      <c r="J138" s="50"/>
      <c r="K138" s="50"/>
      <c r="L138" s="51"/>
      <c r="M138" s="177"/>
      <c r="O138" s="166"/>
      <c r="P138" s="171"/>
    </row>
    <row r="139" spans="1:18" s="52" customFormat="1" ht="18" hidden="1" customHeight="1">
      <c r="A139" s="53" t="s">
        <v>41</v>
      </c>
      <c r="B139" s="47" t="s">
        <v>219</v>
      </c>
      <c r="C139" s="53"/>
      <c r="D139" s="48"/>
      <c r="E139" s="48" t="s">
        <v>101</v>
      </c>
      <c r="F139" s="54"/>
      <c r="G139" s="50">
        <v>120000</v>
      </c>
      <c r="H139" s="50">
        <f t="shared" ref="H139:H144" si="60">F139*G139</f>
        <v>0</v>
      </c>
      <c r="I139" s="50">
        <v>30000</v>
      </c>
      <c r="J139" s="50">
        <f t="shared" ref="J139:J144" si="61">F139*I139</f>
        <v>0</v>
      </c>
      <c r="K139" s="50">
        <f t="shared" ref="K139:K144" si="62">G139+I139</f>
        <v>150000</v>
      </c>
      <c r="L139" s="51">
        <f t="shared" ref="L139:L144" si="63">F139*K139</f>
        <v>0</v>
      </c>
      <c r="M139" s="177"/>
      <c r="O139" s="166">
        <f>(39+26)/3</f>
        <v>21.666666666666668</v>
      </c>
      <c r="P139" s="171"/>
    </row>
    <row r="140" spans="1:18" s="52" customFormat="1" ht="18" hidden="1" customHeight="1">
      <c r="A140" s="53" t="s">
        <v>41</v>
      </c>
      <c r="B140" s="47" t="s">
        <v>219</v>
      </c>
      <c r="C140" s="53" t="s">
        <v>407</v>
      </c>
      <c r="D140" s="48"/>
      <c r="E140" s="48" t="s">
        <v>101</v>
      </c>
      <c r="F140" s="54"/>
      <c r="G140" s="50">
        <v>180000</v>
      </c>
      <c r="H140" s="50">
        <f t="shared" si="60"/>
        <v>0</v>
      </c>
      <c r="I140" s="50">
        <v>30000</v>
      </c>
      <c r="J140" s="50">
        <f t="shared" si="61"/>
        <v>0</v>
      </c>
      <c r="K140" s="50">
        <f t="shared" si="62"/>
        <v>210000</v>
      </c>
      <c r="L140" s="51">
        <f t="shared" si="63"/>
        <v>0</v>
      </c>
      <c r="M140" s="177"/>
      <c r="O140" s="166">
        <f>(39+26)/3</f>
        <v>21.666666666666668</v>
      </c>
      <c r="P140" s="171"/>
    </row>
    <row r="141" spans="1:18" s="52" customFormat="1" ht="18" hidden="1" customHeight="1">
      <c r="A141" s="53" t="s">
        <v>12</v>
      </c>
      <c r="B141" s="47" t="s">
        <v>246</v>
      </c>
      <c r="C141" s="53" t="s">
        <v>247</v>
      </c>
      <c r="D141" s="48"/>
      <c r="E141" s="48" t="s">
        <v>74</v>
      </c>
      <c r="F141" s="54"/>
      <c r="G141" s="50">
        <v>60000</v>
      </c>
      <c r="H141" s="50">
        <f t="shared" si="60"/>
        <v>0</v>
      </c>
      <c r="I141" s="50">
        <v>20000</v>
      </c>
      <c r="J141" s="50">
        <f t="shared" si="61"/>
        <v>0</v>
      </c>
      <c r="K141" s="50">
        <f t="shared" si="62"/>
        <v>80000</v>
      </c>
      <c r="L141" s="51">
        <f t="shared" si="63"/>
        <v>0</v>
      </c>
      <c r="M141" s="177"/>
      <c r="O141" s="166"/>
      <c r="P141" s="171"/>
    </row>
    <row r="142" spans="1:18" s="52" customFormat="1" ht="18" hidden="1" customHeight="1">
      <c r="A142" s="53" t="s">
        <v>328</v>
      </c>
      <c r="B142" s="47" t="s">
        <v>329</v>
      </c>
      <c r="C142" s="53"/>
      <c r="D142" s="48"/>
      <c r="E142" s="48" t="s">
        <v>334</v>
      </c>
      <c r="F142" s="54"/>
      <c r="G142" s="50">
        <v>275000</v>
      </c>
      <c r="H142" s="50">
        <f t="shared" si="60"/>
        <v>0</v>
      </c>
      <c r="I142" s="50">
        <v>55000</v>
      </c>
      <c r="J142" s="50">
        <f t="shared" si="61"/>
        <v>0</v>
      </c>
      <c r="K142" s="50">
        <f t="shared" si="62"/>
        <v>330000</v>
      </c>
      <c r="L142" s="51">
        <f t="shared" si="63"/>
        <v>0</v>
      </c>
      <c r="M142" s="177"/>
      <c r="O142" s="166"/>
      <c r="P142" s="171"/>
    </row>
    <row r="143" spans="1:18" s="52" customFormat="1" ht="18" hidden="1" customHeight="1">
      <c r="A143" s="53" t="s">
        <v>332</v>
      </c>
      <c r="B143" s="47" t="s">
        <v>330</v>
      </c>
      <c r="C143" s="53"/>
      <c r="D143" s="48"/>
      <c r="E143" s="48" t="s">
        <v>333</v>
      </c>
      <c r="F143" s="54"/>
      <c r="G143" s="50">
        <v>120000</v>
      </c>
      <c r="H143" s="50">
        <f t="shared" si="60"/>
        <v>0</v>
      </c>
      <c r="I143" s="50">
        <v>33000</v>
      </c>
      <c r="J143" s="50">
        <f t="shared" si="61"/>
        <v>0</v>
      </c>
      <c r="K143" s="50">
        <f t="shared" si="62"/>
        <v>153000</v>
      </c>
      <c r="L143" s="51">
        <f t="shared" si="63"/>
        <v>0</v>
      </c>
      <c r="M143" s="177"/>
      <c r="O143" s="166"/>
      <c r="P143" s="171"/>
    </row>
    <row r="144" spans="1:18" s="52" customFormat="1" ht="18" hidden="1" customHeight="1">
      <c r="A144" s="53" t="s">
        <v>332</v>
      </c>
      <c r="B144" s="47" t="s">
        <v>331</v>
      </c>
      <c r="C144" s="347"/>
      <c r="D144" s="347" t="s">
        <v>413</v>
      </c>
      <c r="E144" s="48" t="s">
        <v>335</v>
      </c>
      <c r="F144" s="54"/>
      <c r="G144" s="50">
        <v>250000</v>
      </c>
      <c r="H144" s="50">
        <f t="shared" si="60"/>
        <v>0</v>
      </c>
      <c r="I144" s="50">
        <v>150000</v>
      </c>
      <c r="J144" s="50">
        <f t="shared" si="61"/>
        <v>0</v>
      </c>
      <c r="K144" s="50">
        <f t="shared" si="62"/>
        <v>400000</v>
      </c>
      <c r="L144" s="51">
        <f t="shared" si="63"/>
        <v>0</v>
      </c>
      <c r="M144" s="177"/>
      <c r="O144" s="166"/>
      <c r="P144" s="171"/>
    </row>
    <row r="145" spans="1:16" s="52" customFormat="1" ht="18" hidden="1" customHeight="1">
      <c r="A145" s="46">
        <v>-1</v>
      </c>
      <c r="B145" s="47" t="s">
        <v>464</v>
      </c>
      <c r="C145" s="46"/>
      <c r="D145" s="48"/>
      <c r="E145" s="48"/>
      <c r="F145" s="49"/>
      <c r="G145" s="50"/>
      <c r="H145" s="50"/>
      <c r="I145" s="50"/>
      <c r="J145" s="50"/>
      <c r="K145" s="50"/>
      <c r="L145" s="51"/>
      <c r="M145" s="177"/>
      <c r="O145" s="166"/>
      <c r="P145" s="171"/>
    </row>
    <row r="146" spans="1:16" ht="18" hidden="1" customHeight="1">
      <c r="A146" s="9" t="s">
        <v>41</v>
      </c>
      <c r="B146" s="10" t="s">
        <v>336</v>
      </c>
      <c r="C146" s="9" t="s">
        <v>465</v>
      </c>
      <c r="D146" s="48"/>
      <c r="E146" s="4" t="s">
        <v>36</v>
      </c>
      <c r="F146" s="54">
        <v>0</v>
      </c>
      <c r="G146" s="24">
        <v>150000</v>
      </c>
      <c r="H146" s="24">
        <f>F146*G146</f>
        <v>0</v>
      </c>
      <c r="I146" s="24">
        <v>30000</v>
      </c>
      <c r="J146" s="24">
        <f>F146*I146</f>
        <v>0</v>
      </c>
      <c r="K146" s="24">
        <f t="shared" ref="K146" si="64">G146+I146</f>
        <v>180000</v>
      </c>
      <c r="L146" s="25">
        <f>F146*K146</f>
        <v>0</v>
      </c>
      <c r="M146" s="177"/>
    </row>
    <row r="147" spans="1:16" ht="18" hidden="1" customHeight="1">
      <c r="A147" s="9" t="s">
        <v>479</v>
      </c>
      <c r="B147" s="10" t="s">
        <v>480</v>
      </c>
      <c r="C147" s="9" t="s">
        <v>482</v>
      </c>
      <c r="D147" s="48"/>
      <c r="E147" s="4" t="s">
        <v>481</v>
      </c>
      <c r="F147" s="54">
        <v>0</v>
      </c>
      <c r="G147" s="24">
        <v>320000</v>
      </c>
      <c r="H147" s="24">
        <f>F147*G147</f>
        <v>0</v>
      </c>
      <c r="I147" s="24">
        <v>50000</v>
      </c>
      <c r="J147" s="24">
        <f>F147*I147</f>
        <v>0</v>
      </c>
      <c r="K147" s="24">
        <f t="shared" ref="K147" si="65">G147+I147</f>
        <v>370000</v>
      </c>
      <c r="L147" s="25">
        <f>F147*K147</f>
        <v>0</v>
      </c>
      <c r="M147" s="177"/>
    </row>
    <row r="148" spans="1:16" s="52" customFormat="1" ht="18" hidden="1" customHeight="1">
      <c r="A148" s="46"/>
      <c r="B148" s="47"/>
      <c r="C148" s="46"/>
      <c r="D148" s="48"/>
      <c r="E148" s="48"/>
      <c r="F148" s="49"/>
      <c r="G148" s="50"/>
      <c r="H148" s="50"/>
      <c r="I148" s="50"/>
      <c r="J148" s="50"/>
      <c r="K148" s="50"/>
      <c r="L148" s="51"/>
      <c r="M148" s="177"/>
      <c r="O148" s="166"/>
      <c r="P148" s="171"/>
    </row>
    <row r="149" spans="1:16" s="52" customFormat="1" ht="18" hidden="1" customHeight="1">
      <c r="A149" s="46">
        <v>-1</v>
      </c>
      <c r="B149" s="47" t="s">
        <v>466</v>
      </c>
      <c r="C149" s="46"/>
      <c r="D149" s="48"/>
      <c r="E149" s="48"/>
      <c r="F149" s="49"/>
      <c r="G149" s="50"/>
      <c r="H149" s="50"/>
      <c r="I149" s="50"/>
      <c r="J149" s="50"/>
      <c r="K149" s="50"/>
      <c r="L149" s="51"/>
      <c r="M149" s="177"/>
      <c r="O149" s="166"/>
      <c r="P149" s="171"/>
    </row>
    <row r="150" spans="1:16" ht="18" hidden="1" customHeight="1">
      <c r="A150" s="9" t="s">
        <v>41</v>
      </c>
      <c r="B150" s="10" t="s">
        <v>336</v>
      </c>
      <c r="C150" s="9" t="s">
        <v>483</v>
      </c>
      <c r="D150" s="48"/>
      <c r="E150" s="4" t="s">
        <v>36</v>
      </c>
      <c r="F150" s="54">
        <v>0</v>
      </c>
      <c r="G150" s="24">
        <v>150000</v>
      </c>
      <c r="H150" s="24">
        <f>F150*G150</f>
        <v>0</v>
      </c>
      <c r="I150" s="24">
        <v>30000</v>
      </c>
      <c r="J150" s="24">
        <f>F150*I150</f>
        <v>0</v>
      </c>
      <c r="K150" s="24">
        <f t="shared" ref="K150" si="66">G150+I150</f>
        <v>180000</v>
      </c>
      <c r="L150" s="25">
        <f>F150*K150</f>
        <v>0</v>
      </c>
      <c r="M150" s="177"/>
    </row>
    <row r="151" spans="1:16" s="52" customFormat="1" ht="18" customHeight="1">
      <c r="A151" s="46"/>
      <c r="B151" s="47"/>
      <c r="C151" s="46"/>
      <c r="D151" s="48"/>
      <c r="E151" s="48"/>
      <c r="F151" s="49"/>
      <c r="G151" s="50"/>
      <c r="H151" s="50"/>
      <c r="I151" s="50"/>
      <c r="J151" s="50"/>
      <c r="K151" s="50"/>
      <c r="L151" s="51"/>
      <c r="M151" s="177"/>
      <c r="O151" s="166"/>
      <c r="P151" s="171"/>
    </row>
    <row r="152" spans="1:16" s="52" customFormat="1" ht="18" customHeight="1">
      <c r="A152" s="46">
        <v>-1</v>
      </c>
      <c r="B152" s="396" t="s">
        <v>596</v>
      </c>
      <c r="C152" s="46"/>
      <c r="D152" s="48"/>
      <c r="E152" s="48"/>
      <c r="F152" s="49"/>
      <c r="G152" s="50"/>
      <c r="H152" s="50"/>
      <c r="I152" s="50"/>
      <c r="J152" s="50"/>
      <c r="K152" s="50"/>
      <c r="L152" s="51"/>
      <c r="M152" s="177"/>
      <c r="O152" s="166"/>
      <c r="P152" s="171"/>
    </row>
    <row r="153" spans="1:16" s="52" customFormat="1" ht="18" customHeight="1">
      <c r="A153" s="53" t="s">
        <v>41</v>
      </c>
      <c r="B153" s="47" t="s">
        <v>597</v>
      </c>
      <c r="C153" s="53"/>
      <c r="D153" s="48" t="s">
        <v>382</v>
      </c>
      <c r="E153" s="48" t="s">
        <v>37</v>
      </c>
      <c r="F153" s="54">
        <v>1</v>
      </c>
      <c r="G153" s="50">
        <v>275000</v>
      </c>
      <c r="H153" s="50">
        <f>F153*G153</f>
        <v>275000</v>
      </c>
      <c r="I153" s="50">
        <v>55000</v>
      </c>
      <c r="J153" s="50">
        <f>F153*I153</f>
        <v>55000</v>
      </c>
      <c r="K153" s="50">
        <f>G153+I153</f>
        <v>330000</v>
      </c>
      <c r="L153" s="51">
        <f>F153*K153</f>
        <v>330000</v>
      </c>
      <c r="M153" s="177"/>
      <c r="O153" s="166"/>
      <c r="P153" s="171"/>
    </row>
    <row r="154" spans="1:16" s="277" customFormat="1" ht="18" customHeight="1">
      <c r="A154" s="346" t="s">
        <v>41</v>
      </c>
      <c r="B154" s="328" t="s">
        <v>601</v>
      </c>
      <c r="C154" s="347" t="s">
        <v>593</v>
      </c>
      <c r="D154" s="347" t="s">
        <v>602</v>
      </c>
      <c r="E154" s="272" t="s">
        <v>37</v>
      </c>
      <c r="F154" s="54">
        <v>1</v>
      </c>
      <c r="G154" s="274">
        <v>225000</v>
      </c>
      <c r="H154" s="274">
        <f>F154*G154</f>
        <v>225000</v>
      </c>
      <c r="I154" s="274">
        <v>80000</v>
      </c>
      <c r="J154" s="274">
        <f>F154*I154</f>
        <v>80000</v>
      </c>
      <c r="K154" s="274">
        <f>G154+I154</f>
        <v>305000</v>
      </c>
      <c r="L154" s="275">
        <f>F154*K154</f>
        <v>305000</v>
      </c>
      <c r="M154" s="272"/>
      <c r="O154" s="278"/>
      <c r="P154" s="279"/>
    </row>
    <row r="155" spans="1:16" s="52" customFormat="1" ht="18" customHeight="1">
      <c r="A155" s="53" t="s">
        <v>41</v>
      </c>
      <c r="B155" s="47" t="s">
        <v>598</v>
      </c>
      <c r="C155" s="53"/>
      <c r="D155" s="48" t="s">
        <v>599</v>
      </c>
      <c r="E155" s="48" t="s">
        <v>74</v>
      </c>
      <c r="F155" s="54">
        <v>1</v>
      </c>
      <c r="G155" s="50">
        <v>80000</v>
      </c>
      <c r="H155" s="50">
        <f>F155*G155</f>
        <v>80000</v>
      </c>
      <c r="I155" s="50">
        <v>55000</v>
      </c>
      <c r="J155" s="50">
        <f>F155*I155</f>
        <v>55000</v>
      </c>
      <c r="K155" s="50">
        <f>G155+I155</f>
        <v>135000</v>
      </c>
      <c r="L155" s="51">
        <f>F155*K155</f>
        <v>135000</v>
      </c>
      <c r="M155" s="177"/>
      <c r="O155" s="166"/>
      <c r="P155" s="171"/>
    </row>
    <row r="156" spans="1:16" s="287" customFormat="1" ht="18" customHeight="1">
      <c r="A156" s="355"/>
      <c r="B156" s="296"/>
      <c r="C156" s="357"/>
      <c r="D156" s="359"/>
      <c r="E156" s="282"/>
      <c r="F156" s="356"/>
      <c r="G156" s="284"/>
      <c r="H156" s="284"/>
      <c r="I156" s="284"/>
      <c r="J156" s="284"/>
      <c r="K156" s="284"/>
      <c r="L156" s="285"/>
      <c r="M156" s="282"/>
      <c r="O156" s="288"/>
      <c r="P156" s="289"/>
    </row>
    <row r="157" spans="1:16" s="287" customFormat="1" ht="18" hidden="1" customHeight="1">
      <c r="A157" s="355">
        <v>-1</v>
      </c>
      <c r="B157" s="296" t="s">
        <v>497</v>
      </c>
      <c r="C157" s="357" t="s">
        <v>508</v>
      </c>
      <c r="D157" s="357" t="s">
        <v>490</v>
      </c>
      <c r="E157" s="282" t="s">
        <v>416</v>
      </c>
      <c r="F157" s="356">
        <v>2</v>
      </c>
      <c r="G157" s="284">
        <v>1540000</v>
      </c>
      <c r="H157" s="284">
        <f>F157*G157</f>
        <v>3080000</v>
      </c>
      <c r="I157" s="284">
        <v>300000</v>
      </c>
      <c r="J157" s="284">
        <f>F157*I157</f>
        <v>600000</v>
      </c>
      <c r="K157" s="284">
        <f>G157+I157</f>
        <v>1840000</v>
      </c>
      <c r="L157" s="285">
        <f>F157*K157</f>
        <v>3680000</v>
      </c>
      <c r="M157" s="282" t="s">
        <v>494</v>
      </c>
      <c r="O157" s="288"/>
      <c r="P157" s="289"/>
    </row>
    <row r="158" spans="1:16" s="287" customFormat="1" ht="18" hidden="1" customHeight="1">
      <c r="A158" s="355">
        <v>-1</v>
      </c>
      <c r="B158" s="296" t="s">
        <v>496</v>
      </c>
      <c r="C158" s="360" t="s">
        <v>489</v>
      </c>
      <c r="D158" s="357" t="s">
        <v>491</v>
      </c>
      <c r="E158" s="282" t="s">
        <v>487</v>
      </c>
      <c r="F158" s="356">
        <v>1</v>
      </c>
      <c r="G158" s="284">
        <v>2590000</v>
      </c>
      <c r="H158" s="284">
        <f>F158*G158</f>
        <v>2590000</v>
      </c>
      <c r="I158" s="284"/>
      <c r="J158" s="284">
        <f>F158*I158</f>
        <v>0</v>
      </c>
      <c r="K158" s="284">
        <f>G158+I158</f>
        <v>2590000</v>
      </c>
      <c r="L158" s="285">
        <f>F158*K158</f>
        <v>2590000</v>
      </c>
      <c r="M158" s="282" t="s">
        <v>494</v>
      </c>
      <c r="O158" s="288"/>
      <c r="P158" s="289"/>
    </row>
    <row r="159" spans="1:16" s="287" customFormat="1" ht="18" hidden="1" customHeight="1">
      <c r="A159" s="355">
        <v>-1</v>
      </c>
      <c r="B159" s="296" t="s">
        <v>523</v>
      </c>
      <c r="C159" s="357" t="s">
        <v>524</v>
      </c>
      <c r="D159" s="357" t="s">
        <v>491</v>
      </c>
      <c r="E159" s="282" t="s">
        <v>487</v>
      </c>
      <c r="F159" s="356">
        <v>1</v>
      </c>
      <c r="G159" s="284">
        <v>150000</v>
      </c>
      <c r="H159" s="284">
        <f>F159*G159</f>
        <v>150000</v>
      </c>
      <c r="I159" s="284">
        <v>200000</v>
      </c>
      <c r="J159" s="284">
        <f>F159*I159</f>
        <v>200000</v>
      </c>
      <c r="K159" s="284">
        <f>G159+I159</f>
        <v>350000</v>
      </c>
      <c r="L159" s="285">
        <f>F159*K159</f>
        <v>350000</v>
      </c>
      <c r="M159" s="282" t="s">
        <v>494</v>
      </c>
      <c r="O159" s="288"/>
      <c r="P159" s="289"/>
    </row>
    <row r="160" spans="1:16" s="52" customFormat="1" ht="18" hidden="1" customHeight="1">
      <c r="A160" s="46"/>
      <c r="B160" s="47"/>
      <c r="C160" s="46"/>
      <c r="D160" s="48"/>
      <c r="E160" s="48"/>
      <c r="F160" s="49"/>
      <c r="G160" s="50"/>
      <c r="H160" s="50"/>
      <c r="I160" s="50"/>
      <c r="J160" s="50"/>
      <c r="K160" s="50"/>
      <c r="L160" s="51"/>
      <c r="M160" s="177"/>
      <c r="O160" s="166"/>
      <c r="P160" s="171"/>
    </row>
    <row r="161" spans="1:16" s="52" customFormat="1" ht="18" hidden="1" customHeight="1">
      <c r="A161" s="46"/>
      <c r="B161" s="47"/>
      <c r="C161" s="46"/>
      <c r="D161" s="48"/>
      <c r="E161" s="48"/>
      <c r="F161" s="49"/>
      <c r="G161" s="50"/>
      <c r="H161" s="50"/>
      <c r="I161" s="50"/>
      <c r="J161" s="50"/>
      <c r="K161" s="50"/>
      <c r="L161" s="51"/>
      <c r="M161" s="177"/>
      <c r="O161" s="166"/>
      <c r="P161" s="171"/>
    </row>
    <row r="162" spans="1:16" s="52" customFormat="1" ht="18" hidden="1" customHeight="1">
      <c r="A162" s="46"/>
      <c r="B162" s="47"/>
      <c r="C162" s="46"/>
      <c r="D162" s="48"/>
      <c r="E162" s="48"/>
      <c r="F162" s="49"/>
      <c r="G162" s="50"/>
      <c r="H162" s="50"/>
      <c r="I162" s="50"/>
      <c r="J162" s="50"/>
      <c r="K162" s="50"/>
      <c r="L162" s="51"/>
      <c r="M162" s="177"/>
      <c r="O162" s="166"/>
      <c r="P162" s="171"/>
    </row>
    <row r="163" spans="1:16" s="52" customFormat="1" ht="18" hidden="1" customHeight="1">
      <c r="A163" s="46"/>
      <c r="B163" s="47"/>
      <c r="C163" s="46"/>
      <c r="D163" s="48"/>
      <c r="E163" s="48"/>
      <c r="F163" s="49"/>
      <c r="G163" s="50"/>
      <c r="H163" s="50"/>
      <c r="I163" s="50"/>
      <c r="J163" s="50"/>
      <c r="K163" s="50"/>
      <c r="L163" s="51"/>
      <c r="M163" s="177"/>
      <c r="O163" s="166"/>
      <c r="P163" s="171"/>
    </row>
    <row r="164" spans="1:16" s="52" customFormat="1" ht="18" hidden="1" customHeight="1">
      <c r="A164" s="46"/>
      <c r="B164" s="47"/>
      <c r="C164" s="46"/>
      <c r="D164" s="48"/>
      <c r="E164" s="48"/>
      <c r="F164" s="49"/>
      <c r="G164" s="50"/>
      <c r="H164" s="50"/>
      <c r="I164" s="50"/>
      <c r="J164" s="50"/>
      <c r="K164" s="50"/>
      <c r="L164" s="51"/>
      <c r="M164" s="177"/>
      <c r="O164" s="166"/>
      <c r="P164" s="171"/>
    </row>
    <row r="165" spans="1:16" s="52" customFormat="1" ht="18" hidden="1" customHeight="1">
      <c r="A165" s="46"/>
      <c r="B165" s="47"/>
      <c r="C165" s="46"/>
      <c r="D165" s="48"/>
      <c r="E165" s="48"/>
      <c r="F165" s="49"/>
      <c r="G165" s="50"/>
      <c r="H165" s="50"/>
      <c r="I165" s="50"/>
      <c r="J165" s="50"/>
      <c r="K165" s="50"/>
      <c r="L165" s="51"/>
      <c r="M165" s="177"/>
      <c r="O165" s="166"/>
      <c r="P165" s="171"/>
    </row>
    <row r="166" spans="1:16" s="52" customFormat="1" ht="18" hidden="1" customHeight="1">
      <c r="A166" s="46"/>
      <c r="B166" s="47"/>
      <c r="C166" s="46"/>
      <c r="D166" s="48"/>
      <c r="E166" s="48"/>
      <c r="F166" s="49"/>
      <c r="G166" s="50"/>
      <c r="H166" s="50"/>
      <c r="I166" s="50"/>
      <c r="J166" s="50"/>
      <c r="K166" s="50"/>
      <c r="L166" s="51"/>
      <c r="M166" s="177"/>
      <c r="O166" s="166"/>
      <c r="P166" s="171"/>
    </row>
    <row r="167" spans="1:16" s="52" customFormat="1" ht="18" hidden="1" customHeight="1">
      <c r="A167" s="46"/>
      <c r="B167" s="47"/>
      <c r="C167" s="46"/>
      <c r="D167" s="48"/>
      <c r="E167" s="48"/>
      <c r="F167" s="49"/>
      <c r="G167" s="50"/>
      <c r="H167" s="50"/>
      <c r="I167" s="50"/>
      <c r="J167" s="50"/>
      <c r="K167" s="50"/>
      <c r="L167" s="51"/>
      <c r="M167" s="177"/>
      <c r="O167" s="166"/>
      <c r="P167" s="171"/>
    </row>
    <row r="168" spans="1:16" s="52" customFormat="1" ht="18" hidden="1" customHeight="1">
      <c r="A168" s="46"/>
      <c r="B168" s="47"/>
      <c r="C168" s="46"/>
      <c r="D168" s="48"/>
      <c r="E168" s="48"/>
      <c r="F168" s="49"/>
      <c r="G168" s="50"/>
      <c r="H168" s="50"/>
      <c r="I168" s="50"/>
      <c r="J168" s="50"/>
      <c r="K168" s="50"/>
      <c r="L168" s="51"/>
      <c r="M168" s="177"/>
      <c r="O168" s="166"/>
      <c r="P168" s="171"/>
    </row>
    <row r="169" spans="1:16" ht="18" hidden="1" customHeight="1">
      <c r="A169" s="9"/>
      <c r="B169" s="10"/>
      <c r="C169" s="9"/>
      <c r="D169" s="4"/>
      <c r="E169" s="4"/>
      <c r="F169" s="44"/>
      <c r="G169" s="24"/>
      <c r="H169" s="24"/>
      <c r="I169" s="24"/>
      <c r="J169" s="24"/>
      <c r="K169" s="24"/>
      <c r="L169" s="25"/>
      <c r="M169" s="177"/>
    </row>
    <row r="170" spans="1:16" s="17" customFormat="1" ht="18" customHeight="1">
      <c r="A170" s="11"/>
      <c r="B170" s="11" t="s">
        <v>13</v>
      </c>
      <c r="C170" s="11"/>
      <c r="D170" s="13"/>
      <c r="E170" s="13"/>
      <c r="F170" s="45"/>
      <c r="G170" s="42"/>
      <c r="H170" s="42">
        <f>SUM(H102:H155)</f>
        <v>7919500</v>
      </c>
      <c r="I170" s="42"/>
      <c r="J170" s="42">
        <f>SUM(J102:J155)</f>
        <v>1586000</v>
      </c>
      <c r="K170" s="42"/>
      <c r="L170" s="42">
        <f>SUM(L102:L155)</f>
        <v>9505500</v>
      </c>
      <c r="M170" s="177"/>
      <c r="O170" s="164"/>
      <c r="P170" s="169"/>
    </row>
    <row r="171" spans="1:16" s="17" customFormat="1" ht="18" customHeight="1">
      <c r="A171" s="39" t="s">
        <v>31</v>
      </c>
      <c r="B171" s="40" t="s">
        <v>105</v>
      </c>
      <c r="C171" s="362"/>
      <c r="D171" s="13"/>
      <c r="E171" s="13"/>
      <c r="F171" s="45"/>
      <c r="G171" s="42"/>
      <c r="H171" s="42"/>
      <c r="I171" s="42"/>
      <c r="J171" s="42"/>
      <c r="K171" s="42"/>
      <c r="L171" s="43"/>
      <c r="M171" s="177"/>
      <c r="O171" s="164"/>
      <c r="P171" s="169"/>
    </row>
    <row r="172" spans="1:16" s="52" customFormat="1" ht="18" customHeight="1">
      <c r="A172" s="46">
        <v>-1</v>
      </c>
      <c r="B172" s="47" t="s">
        <v>106</v>
      </c>
      <c r="C172" s="46"/>
      <c r="D172" s="48"/>
      <c r="E172" s="48"/>
      <c r="F172" s="49"/>
      <c r="G172" s="50"/>
      <c r="H172" s="50"/>
      <c r="I172" s="50"/>
      <c r="J172" s="50"/>
      <c r="K172" s="50"/>
      <c r="L172" s="51"/>
      <c r="M172" s="177"/>
      <c r="O172" s="166"/>
      <c r="P172" s="171"/>
    </row>
    <row r="173" spans="1:16" s="52" customFormat="1" ht="18" hidden="1" customHeight="1">
      <c r="A173" s="46" t="s">
        <v>271</v>
      </c>
      <c r="B173" s="47" t="s">
        <v>281</v>
      </c>
      <c r="C173" s="46" t="s">
        <v>282</v>
      </c>
      <c r="D173" s="48"/>
      <c r="E173" s="48" t="s">
        <v>283</v>
      </c>
      <c r="F173" s="54"/>
      <c r="G173" s="50">
        <f>510000*1.1</f>
        <v>561000</v>
      </c>
      <c r="H173" s="50">
        <f t="shared" ref="H173:H180" si="67">F173*G173</f>
        <v>0</v>
      </c>
      <c r="I173" s="50">
        <v>200000</v>
      </c>
      <c r="J173" s="50">
        <f t="shared" ref="J173:J180" si="68">F173*I173</f>
        <v>0</v>
      </c>
      <c r="K173" s="50">
        <f>G173+I173</f>
        <v>761000</v>
      </c>
      <c r="L173" s="51">
        <f>F173*K173</f>
        <v>0</v>
      </c>
      <c r="M173" s="176"/>
      <c r="O173" s="166"/>
      <c r="P173" s="171"/>
    </row>
    <row r="174" spans="1:16" s="52" customFormat="1" ht="18" hidden="1" customHeight="1">
      <c r="A174" s="53" t="s">
        <v>12</v>
      </c>
      <c r="B174" s="47" t="s">
        <v>108</v>
      </c>
      <c r="C174" s="53" t="s">
        <v>268</v>
      </c>
      <c r="D174" s="48"/>
      <c r="E174" s="48" t="s">
        <v>36</v>
      </c>
      <c r="F174" s="54">
        <v>0</v>
      </c>
      <c r="G174" s="50">
        <v>8300</v>
      </c>
      <c r="H174" s="50">
        <f t="shared" si="67"/>
        <v>0</v>
      </c>
      <c r="I174" s="50">
        <v>10000</v>
      </c>
      <c r="J174" s="50">
        <f t="shared" si="68"/>
        <v>0</v>
      </c>
      <c r="K174" s="50">
        <f t="shared" ref="K174:K180" si="69">G174+I174</f>
        <v>18300</v>
      </c>
      <c r="L174" s="51">
        <f t="shared" ref="L174:L180" si="70">F174*K174</f>
        <v>0</v>
      </c>
      <c r="M174" s="177"/>
      <c r="O174" s="166">
        <f>(3+6+22+6+6+2+3)</f>
        <v>48</v>
      </c>
      <c r="P174" s="171">
        <f>136/3.3*1.3</f>
        <v>53.575757575757578</v>
      </c>
    </row>
    <row r="175" spans="1:16" s="52" customFormat="1" ht="18" hidden="1" customHeight="1">
      <c r="A175" s="53" t="s">
        <v>275</v>
      </c>
      <c r="B175" s="47" t="s">
        <v>264</v>
      </c>
      <c r="C175" s="53" t="s">
        <v>267</v>
      </c>
      <c r="D175" s="48"/>
      <c r="E175" s="48" t="s">
        <v>265</v>
      </c>
      <c r="F175" s="54"/>
      <c r="G175" s="50">
        <v>47000</v>
      </c>
      <c r="H175" s="50">
        <f t="shared" si="67"/>
        <v>0</v>
      </c>
      <c r="I175" s="50">
        <v>55000</v>
      </c>
      <c r="J175" s="50">
        <f t="shared" si="68"/>
        <v>0</v>
      </c>
      <c r="K175" s="50">
        <f t="shared" si="69"/>
        <v>102000</v>
      </c>
      <c r="L175" s="51">
        <f t="shared" si="70"/>
        <v>0</v>
      </c>
      <c r="M175" s="177"/>
      <c r="O175" s="166"/>
      <c r="P175" s="171"/>
    </row>
    <row r="176" spans="1:16" s="52" customFormat="1" ht="18" hidden="1" customHeight="1">
      <c r="A176" s="53" t="s">
        <v>12</v>
      </c>
      <c r="B176" s="47" t="s">
        <v>107</v>
      </c>
      <c r="C176" s="53" t="s">
        <v>269</v>
      </c>
      <c r="D176" s="53"/>
      <c r="E176" s="48" t="s">
        <v>266</v>
      </c>
      <c r="F176" s="54">
        <v>0</v>
      </c>
      <c r="G176" s="50">
        <v>22000</v>
      </c>
      <c r="H176" s="50">
        <f t="shared" si="67"/>
        <v>0</v>
      </c>
      <c r="I176" s="50">
        <v>10000</v>
      </c>
      <c r="J176" s="50">
        <f t="shared" si="68"/>
        <v>0</v>
      </c>
      <c r="K176" s="50">
        <f t="shared" si="69"/>
        <v>32000</v>
      </c>
      <c r="L176" s="51">
        <f t="shared" si="70"/>
        <v>0</v>
      </c>
      <c r="M176" s="177"/>
      <c r="O176" s="166">
        <f>2.1+2.4+2.7+2+2.5+0.7+1.6</f>
        <v>13.999999999999998</v>
      </c>
      <c r="P176" s="171"/>
    </row>
    <row r="177" spans="1:22" s="277" customFormat="1" ht="18" customHeight="1">
      <c r="A177" s="53" t="s">
        <v>343</v>
      </c>
      <c r="B177" s="271" t="s">
        <v>108</v>
      </c>
      <c r="C177" s="347" t="s">
        <v>344</v>
      </c>
      <c r="D177" s="272"/>
      <c r="E177" s="272" t="s">
        <v>345</v>
      </c>
      <c r="F177" s="273">
        <v>45</v>
      </c>
      <c r="G177" s="274">
        <v>6000</v>
      </c>
      <c r="H177" s="274">
        <f>F177*G177</f>
        <v>270000</v>
      </c>
      <c r="I177" s="274">
        <v>5000</v>
      </c>
      <c r="J177" s="274">
        <f>F177*I177</f>
        <v>225000</v>
      </c>
      <c r="K177" s="274">
        <f>G177+I177</f>
        <v>11000</v>
      </c>
      <c r="L177" s="275">
        <f>F177*K177</f>
        <v>495000</v>
      </c>
      <c r="M177" s="280"/>
      <c r="O177" s="278"/>
      <c r="P177" s="279"/>
      <c r="Q177" s="277" t="s">
        <v>547</v>
      </c>
      <c r="S177" s="277">
        <f>4+4+3+3+1.5+1.5+1</f>
        <v>18</v>
      </c>
    </row>
    <row r="178" spans="1:22" s="52" customFormat="1" ht="18" customHeight="1">
      <c r="A178" s="53" t="s">
        <v>12</v>
      </c>
      <c r="B178" s="47" t="s">
        <v>182</v>
      </c>
      <c r="C178" s="53" t="s">
        <v>603</v>
      </c>
      <c r="D178" s="48"/>
      <c r="E178" s="48" t="s">
        <v>183</v>
      </c>
      <c r="F178" s="54">
        <v>1</v>
      </c>
      <c r="G178" s="50">
        <v>350000</v>
      </c>
      <c r="H178" s="50">
        <f t="shared" si="67"/>
        <v>350000</v>
      </c>
      <c r="I178" s="50">
        <v>300000</v>
      </c>
      <c r="J178" s="50">
        <f t="shared" si="68"/>
        <v>300000</v>
      </c>
      <c r="K178" s="50">
        <f t="shared" si="69"/>
        <v>650000</v>
      </c>
      <c r="L178" s="51">
        <f t="shared" si="70"/>
        <v>650000</v>
      </c>
      <c r="M178" s="177"/>
      <c r="O178" s="166"/>
      <c r="P178" s="171"/>
    </row>
    <row r="179" spans="1:22" s="52" customFormat="1" ht="18" customHeight="1">
      <c r="A179" s="53" t="s">
        <v>12</v>
      </c>
      <c r="B179" s="47" t="s">
        <v>109</v>
      </c>
      <c r="C179" s="53"/>
      <c r="D179" s="48"/>
      <c r="E179" s="48" t="s">
        <v>36</v>
      </c>
      <c r="F179" s="54">
        <v>2</v>
      </c>
      <c r="G179" s="50">
        <v>15000</v>
      </c>
      <c r="H179" s="50">
        <f t="shared" si="67"/>
        <v>30000</v>
      </c>
      <c r="I179" s="50">
        <v>5000</v>
      </c>
      <c r="J179" s="50">
        <f t="shared" si="68"/>
        <v>10000</v>
      </c>
      <c r="K179" s="50">
        <f t="shared" si="69"/>
        <v>20000</v>
      </c>
      <c r="L179" s="51">
        <f>F179*K179</f>
        <v>40000</v>
      </c>
      <c r="M179" s="177"/>
      <c r="O179" s="166"/>
      <c r="P179" s="171"/>
    </row>
    <row r="180" spans="1:22" s="52" customFormat="1" ht="18" customHeight="1">
      <c r="A180" s="53" t="s">
        <v>271</v>
      </c>
      <c r="B180" s="47" t="s">
        <v>272</v>
      </c>
      <c r="C180" s="53" t="s">
        <v>273</v>
      </c>
      <c r="D180" s="48"/>
      <c r="E180" s="48" t="s">
        <v>274</v>
      </c>
      <c r="F180" s="54">
        <v>3</v>
      </c>
      <c r="G180" s="50">
        <v>37000</v>
      </c>
      <c r="H180" s="50">
        <f t="shared" si="67"/>
        <v>111000</v>
      </c>
      <c r="I180" s="50">
        <v>15000</v>
      </c>
      <c r="J180" s="50">
        <f t="shared" si="68"/>
        <v>45000</v>
      </c>
      <c r="K180" s="50">
        <f t="shared" si="69"/>
        <v>52000</v>
      </c>
      <c r="L180" s="51">
        <f t="shared" si="70"/>
        <v>156000</v>
      </c>
      <c r="M180" s="176"/>
      <c r="O180" s="166"/>
      <c r="P180" s="171"/>
    </row>
    <row r="181" spans="1:22" s="277" customFormat="1" ht="18" customHeight="1">
      <c r="A181" s="53" t="s">
        <v>339</v>
      </c>
      <c r="B181" s="271" t="s">
        <v>110</v>
      </c>
      <c r="C181" s="347" t="s">
        <v>223</v>
      </c>
      <c r="D181" s="272"/>
      <c r="E181" s="272" t="s">
        <v>340</v>
      </c>
      <c r="F181" s="273">
        <v>1</v>
      </c>
      <c r="G181" s="274">
        <v>55000</v>
      </c>
      <c r="H181" s="274">
        <f>F181*G181</f>
        <v>55000</v>
      </c>
      <c r="I181" s="274">
        <v>5000</v>
      </c>
      <c r="J181" s="274">
        <f t="shared" ref="J181:J185" si="71">F181*I181</f>
        <v>5000</v>
      </c>
      <c r="K181" s="274">
        <f>G181+I181</f>
        <v>60000</v>
      </c>
      <c r="L181" s="275">
        <f>F181*K181</f>
        <v>60000</v>
      </c>
      <c r="M181" s="280"/>
      <c r="O181" s="278"/>
      <c r="P181" s="279"/>
    </row>
    <row r="182" spans="1:22" s="385" customFormat="1" ht="18" customHeight="1">
      <c r="A182" s="268" t="s">
        <v>339</v>
      </c>
      <c r="B182" s="296" t="s">
        <v>341</v>
      </c>
      <c r="C182" s="268" t="s">
        <v>342</v>
      </c>
      <c r="D182" s="381" t="s">
        <v>620</v>
      </c>
      <c r="E182" s="381" t="s">
        <v>335</v>
      </c>
      <c r="F182" s="382">
        <v>10</v>
      </c>
      <c r="G182" s="383">
        <v>22000</v>
      </c>
      <c r="H182" s="383">
        <f>F182*G182</f>
        <v>220000</v>
      </c>
      <c r="I182" s="383">
        <v>8000</v>
      </c>
      <c r="J182" s="383">
        <f t="shared" si="71"/>
        <v>80000</v>
      </c>
      <c r="K182" s="383">
        <f>G182+I182</f>
        <v>30000</v>
      </c>
      <c r="L182" s="384">
        <f>F182*K182</f>
        <v>300000</v>
      </c>
      <c r="M182" s="419"/>
      <c r="O182" s="386">
        <f>5.2+3.3+2.9+4+1.5+2.5+2.1+1.9+1.7+1.3+3.3</f>
        <v>29.7</v>
      </c>
      <c r="P182" s="387"/>
    </row>
    <row r="183" spans="1:22" s="277" customFormat="1" ht="18" customHeight="1">
      <c r="A183" s="53" t="s">
        <v>41</v>
      </c>
      <c r="B183" s="271" t="s">
        <v>545</v>
      </c>
      <c r="C183" s="347" t="s">
        <v>546</v>
      </c>
      <c r="D183" s="272"/>
      <c r="E183" s="272" t="s">
        <v>74</v>
      </c>
      <c r="F183" s="273">
        <v>1</v>
      </c>
      <c r="G183" s="274">
        <v>100000</v>
      </c>
      <c r="H183" s="274">
        <f>F183*G183</f>
        <v>100000</v>
      </c>
      <c r="I183" s="274">
        <v>50000</v>
      </c>
      <c r="J183" s="274">
        <f t="shared" si="71"/>
        <v>50000</v>
      </c>
      <c r="K183" s="274">
        <f>G183+I183</f>
        <v>150000</v>
      </c>
      <c r="L183" s="275">
        <f>F183*K183</f>
        <v>150000</v>
      </c>
      <c r="M183" s="280"/>
      <c r="O183" s="278"/>
      <c r="P183" s="279"/>
      <c r="Q183" s="277" t="s">
        <v>351</v>
      </c>
      <c r="R183" s="277">
        <v>2.4</v>
      </c>
      <c r="V183" s="277" t="s">
        <v>385</v>
      </c>
    </row>
    <row r="184" spans="1:22" s="52" customFormat="1" ht="18" customHeight="1">
      <c r="A184" s="53" t="s">
        <v>12</v>
      </c>
      <c r="B184" s="47" t="s">
        <v>111</v>
      </c>
      <c r="C184" s="53" t="s">
        <v>576</v>
      </c>
      <c r="D184" s="48"/>
      <c r="E184" s="48" t="s">
        <v>37</v>
      </c>
      <c r="F184" s="54">
        <v>66</v>
      </c>
      <c r="G184" s="50">
        <v>15000</v>
      </c>
      <c r="H184" s="50">
        <f t="shared" ref="H184" si="72">F184*G184</f>
        <v>990000</v>
      </c>
      <c r="I184" s="50">
        <v>20000</v>
      </c>
      <c r="J184" s="50">
        <f t="shared" si="71"/>
        <v>1320000</v>
      </c>
      <c r="K184" s="50">
        <f t="shared" ref="K184" si="73">G184+I184</f>
        <v>35000</v>
      </c>
      <c r="L184" s="51">
        <f t="shared" ref="L184" si="74">F184*K184</f>
        <v>2310000</v>
      </c>
      <c r="M184" s="280"/>
      <c r="N184" s="52" t="s">
        <v>540</v>
      </c>
      <c r="P184" s="52">
        <f>(38*1.5)</f>
        <v>57</v>
      </c>
      <c r="U184" s="277"/>
    </row>
    <row r="185" spans="1:22" s="52" customFormat="1" ht="18" customHeight="1">
      <c r="A185" s="53" t="s">
        <v>12</v>
      </c>
      <c r="B185" s="47" t="s">
        <v>577</v>
      </c>
      <c r="C185" s="53" t="s">
        <v>578</v>
      </c>
      <c r="D185" s="48"/>
      <c r="E185" s="48" t="s">
        <v>74</v>
      </c>
      <c r="F185" s="54">
        <v>1</v>
      </c>
      <c r="G185" s="50">
        <v>250000</v>
      </c>
      <c r="H185" s="50">
        <f t="shared" ref="H185" si="75">F185*G185</f>
        <v>250000</v>
      </c>
      <c r="I185" s="50">
        <v>200000</v>
      </c>
      <c r="J185" s="50">
        <f t="shared" si="71"/>
        <v>200000</v>
      </c>
      <c r="K185" s="50">
        <f t="shared" ref="K185" si="76">G185+I185</f>
        <v>450000</v>
      </c>
      <c r="L185" s="51">
        <f t="shared" ref="L185" si="77">F185*K185</f>
        <v>450000</v>
      </c>
      <c r="M185" s="280"/>
      <c r="N185" s="52" t="s">
        <v>540</v>
      </c>
      <c r="P185" s="52">
        <f>(38*1.5)</f>
        <v>57</v>
      </c>
      <c r="U185" s="277"/>
    </row>
    <row r="186" spans="1:22" s="277" customFormat="1" ht="18" customHeight="1">
      <c r="A186" s="53"/>
      <c r="B186" s="271"/>
      <c r="C186" s="347"/>
      <c r="D186" s="272"/>
      <c r="E186" s="272"/>
      <c r="F186" s="273"/>
      <c r="G186" s="274"/>
      <c r="H186" s="274"/>
      <c r="I186" s="274"/>
      <c r="J186" s="274"/>
      <c r="K186" s="274"/>
      <c r="L186" s="275"/>
      <c r="M186" s="280"/>
      <c r="O186" s="278"/>
      <c r="P186" s="279"/>
    </row>
    <row r="187" spans="1:22" s="287" customFormat="1" ht="18" customHeight="1">
      <c r="A187" s="268" t="s">
        <v>488</v>
      </c>
      <c r="B187" s="281" t="s">
        <v>544</v>
      </c>
      <c r="C187" s="359"/>
      <c r="D187" s="282"/>
      <c r="E187" s="282" t="s">
        <v>487</v>
      </c>
      <c r="F187" s="283">
        <v>0</v>
      </c>
      <c r="G187" s="284">
        <v>0</v>
      </c>
      <c r="H187" s="284">
        <f>F187*G187</f>
        <v>0</v>
      </c>
      <c r="I187" s="284">
        <v>0</v>
      </c>
      <c r="J187" s="284">
        <f>F187*I187</f>
        <v>0</v>
      </c>
      <c r="K187" s="284">
        <f>G187+I187</f>
        <v>0</v>
      </c>
      <c r="L187" s="285">
        <f>F187*K187</f>
        <v>0</v>
      </c>
      <c r="M187" s="282"/>
      <c r="O187" s="288"/>
      <c r="P187" s="289"/>
    </row>
    <row r="188" spans="1:22" s="52" customFormat="1" ht="18" customHeight="1">
      <c r="A188" s="243"/>
      <c r="B188" s="262"/>
      <c r="C188" s="46"/>
      <c r="D188" s="48"/>
      <c r="E188" s="48"/>
      <c r="F188" s="49"/>
      <c r="G188" s="50" t="s">
        <v>556</v>
      </c>
      <c r="H188" s="50"/>
      <c r="I188" s="50"/>
      <c r="J188" s="50"/>
      <c r="K188" s="50"/>
      <c r="L188" s="51"/>
      <c r="M188" s="176"/>
      <c r="O188" s="166"/>
      <c r="P188" s="171"/>
      <c r="Q188" s="52" t="s">
        <v>352</v>
      </c>
      <c r="R188" s="52">
        <v>2.1</v>
      </c>
    </row>
    <row r="189" spans="1:22" s="247" customFormat="1" ht="18" customHeight="1">
      <c r="A189" s="243"/>
      <c r="B189" s="243" t="s">
        <v>13</v>
      </c>
      <c r="C189" s="243"/>
      <c r="D189" s="244"/>
      <c r="E189" s="244"/>
      <c r="F189" s="245"/>
      <c r="G189" s="246"/>
      <c r="H189" s="246">
        <f>SUM(H173:H186)</f>
        <v>2376000</v>
      </c>
      <c r="I189" s="246"/>
      <c r="J189" s="246">
        <f>SUM(J173:J186)</f>
        <v>2235000</v>
      </c>
      <c r="K189" s="246"/>
      <c r="L189" s="246">
        <f>SUM(L173:L186)</f>
        <v>4611000</v>
      </c>
      <c r="M189" s="176"/>
      <c r="O189" s="248"/>
      <c r="P189" s="249"/>
      <c r="Q189" s="247" t="s">
        <v>353</v>
      </c>
      <c r="R189" s="247">
        <v>2.7</v>
      </c>
    </row>
    <row r="190" spans="1:22" ht="18" customHeight="1">
      <c r="A190" s="11"/>
      <c r="B190" s="12"/>
      <c r="C190" s="9"/>
      <c r="D190" s="4"/>
      <c r="E190" s="4"/>
      <c r="F190" s="44"/>
      <c r="G190" s="24"/>
      <c r="H190" s="24"/>
      <c r="I190" s="24"/>
      <c r="J190" s="24"/>
      <c r="K190" s="24"/>
      <c r="L190" s="25"/>
      <c r="M190" s="177"/>
      <c r="Q190" s="8" t="s">
        <v>354</v>
      </c>
      <c r="R190" s="8">
        <v>2.4</v>
      </c>
    </row>
    <row r="191" spans="1:22" s="17" customFormat="1" ht="18" customHeight="1">
      <c r="A191" s="39" t="s">
        <v>512</v>
      </c>
      <c r="B191" s="40" t="s">
        <v>117</v>
      </c>
      <c r="C191" s="362"/>
      <c r="D191" s="13"/>
      <c r="E191" s="13"/>
      <c r="F191" s="45"/>
      <c r="G191" s="42"/>
      <c r="H191" s="42"/>
      <c r="I191" s="42"/>
      <c r="J191" s="42"/>
      <c r="K191" s="42"/>
      <c r="L191" s="43"/>
      <c r="M191" s="177"/>
      <c r="O191" s="164"/>
      <c r="P191" s="169"/>
      <c r="Q191" s="17" t="s">
        <v>355</v>
      </c>
      <c r="R191" s="17">
        <v>1.6</v>
      </c>
    </row>
    <row r="192" spans="1:22" s="52" customFormat="1" ht="18" customHeight="1">
      <c r="A192" s="46">
        <v>-1</v>
      </c>
      <c r="B192" s="47" t="s">
        <v>189</v>
      </c>
      <c r="C192" s="46"/>
      <c r="D192" s="48"/>
      <c r="E192" s="48"/>
      <c r="F192" s="49"/>
      <c r="G192" s="50"/>
      <c r="H192" s="50"/>
      <c r="I192" s="50"/>
      <c r="J192" s="50"/>
      <c r="K192" s="50"/>
      <c r="L192" s="51"/>
      <c r="M192" s="177"/>
      <c r="O192" s="166"/>
      <c r="P192" s="171"/>
      <c r="Q192" s="52" t="s">
        <v>356</v>
      </c>
      <c r="R192" s="52">
        <v>0.7</v>
      </c>
    </row>
    <row r="193" spans="1:18" s="52" customFormat="1" ht="18" customHeight="1">
      <c r="A193" s="53" t="s">
        <v>12</v>
      </c>
      <c r="B193" s="47" t="s">
        <v>625</v>
      </c>
      <c r="C193" s="46"/>
      <c r="D193" s="48"/>
      <c r="E193" s="48" t="s">
        <v>74</v>
      </c>
      <c r="F193" s="54">
        <v>2</v>
      </c>
      <c r="G193" s="50">
        <v>150000</v>
      </c>
      <c r="H193" s="50">
        <f>F193*G193</f>
        <v>300000</v>
      </c>
      <c r="I193" s="50">
        <v>150000</v>
      </c>
      <c r="J193" s="50">
        <f>F193*I193</f>
        <v>300000</v>
      </c>
      <c r="K193" s="50">
        <f>G193+I193</f>
        <v>300000</v>
      </c>
      <c r="L193" s="51">
        <f>F193*K193</f>
        <v>600000</v>
      </c>
      <c r="M193" s="176"/>
      <c r="O193" s="166"/>
      <c r="P193" s="171"/>
    </row>
    <row r="194" spans="1:18" s="52" customFormat="1" ht="18" customHeight="1">
      <c r="A194" s="53"/>
      <c r="B194" s="47"/>
      <c r="C194" s="46"/>
      <c r="D194" s="48"/>
      <c r="E194" s="48"/>
      <c r="F194" s="54"/>
      <c r="G194" s="50"/>
      <c r="H194" s="50"/>
      <c r="I194" s="50"/>
      <c r="J194" s="50"/>
      <c r="K194" s="50"/>
      <c r="L194" s="51"/>
      <c r="M194" s="176"/>
      <c r="O194" s="166"/>
      <c r="P194" s="171"/>
    </row>
    <row r="195" spans="1:18" s="52" customFormat="1" ht="18" customHeight="1">
      <c r="A195" s="53" t="s">
        <v>12</v>
      </c>
      <c r="B195" s="47" t="s">
        <v>113</v>
      </c>
      <c r="C195" s="53" t="s">
        <v>604</v>
      </c>
      <c r="D195" s="53"/>
      <c r="E195" s="4" t="s">
        <v>36</v>
      </c>
      <c r="F195" s="54">
        <v>1</v>
      </c>
      <c r="G195" s="50">
        <v>85000</v>
      </c>
      <c r="H195" s="50">
        <f>F195*G195</f>
        <v>85000</v>
      </c>
      <c r="I195" s="50">
        <v>50000</v>
      </c>
      <c r="J195" s="50">
        <f>F195*I195</f>
        <v>50000</v>
      </c>
      <c r="K195" s="50">
        <f>G195+I195</f>
        <v>135000</v>
      </c>
      <c r="L195" s="51">
        <f>F195*K195</f>
        <v>135000</v>
      </c>
      <c r="M195" s="176"/>
      <c r="O195" s="166"/>
      <c r="P195" s="171"/>
      <c r="R195" s="52" t="s">
        <v>357</v>
      </c>
    </row>
    <row r="196" spans="1:18" s="52" customFormat="1" ht="18" customHeight="1">
      <c r="A196" s="46"/>
      <c r="B196" s="47"/>
      <c r="C196" s="46"/>
      <c r="D196" s="48"/>
      <c r="E196" s="48"/>
      <c r="F196" s="49"/>
      <c r="G196" s="50"/>
      <c r="H196" s="50"/>
      <c r="I196" s="50"/>
      <c r="J196" s="50"/>
      <c r="K196" s="50"/>
      <c r="L196" s="51"/>
      <c r="M196" s="176"/>
      <c r="O196" s="166"/>
      <c r="P196" s="171"/>
    </row>
    <row r="197" spans="1:18" s="52" customFormat="1" ht="18" customHeight="1">
      <c r="A197" s="46">
        <v>-1</v>
      </c>
      <c r="B197" s="47" t="s">
        <v>112</v>
      </c>
      <c r="C197" s="46"/>
      <c r="D197" s="48"/>
      <c r="E197" s="48"/>
      <c r="F197" s="49"/>
      <c r="G197" s="50"/>
      <c r="H197" s="50"/>
      <c r="I197" s="50"/>
      <c r="J197" s="50"/>
      <c r="K197" s="50"/>
      <c r="L197" s="51"/>
      <c r="M197" s="176"/>
      <c r="O197" s="166"/>
      <c r="P197" s="171"/>
    </row>
    <row r="198" spans="1:18" s="52" customFormat="1" ht="18" customHeight="1">
      <c r="A198" s="53">
        <v>2</v>
      </c>
      <c r="B198" s="47" t="s">
        <v>115</v>
      </c>
      <c r="C198" s="46" t="s">
        <v>605</v>
      </c>
      <c r="D198" s="48" t="s">
        <v>509</v>
      </c>
      <c r="E198" s="48" t="s">
        <v>36</v>
      </c>
      <c r="F198" s="54">
        <v>2</v>
      </c>
      <c r="G198" s="50">
        <v>290000</v>
      </c>
      <c r="H198" s="50">
        <f>F198*G198</f>
        <v>580000</v>
      </c>
      <c r="I198" s="50">
        <v>50000</v>
      </c>
      <c r="J198" s="50">
        <f>F198*I198</f>
        <v>100000</v>
      </c>
      <c r="K198" s="50">
        <f>G198+I198</f>
        <v>340000</v>
      </c>
      <c r="L198" s="51">
        <f>F198*K198</f>
        <v>680000</v>
      </c>
      <c r="M198" s="176"/>
      <c r="O198" s="166"/>
      <c r="P198" s="171"/>
    </row>
    <row r="199" spans="1:18" ht="18" hidden="1" customHeight="1">
      <c r="A199" s="172" t="s">
        <v>12</v>
      </c>
      <c r="B199" s="10" t="s">
        <v>116</v>
      </c>
      <c r="C199" s="172" t="s">
        <v>384</v>
      </c>
      <c r="D199" s="305" t="s">
        <v>118</v>
      </c>
      <c r="E199" s="4" t="s">
        <v>36</v>
      </c>
      <c r="F199" s="173">
        <v>0</v>
      </c>
      <c r="G199" s="24">
        <v>800000</v>
      </c>
      <c r="H199" s="24">
        <f>F199*G199</f>
        <v>0</v>
      </c>
      <c r="I199" s="24">
        <v>120000</v>
      </c>
      <c r="J199" s="24">
        <f t="shared" ref="J199:J220" si="78">F199*I199</f>
        <v>0</v>
      </c>
      <c r="K199" s="24">
        <f>G199+I199</f>
        <v>920000</v>
      </c>
      <c r="L199" s="25">
        <f>F199*K199</f>
        <v>0</v>
      </c>
      <c r="M199" s="177"/>
    </row>
    <row r="200" spans="1:18" ht="18" customHeight="1">
      <c r="A200" s="172" t="s">
        <v>12</v>
      </c>
      <c r="B200" s="10" t="s">
        <v>114</v>
      </c>
      <c r="C200" s="9" t="s">
        <v>583</v>
      </c>
      <c r="D200" s="305" t="s">
        <v>118</v>
      </c>
      <c r="E200" s="4" t="s">
        <v>36</v>
      </c>
      <c r="F200" s="173">
        <v>2</v>
      </c>
      <c r="G200" s="24">
        <v>272000</v>
      </c>
      <c r="H200" s="24">
        <f>F200*G200</f>
        <v>544000</v>
      </c>
      <c r="I200" s="24">
        <v>50000</v>
      </c>
      <c r="J200" s="24">
        <f t="shared" ref="J200" si="79">F200*I200</f>
        <v>100000</v>
      </c>
      <c r="K200" s="24">
        <f>G200+I200</f>
        <v>322000</v>
      </c>
      <c r="L200" s="25">
        <f>F200*K200</f>
        <v>644000</v>
      </c>
      <c r="M200" s="177" t="s">
        <v>582</v>
      </c>
    </row>
    <row r="201" spans="1:18" ht="18" customHeight="1">
      <c r="A201" s="172"/>
      <c r="B201" s="10"/>
      <c r="C201" s="172"/>
      <c r="D201" s="305"/>
      <c r="E201" s="4"/>
      <c r="F201" s="173"/>
      <c r="G201" s="24"/>
      <c r="H201" s="24"/>
      <c r="I201" s="24"/>
      <c r="J201" s="24"/>
      <c r="K201" s="24"/>
      <c r="L201" s="25"/>
      <c r="M201" s="177"/>
    </row>
    <row r="202" spans="1:18" ht="18" hidden="1" customHeight="1">
      <c r="A202" s="9">
        <v>-1</v>
      </c>
      <c r="B202" s="10" t="s">
        <v>100</v>
      </c>
      <c r="C202" s="9"/>
      <c r="D202" s="305"/>
      <c r="E202" s="4"/>
      <c r="F202" s="44"/>
      <c r="G202" s="24"/>
      <c r="H202" s="24"/>
      <c r="I202" s="24"/>
      <c r="J202" s="24"/>
      <c r="K202" s="24"/>
      <c r="L202" s="25"/>
      <c r="M202" s="177"/>
    </row>
    <row r="203" spans="1:18" s="342" customFormat="1" ht="18" hidden="1" customHeight="1">
      <c r="A203" s="172" t="s">
        <v>12</v>
      </c>
      <c r="B203" s="340" t="s">
        <v>120</v>
      </c>
      <c r="C203" s="363" t="s">
        <v>253</v>
      </c>
      <c r="D203" s="329" t="s">
        <v>367</v>
      </c>
      <c r="E203" s="329" t="s">
        <v>40</v>
      </c>
      <c r="F203" s="341">
        <v>0</v>
      </c>
      <c r="G203" s="336">
        <v>62000</v>
      </c>
      <c r="H203" s="336">
        <f>F203*G203</f>
        <v>0</v>
      </c>
      <c r="I203" s="336">
        <v>30000</v>
      </c>
      <c r="J203" s="336">
        <f t="shared" si="78"/>
        <v>0</v>
      </c>
      <c r="K203" s="336">
        <f>G203+I203</f>
        <v>92000</v>
      </c>
      <c r="L203" s="337">
        <f>F203*K203</f>
        <v>0</v>
      </c>
      <c r="M203" s="276"/>
      <c r="O203" s="343"/>
      <c r="P203" s="344"/>
    </row>
    <row r="204" spans="1:18" s="342" customFormat="1" ht="18" hidden="1" customHeight="1">
      <c r="A204" s="172" t="s">
        <v>12</v>
      </c>
      <c r="B204" s="340" t="s">
        <v>121</v>
      </c>
      <c r="C204" s="363" t="s">
        <v>254</v>
      </c>
      <c r="D204" s="329" t="s">
        <v>367</v>
      </c>
      <c r="E204" s="329" t="s">
        <v>40</v>
      </c>
      <c r="F204" s="341">
        <v>0</v>
      </c>
      <c r="G204" s="336">
        <v>125000</v>
      </c>
      <c r="H204" s="336">
        <f>F204*G204</f>
        <v>0</v>
      </c>
      <c r="I204" s="336">
        <v>30000</v>
      </c>
      <c r="J204" s="336">
        <f t="shared" si="78"/>
        <v>0</v>
      </c>
      <c r="K204" s="336">
        <f>G204+I204</f>
        <v>155000</v>
      </c>
      <c r="L204" s="337">
        <f>F204*K204</f>
        <v>0</v>
      </c>
      <c r="M204" s="276"/>
      <c r="O204" s="343"/>
      <c r="P204" s="344"/>
    </row>
    <row r="205" spans="1:18" s="52" customFormat="1" ht="18" hidden="1" customHeight="1">
      <c r="A205" s="53"/>
      <c r="B205" s="47"/>
      <c r="C205" s="53"/>
      <c r="D205" s="299"/>
      <c r="E205" s="48"/>
      <c r="F205" s="54"/>
      <c r="G205" s="50"/>
      <c r="H205" s="50"/>
      <c r="I205" s="50"/>
      <c r="J205" s="50"/>
      <c r="K205" s="50"/>
      <c r="L205" s="51"/>
      <c r="M205" s="177"/>
      <c r="O205" s="166"/>
      <c r="P205" s="171"/>
    </row>
    <row r="206" spans="1:18" s="52" customFormat="1" ht="18" customHeight="1">
      <c r="A206" s="46">
        <v>-1</v>
      </c>
      <c r="B206" s="47" t="s">
        <v>126</v>
      </c>
      <c r="C206" s="46"/>
      <c r="D206" s="299"/>
      <c r="E206" s="48"/>
      <c r="F206" s="49"/>
      <c r="G206" s="50"/>
      <c r="H206" s="50"/>
      <c r="I206" s="50"/>
      <c r="J206" s="50"/>
      <c r="K206" s="50"/>
      <c r="L206" s="51"/>
      <c r="M206" s="177"/>
      <c r="O206" s="166"/>
      <c r="P206" s="171"/>
    </row>
    <row r="207" spans="1:18" s="342" customFormat="1" ht="18" customHeight="1">
      <c r="A207" s="172" t="s">
        <v>12</v>
      </c>
      <c r="B207" s="340" t="s">
        <v>120</v>
      </c>
      <c r="C207" s="363" t="s">
        <v>584</v>
      </c>
      <c r="D207" s="329" t="s">
        <v>367</v>
      </c>
      <c r="E207" s="329" t="s">
        <v>40</v>
      </c>
      <c r="F207" s="341">
        <v>1</v>
      </c>
      <c r="G207" s="336">
        <v>60000</v>
      </c>
      <c r="H207" s="336">
        <f>F207*G207</f>
        <v>60000</v>
      </c>
      <c r="I207" s="336">
        <v>50000</v>
      </c>
      <c r="J207" s="336">
        <f>F207*I207</f>
        <v>50000</v>
      </c>
      <c r="K207" s="336">
        <f t="shared" ref="K207" si="80">G207+I207</f>
        <v>110000</v>
      </c>
      <c r="L207" s="337">
        <f>F207*K207</f>
        <v>110000</v>
      </c>
      <c r="M207" s="276"/>
      <c r="O207" s="343"/>
      <c r="P207" s="344"/>
      <c r="Q207" s="342">
        <v>0</v>
      </c>
    </row>
    <row r="208" spans="1:18" s="52" customFormat="1" ht="18" customHeight="1">
      <c r="A208" s="53" t="s">
        <v>12</v>
      </c>
      <c r="B208" s="47" t="s">
        <v>121</v>
      </c>
      <c r="C208" s="53" t="s">
        <v>254</v>
      </c>
      <c r="D208" s="48" t="s">
        <v>367</v>
      </c>
      <c r="E208" s="48" t="s">
        <v>40</v>
      </c>
      <c r="F208" s="54">
        <v>1</v>
      </c>
      <c r="G208" s="50">
        <v>125000</v>
      </c>
      <c r="H208" s="50">
        <f t="shared" ref="H208" si="81">F208*G208</f>
        <v>125000</v>
      </c>
      <c r="I208" s="50">
        <v>30000</v>
      </c>
      <c r="J208" s="50">
        <f t="shared" ref="J208" si="82">F208*I208</f>
        <v>30000</v>
      </c>
      <c r="K208" s="50">
        <f>G208+I208</f>
        <v>155000</v>
      </c>
      <c r="L208" s="51">
        <f t="shared" ref="L208" si="83">F208*K208</f>
        <v>155000</v>
      </c>
      <c r="M208" s="176"/>
      <c r="O208" s="166"/>
      <c r="P208" s="171"/>
    </row>
    <row r="209" spans="1:17" s="52" customFormat="1" ht="18" customHeight="1">
      <c r="A209" s="53" t="s">
        <v>41</v>
      </c>
      <c r="B209" s="47" t="s">
        <v>233</v>
      </c>
      <c r="C209" s="46" t="s">
        <v>234</v>
      </c>
      <c r="D209" s="305" t="s">
        <v>367</v>
      </c>
      <c r="E209" s="48" t="s">
        <v>40</v>
      </c>
      <c r="F209" s="54">
        <v>1</v>
      </c>
      <c r="G209" s="50">
        <v>300000</v>
      </c>
      <c r="H209" s="50">
        <f>F209*G209</f>
        <v>300000</v>
      </c>
      <c r="I209" s="50">
        <v>50000</v>
      </c>
      <c r="J209" s="50">
        <f t="shared" si="78"/>
        <v>50000</v>
      </c>
      <c r="K209" s="50">
        <f>G209+I209</f>
        <v>350000</v>
      </c>
      <c r="L209" s="51">
        <f t="shared" ref="L209:L214" si="84">F209*K209</f>
        <v>350000</v>
      </c>
      <c r="M209" s="177"/>
      <c r="O209" s="166"/>
      <c r="P209" s="171"/>
    </row>
    <row r="210" spans="1:17" s="52" customFormat="1" ht="18" customHeight="1">
      <c r="A210" s="53" t="s">
        <v>12</v>
      </c>
      <c r="B210" s="47" t="s">
        <v>122</v>
      </c>
      <c r="C210" s="53" t="s">
        <v>124</v>
      </c>
      <c r="D210" s="305" t="s">
        <v>367</v>
      </c>
      <c r="E210" s="48" t="s">
        <v>40</v>
      </c>
      <c r="F210" s="54">
        <v>1</v>
      </c>
      <c r="G210" s="50">
        <v>49000</v>
      </c>
      <c r="H210" s="50">
        <f>F210*G210</f>
        <v>49000</v>
      </c>
      <c r="I210" s="50">
        <v>50000</v>
      </c>
      <c r="J210" s="50">
        <f t="shared" si="78"/>
        <v>50000</v>
      </c>
      <c r="K210" s="50">
        <f>G210+I210</f>
        <v>99000</v>
      </c>
      <c r="L210" s="51">
        <f t="shared" si="84"/>
        <v>99000</v>
      </c>
      <c r="M210" s="177"/>
      <c r="O210" s="166"/>
      <c r="P210" s="171"/>
    </row>
    <row r="211" spans="1:17" s="52" customFormat="1" ht="18" customHeight="1">
      <c r="A211" s="53" t="s">
        <v>12</v>
      </c>
      <c r="B211" s="47" t="s">
        <v>123</v>
      </c>
      <c r="C211" s="53" t="s">
        <v>232</v>
      </c>
      <c r="D211" s="305" t="s">
        <v>367</v>
      </c>
      <c r="E211" s="48" t="s">
        <v>40</v>
      </c>
      <c r="F211" s="54">
        <v>1</v>
      </c>
      <c r="G211" s="50">
        <v>35000</v>
      </c>
      <c r="H211" s="50">
        <v>45000</v>
      </c>
      <c r="I211" s="50">
        <v>50000</v>
      </c>
      <c r="J211" s="50">
        <f t="shared" si="78"/>
        <v>50000</v>
      </c>
      <c r="K211" s="50">
        <f>G211+I211</f>
        <v>85000</v>
      </c>
      <c r="L211" s="51">
        <f t="shared" si="84"/>
        <v>85000</v>
      </c>
      <c r="M211" s="177"/>
      <c r="O211" s="166"/>
      <c r="P211" s="171"/>
    </row>
    <row r="212" spans="1:17" s="52" customFormat="1" ht="18" customHeight="1">
      <c r="A212" s="53" t="s">
        <v>12</v>
      </c>
      <c r="B212" s="47" t="s">
        <v>164</v>
      </c>
      <c r="C212" s="46" t="s">
        <v>606</v>
      </c>
      <c r="D212" s="315" t="s">
        <v>367</v>
      </c>
      <c r="E212" s="48" t="s">
        <v>74</v>
      </c>
      <c r="F212" s="54">
        <v>1</v>
      </c>
      <c r="G212" s="50">
        <v>35000</v>
      </c>
      <c r="H212" s="50">
        <f>F212*G212</f>
        <v>35000</v>
      </c>
      <c r="I212" s="50">
        <v>50000</v>
      </c>
      <c r="J212" s="50">
        <f t="shared" ref="J212:J215" si="85">F212*I212</f>
        <v>50000</v>
      </c>
      <c r="K212" s="50">
        <f t="shared" ref="K212" si="86">G212+I212</f>
        <v>85000</v>
      </c>
      <c r="L212" s="51">
        <f>F212*K212</f>
        <v>85000</v>
      </c>
      <c r="M212" s="177"/>
      <c r="O212" s="166"/>
      <c r="P212" s="171"/>
    </row>
    <row r="213" spans="1:17" s="52" customFormat="1" ht="18" customHeight="1">
      <c r="A213" s="53" t="s">
        <v>12</v>
      </c>
      <c r="B213" s="47" t="s">
        <v>607</v>
      </c>
      <c r="C213" s="46" t="s">
        <v>608</v>
      </c>
      <c r="D213" s="315" t="s">
        <v>367</v>
      </c>
      <c r="E213" s="48" t="s">
        <v>74</v>
      </c>
      <c r="F213" s="54">
        <v>1</v>
      </c>
      <c r="G213" s="50">
        <v>150000</v>
      </c>
      <c r="H213" s="50">
        <f>F213*G213</f>
        <v>150000</v>
      </c>
      <c r="I213" s="50">
        <v>50000</v>
      </c>
      <c r="J213" s="50">
        <f t="shared" ref="J213" si="87">F213*I213</f>
        <v>50000</v>
      </c>
      <c r="K213" s="50">
        <f t="shared" ref="K213" si="88">G213+I213</f>
        <v>200000</v>
      </c>
      <c r="L213" s="51">
        <f>F213*K213</f>
        <v>200000</v>
      </c>
      <c r="M213" s="177"/>
      <c r="O213" s="166"/>
      <c r="P213" s="171"/>
    </row>
    <row r="214" spans="1:17" s="52" customFormat="1" ht="18" customHeight="1">
      <c r="A214" s="53" t="s">
        <v>12</v>
      </c>
      <c r="B214" s="47" t="s">
        <v>231</v>
      </c>
      <c r="C214" s="46" t="s">
        <v>228</v>
      </c>
      <c r="D214" s="305" t="s">
        <v>367</v>
      </c>
      <c r="E214" s="48" t="s">
        <v>74</v>
      </c>
      <c r="F214" s="54">
        <v>0</v>
      </c>
      <c r="G214" s="314">
        <v>60000</v>
      </c>
      <c r="H214" s="50">
        <f t="shared" ref="H214" si="89">F214*G214</f>
        <v>0</v>
      </c>
      <c r="I214" s="50">
        <v>10000</v>
      </c>
      <c r="J214" s="50">
        <f t="shared" si="85"/>
        <v>0</v>
      </c>
      <c r="K214" s="50">
        <f t="shared" ref="K214" si="90">G214+I214</f>
        <v>70000</v>
      </c>
      <c r="L214" s="51">
        <f t="shared" si="84"/>
        <v>0</v>
      </c>
      <c r="M214" s="177"/>
      <c r="O214" s="166"/>
      <c r="P214" s="171"/>
    </row>
    <row r="215" spans="1:17" ht="18" customHeight="1">
      <c r="A215" s="9" t="s">
        <v>391</v>
      </c>
      <c r="B215" s="10" t="s">
        <v>394</v>
      </c>
      <c r="C215" s="9" t="s">
        <v>395</v>
      </c>
      <c r="D215" s="315" t="s">
        <v>367</v>
      </c>
      <c r="E215" s="4" t="s">
        <v>396</v>
      </c>
      <c r="F215" s="173">
        <v>1</v>
      </c>
      <c r="G215" s="24">
        <v>300000</v>
      </c>
      <c r="H215" s="24">
        <f>F215*G215</f>
        <v>300000</v>
      </c>
      <c r="I215" s="24">
        <v>100000</v>
      </c>
      <c r="J215" s="24">
        <f t="shared" si="85"/>
        <v>100000</v>
      </c>
      <c r="K215" s="24">
        <f>G215+I215</f>
        <v>400000</v>
      </c>
      <c r="L215" s="25">
        <f>F215*K215</f>
        <v>400000</v>
      </c>
      <c r="M215" s="177"/>
    </row>
    <row r="216" spans="1:17" ht="18" customHeight="1">
      <c r="A216" s="9"/>
      <c r="B216" s="10"/>
      <c r="C216" s="9"/>
      <c r="D216" s="315"/>
      <c r="E216" s="4"/>
      <c r="F216" s="173"/>
      <c r="G216" s="24"/>
      <c r="H216" s="24"/>
      <c r="I216" s="24"/>
      <c r="J216" s="24"/>
      <c r="K216" s="24"/>
      <c r="L216" s="25"/>
      <c r="M216" s="177"/>
    </row>
    <row r="217" spans="1:17" s="52" customFormat="1" ht="18" customHeight="1">
      <c r="A217" s="46">
        <v>-1</v>
      </c>
      <c r="B217" s="47" t="s">
        <v>125</v>
      </c>
      <c r="C217" s="46"/>
      <c r="D217" s="315"/>
      <c r="E217" s="48"/>
      <c r="F217" s="49"/>
      <c r="G217" s="50"/>
      <c r="H217" s="50"/>
      <c r="I217" s="50"/>
      <c r="J217" s="50"/>
      <c r="K217" s="50"/>
      <c r="L217" s="51"/>
      <c r="M217" s="177"/>
      <c r="O217" s="166"/>
      <c r="P217" s="171"/>
    </row>
    <row r="218" spans="1:17" s="342" customFormat="1" ht="18" customHeight="1">
      <c r="A218" s="172" t="s">
        <v>12</v>
      </c>
      <c r="B218" s="340" t="s">
        <v>120</v>
      </c>
      <c r="C218" s="422" t="s">
        <v>636</v>
      </c>
      <c r="D218" s="329" t="s">
        <v>585</v>
      </c>
      <c r="E218" s="329" t="s">
        <v>40</v>
      </c>
      <c r="F218" s="341">
        <v>1</v>
      </c>
      <c r="G218" s="336">
        <v>60000</v>
      </c>
      <c r="H218" s="336">
        <f>F218*G218</f>
        <v>60000</v>
      </c>
      <c r="I218" s="336">
        <v>50000</v>
      </c>
      <c r="J218" s="336">
        <f>F218*I218</f>
        <v>50000</v>
      </c>
      <c r="K218" s="336">
        <f t="shared" ref="K218" si="91">G218+I218</f>
        <v>110000</v>
      </c>
      <c r="L218" s="337">
        <f>F218*K218</f>
        <v>110000</v>
      </c>
      <c r="M218" s="276"/>
      <c r="O218" s="343"/>
      <c r="P218" s="344"/>
      <c r="Q218" s="342">
        <v>0</v>
      </c>
    </row>
    <row r="219" spans="1:17" s="52" customFormat="1" ht="18" customHeight="1">
      <c r="A219" s="53" t="s">
        <v>41</v>
      </c>
      <c r="B219" s="47" t="s">
        <v>233</v>
      </c>
      <c r="C219" s="46" t="s">
        <v>234</v>
      </c>
      <c r="D219" s="305" t="s">
        <v>367</v>
      </c>
      <c r="E219" s="48" t="s">
        <v>40</v>
      </c>
      <c r="F219" s="54">
        <v>1</v>
      </c>
      <c r="G219" s="50">
        <v>300000</v>
      </c>
      <c r="H219" s="50">
        <f>F219*G219</f>
        <v>300000</v>
      </c>
      <c r="I219" s="50">
        <v>50000</v>
      </c>
      <c r="J219" s="50">
        <f t="shared" ref="J219" si="92">F219*I219</f>
        <v>50000</v>
      </c>
      <c r="K219" s="50">
        <f>G219+I219</f>
        <v>350000</v>
      </c>
      <c r="L219" s="51">
        <f t="shared" ref="L219" si="93">F219*K219</f>
        <v>350000</v>
      </c>
      <c r="M219" s="177"/>
      <c r="O219" s="166"/>
      <c r="P219" s="171"/>
    </row>
    <row r="220" spans="1:17" s="52" customFormat="1" ht="18" customHeight="1">
      <c r="A220" s="53" t="s">
        <v>12</v>
      </c>
      <c r="B220" s="47" t="s">
        <v>122</v>
      </c>
      <c r="C220" s="53" t="s">
        <v>124</v>
      </c>
      <c r="D220" s="315" t="s">
        <v>367</v>
      </c>
      <c r="E220" s="48" t="s">
        <v>40</v>
      </c>
      <c r="F220" s="54">
        <v>1</v>
      </c>
      <c r="G220" s="50">
        <v>49000</v>
      </c>
      <c r="H220" s="50">
        <f>F220*G220</f>
        <v>49000</v>
      </c>
      <c r="I220" s="50">
        <v>30000</v>
      </c>
      <c r="J220" s="50">
        <f t="shared" si="78"/>
        <v>30000</v>
      </c>
      <c r="K220" s="50">
        <f t="shared" ref="K220:K222" si="94">G220+I220</f>
        <v>79000</v>
      </c>
      <c r="L220" s="51">
        <f t="shared" ref="L220:L221" si="95">F220*K220</f>
        <v>79000</v>
      </c>
      <c r="M220" s="177"/>
      <c r="O220" s="166"/>
      <c r="P220" s="171"/>
    </row>
    <row r="221" spans="1:17" s="52" customFormat="1" ht="18" customHeight="1">
      <c r="A221" s="53" t="s">
        <v>12</v>
      </c>
      <c r="B221" s="47" t="s">
        <v>123</v>
      </c>
      <c r="C221" s="53" t="s">
        <v>232</v>
      </c>
      <c r="D221" s="315" t="s">
        <v>367</v>
      </c>
      <c r="E221" s="48" t="s">
        <v>40</v>
      </c>
      <c r="F221" s="54">
        <v>1</v>
      </c>
      <c r="G221" s="50">
        <v>35000</v>
      </c>
      <c r="H221" s="50">
        <v>45000</v>
      </c>
      <c r="I221" s="50">
        <v>50000</v>
      </c>
      <c r="J221" s="50">
        <f>F221*I221</f>
        <v>50000</v>
      </c>
      <c r="K221" s="50">
        <f t="shared" si="94"/>
        <v>85000</v>
      </c>
      <c r="L221" s="51">
        <f t="shared" si="95"/>
        <v>85000</v>
      </c>
      <c r="M221" s="177"/>
      <c r="O221" s="166"/>
      <c r="P221" s="171"/>
    </row>
    <row r="222" spans="1:17" s="52" customFormat="1" ht="18" customHeight="1">
      <c r="A222" s="53" t="s">
        <v>12</v>
      </c>
      <c r="B222" s="47" t="s">
        <v>164</v>
      </c>
      <c r="C222" s="46" t="s">
        <v>606</v>
      </c>
      <c r="D222" s="315" t="s">
        <v>367</v>
      </c>
      <c r="E222" s="48" t="s">
        <v>74</v>
      </c>
      <c r="F222" s="54">
        <v>1</v>
      </c>
      <c r="G222" s="50">
        <v>35000</v>
      </c>
      <c r="H222" s="50">
        <f>F222*G222</f>
        <v>35000</v>
      </c>
      <c r="I222" s="50">
        <v>50000</v>
      </c>
      <c r="J222" s="50">
        <f>F222*I222</f>
        <v>50000</v>
      </c>
      <c r="K222" s="50">
        <f t="shared" si="94"/>
        <v>85000</v>
      </c>
      <c r="L222" s="51">
        <f>F222*K222</f>
        <v>85000</v>
      </c>
      <c r="M222" s="177"/>
      <c r="O222" s="166"/>
      <c r="P222" s="171"/>
    </row>
    <row r="223" spans="1:17" ht="18" customHeight="1">
      <c r="A223" s="9" t="s">
        <v>392</v>
      </c>
      <c r="B223" s="10" t="s">
        <v>393</v>
      </c>
      <c r="C223" s="9" t="s">
        <v>395</v>
      </c>
      <c r="D223" s="315" t="s">
        <v>367</v>
      </c>
      <c r="E223" s="4" t="s">
        <v>396</v>
      </c>
      <c r="F223" s="173">
        <v>1</v>
      </c>
      <c r="G223" s="24">
        <v>300000</v>
      </c>
      <c r="H223" s="24">
        <f>F223*G223</f>
        <v>300000</v>
      </c>
      <c r="I223" s="24">
        <v>100000</v>
      </c>
      <c r="J223" s="24">
        <f>F223*I223</f>
        <v>100000</v>
      </c>
      <c r="K223" s="24">
        <f>G223+I223</f>
        <v>400000</v>
      </c>
      <c r="L223" s="25">
        <f>F223*K223</f>
        <v>400000</v>
      </c>
      <c r="M223" s="177"/>
    </row>
    <row r="224" spans="1:17" ht="18" customHeight="1">
      <c r="A224" s="9"/>
      <c r="B224" s="10"/>
      <c r="C224" s="9"/>
      <c r="D224" s="315"/>
      <c r="E224" s="4"/>
      <c r="F224" s="173"/>
      <c r="G224" s="24"/>
      <c r="H224" s="24"/>
      <c r="I224" s="24"/>
      <c r="J224" s="24"/>
      <c r="K224" s="24"/>
      <c r="L224" s="25"/>
      <c r="M224" s="177"/>
    </row>
    <row r="225" spans="1:18" ht="18" customHeight="1">
      <c r="A225" s="9"/>
      <c r="B225" s="10"/>
      <c r="C225" s="9"/>
      <c r="D225" s="315"/>
      <c r="E225" s="4"/>
      <c r="F225" s="173"/>
      <c r="G225" s="24"/>
      <c r="H225" s="24"/>
      <c r="I225" s="24"/>
      <c r="J225" s="24"/>
      <c r="K225" s="24"/>
      <c r="L225" s="25"/>
      <c r="M225" s="177"/>
    </row>
    <row r="226" spans="1:18" s="17" customFormat="1" ht="18" customHeight="1">
      <c r="A226" s="11"/>
      <c r="B226" s="11" t="s">
        <v>13</v>
      </c>
      <c r="C226" s="11"/>
      <c r="D226" s="13"/>
      <c r="E226" s="13"/>
      <c r="F226" s="45"/>
      <c r="G226" s="42"/>
      <c r="H226" s="42">
        <f>SUM(H193:H223)</f>
        <v>3362000</v>
      </c>
      <c r="I226" s="42"/>
      <c r="J226" s="42">
        <f>SUM(J193:J223)</f>
        <v>1310000</v>
      </c>
      <c r="K226" s="42"/>
      <c r="L226" s="42">
        <f>SUM(L193:L223)</f>
        <v>4652000</v>
      </c>
      <c r="M226" s="177"/>
      <c r="O226" s="164"/>
      <c r="P226" s="169"/>
    </row>
    <row r="227" spans="1:18" ht="18" customHeight="1">
      <c r="A227" s="9"/>
      <c r="B227" s="10"/>
      <c r="C227" s="9"/>
      <c r="D227" s="4"/>
      <c r="E227" s="4"/>
      <c r="F227" s="44"/>
      <c r="G227" s="24"/>
      <c r="H227" s="24"/>
      <c r="I227" s="24"/>
      <c r="J227" s="24"/>
      <c r="K227" s="24"/>
      <c r="L227" s="25"/>
      <c r="M227" s="177"/>
    </row>
    <row r="228" spans="1:18" s="17" customFormat="1" ht="18" customHeight="1">
      <c r="A228" s="39" t="s">
        <v>514</v>
      </c>
      <c r="B228" s="40" t="s">
        <v>64</v>
      </c>
      <c r="C228" s="362"/>
      <c r="D228" s="13"/>
      <c r="E228" s="13"/>
      <c r="F228" s="45"/>
      <c r="G228" s="42"/>
      <c r="H228" s="42"/>
      <c r="I228" s="42"/>
      <c r="J228" s="42"/>
      <c r="K228" s="42"/>
      <c r="L228" s="43"/>
      <c r="M228" s="177"/>
      <c r="O228" s="164"/>
      <c r="P228" s="169"/>
    </row>
    <row r="229" spans="1:18" s="52" customFormat="1" ht="18" customHeight="1">
      <c r="A229" s="46">
        <v>-1</v>
      </c>
      <c r="B229" s="47" t="s">
        <v>127</v>
      </c>
      <c r="C229" s="46"/>
      <c r="D229" s="48"/>
      <c r="E229" s="48"/>
      <c r="F229" s="49"/>
      <c r="G229" s="50"/>
      <c r="H229" s="50"/>
      <c r="I229" s="50"/>
      <c r="J229" s="50"/>
      <c r="K229" s="50"/>
      <c r="L229" s="51"/>
      <c r="M229" s="177"/>
      <c r="O229" s="166"/>
      <c r="P229" s="171"/>
    </row>
    <row r="230" spans="1:18" s="287" customFormat="1" ht="18" customHeight="1">
      <c r="A230" s="53" t="s">
        <v>187</v>
      </c>
      <c r="B230" s="47" t="s">
        <v>529</v>
      </c>
      <c r="C230" s="53" t="s">
        <v>135</v>
      </c>
      <c r="D230" s="48" t="s">
        <v>532</v>
      </c>
      <c r="E230" s="48" t="s">
        <v>180</v>
      </c>
      <c r="F230" s="54">
        <v>8</v>
      </c>
      <c r="G230" s="50">
        <v>35000</v>
      </c>
      <c r="H230" s="50">
        <f>F230*G230</f>
        <v>280000</v>
      </c>
      <c r="I230" s="50">
        <v>65000</v>
      </c>
      <c r="J230" s="50">
        <f>F230*I230</f>
        <v>520000</v>
      </c>
      <c r="K230" s="50">
        <f>G230+I230</f>
        <v>100000</v>
      </c>
      <c r="L230" s="51">
        <f>F230*K230</f>
        <v>800000</v>
      </c>
      <c r="M230" s="372">
        <v>492000</v>
      </c>
      <c r="N230" s="287" t="s">
        <v>235</v>
      </c>
      <c r="O230" s="288"/>
      <c r="P230" s="289">
        <f>11*1.5</f>
        <v>16.5</v>
      </c>
    </row>
    <row r="231" spans="1:18" s="287" customFormat="1" ht="18" customHeight="1">
      <c r="A231" s="53" t="s">
        <v>187</v>
      </c>
      <c r="B231" s="47" t="s">
        <v>530</v>
      </c>
      <c r="C231" s="53" t="s">
        <v>135</v>
      </c>
      <c r="D231" s="48" t="s">
        <v>532</v>
      </c>
      <c r="E231" s="48" t="s">
        <v>180</v>
      </c>
      <c r="F231" s="54">
        <f>13*2.4</f>
        <v>31.2</v>
      </c>
      <c r="G231" s="50">
        <v>35000</v>
      </c>
      <c r="H231" s="50">
        <f>F231*G231</f>
        <v>1092000</v>
      </c>
      <c r="I231" s="50">
        <v>65000</v>
      </c>
      <c r="J231" s="50">
        <f>F231*I231</f>
        <v>2028000</v>
      </c>
      <c r="K231" s="50">
        <f>G231+I231</f>
        <v>100000</v>
      </c>
      <c r="L231" s="51">
        <f>F231*K231</f>
        <v>3120000</v>
      </c>
      <c r="M231" s="373">
        <v>1918800</v>
      </c>
      <c r="O231" s="288">
        <f>11*2.1</f>
        <v>23.1</v>
      </c>
      <c r="P231" s="289">
        <f>7.5*2.4*1.5</f>
        <v>27</v>
      </c>
      <c r="R231" s="287">
        <f>12495906/1000000</f>
        <v>12.495906</v>
      </c>
    </row>
    <row r="232" spans="1:18" s="52" customFormat="1" ht="18" customHeight="1">
      <c r="A232" s="53" t="s">
        <v>187</v>
      </c>
      <c r="B232" s="47" t="s">
        <v>130</v>
      </c>
      <c r="C232" s="53" t="s">
        <v>131</v>
      </c>
      <c r="D232" s="48"/>
      <c r="E232" s="48" t="s">
        <v>74</v>
      </c>
      <c r="F232" s="54">
        <v>2</v>
      </c>
      <c r="G232" s="50">
        <v>450000</v>
      </c>
      <c r="H232" s="50">
        <f>F232*G232</f>
        <v>900000</v>
      </c>
      <c r="I232" s="50">
        <v>0</v>
      </c>
      <c r="J232" s="50">
        <f>F232*I232</f>
        <v>0</v>
      </c>
      <c r="K232" s="50">
        <f>G232+I232</f>
        <v>450000</v>
      </c>
      <c r="L232" s="51">
        <f>F232*K232</f>
        <v>900000</v>
      </c>
      <c r="M232" s="177">
        <v>900000</v>
      </c>
      <c r="O232" s="166"/>
      <c r="P232" s="171"/>
    </row>
    <row r="233" spans="1:18" s="52" customFormat="1" ht="18" customHeight="1">
      <c r="A233" s="53"/>
      <c r="B233" s="47"/>
      <c r="C233" s="53"/>
      <c r="D233" s="48"/>
      <c r="E233" s="48"/>
      <c r="F233" s="54"/>
      <c r="G233" s="50"/>
      <c r="H233" s="50"/>
      <c r="I233" s="50"/>
      <c r="J233" s="50"/>
      <c r="K233" s="50"/>
      <c r="L233" s="51"/>
      <c r="M233" s="177"/>
      <c r="O233" s="166"/>
      <c r="P233" s="171"/>
    </row>
    <row r="234" spans="1:18" s="52" customFormat="1" ht="18" customHeight="1">
      <c r="A234" s="46">
        <v>-1</v>
      </c>
      <c r="B234" s="47" t="s">
        <v>580</v>
      </c>
      <c r="C234" s="46"/>
      <c r="D234" s="48"/>
      <c r="E234" s="48"/>
      <c r="F234" s="49"/>
      <c r="G234" s="50"/>
      <c r="H234" s="50"/>
      <c r="I234" s="50"/>
      <c r="J234" s="50"/>
      <c r="K234" s="50"/>
      <c r="L234" s="51"/>
      <c r="M234" s="177"/>
      <c r="O234" s="166"/>
      <c r="P234" s="171"/>
    </row>
    <row r="235" spans="1:18" s="287" customFormat="1" ht="18" customHeight="1">
      <c r="A235" s="53" t="s">
        <v>12</v>
      </c>
      <c r="B235" s="47" t="s">
        <v>580</v>
      </c>
      <c r="C235" s="53" t="s">
        <v>135</v>
      </c>
      <c r="D235" s="48"/>
      <c r="E235" s="48" t="s">
        <v>11</v>
      </c>
      <c r="F235" s="54">
        <v>4</v>
      </c>
      <c r="G235" s="50">
        <v>35000</v>
      </c>
      <c r="H235" s="50">
        <f>F235*G235</f>
        <v>140000</v>
      </c>
      <c r="I235" s="50">
        <v>65000</v>
      </c>
      <c r="J235" s="50">
        <f>F235*I235</f>
        <v>260000</v>
      </c>
      <c r="K235" s="50">
        <f>G235+I235</f>
        <v>100000</v>
      </c>
      <c r="L235" s="51">
        <f>F235*K235</f>
        <v>400000</v>
      </c>
      <c r="M235" s="373">
        <v>400000</v>
      </c>
      <c r="O235" s="288">
        <f>12.6*1.5</f>
        <v>18.899999999999999</v>
      </c>
      <c r="P235" s="289">
        <f>6*1.5</f>
        <v>9</v>
      </c>
    </row>
    <row r="236" spans="1:18" s="52" customFormat="1" ht="18" customHeight="1">
      <c r="A236" s="53"/>
      <c r="B236" s="47"/>
      <c r="C236" s="53"/>
      <c r="D236" s="48"/>
      <c r="E236" s="48"/>
      <c r="F236" s="54"/>
      <c r="G236" s="50"/>
      <c r="H236" s="50"/>
      <c r="I236" s="50"/>
      <c r="J236" s="50"/>
      <c r="K236" s="50"/>
      <c r="L236" s="51"/>
      <c r="M236" s="177"/>
      <c r="O236" s="166"/>
      <c r="P236" s="171"/>
    </row>
    <row r="237" spans="1:18" s="52" customFormat="1" ht="18" hidden="1" customHeight="1">
      <c r="A237" s="53"/>
      <c r="B237" s="47"/>
      <c r="C237" s="53"/>
      <c r="D237" s="48"/>
      <c r="E237" s="48"/>
      <c r="F237" s="54"/>
      <c r="G237" s="50"/>
      <c r="H237" s="50"/>
      <c r="I237" s="50"/>
      <c r="J237" s="50"/>
      <c r="K237" s="50"/>
      <c r="L237" s="51"/>
      <c r="M237" s="177"/>
      <c r="O237" s="166"/>
      <c r="P237" s="171"/>
    </row>
    <row r="238" spans="1:18" s="52" customFormat="1" ht="18" hidden="1" customHeight="1">
      <c r="A238" s="53" t="s">
        <v>12</v>
      </c>
      <c r="B238" s="47" t="s">
        <v>129</v>
      </c>
      <c r="C238" s="46" t="s">
        <v>135</v>
      </c>
      <c r="D238" s="48"/>
      <c r="E238" s="48" t="s">
        <v>39</v>
      </c>
      <c r="F238" s="54"/>
      <c r="G238" s="50">
        <v>25000</v>
      </c>
      <c r="H238" s="50">
        <f>F238*G238</f>
        <v>0</v>
      </c>
      <c r="I238" s="50">
        <v>0</v>
      </c>
      <c r="J238" s="50">
        <f>F238*I238</f>
        <v>0</v>
      </c>
      <c r="K238" s="50">
        <f>G238+I238</f>
        <v>25000</v>
      </c>
      <c r="L238" s="51">
        <f>F238*K238</f>
        <v>0</v>
      </c>
      <c r="M238" s="177">
        <v>0</v>
      </c>
      <c r="O238" s="166"/>
      <c r="P238" s="171"/>
    </row>
    <row r="239" spans="1:18" s="52" customFormat="1" ht="18" hidden="1" customHeight="1">
      <c r="A239" s="53" t="s">
        <v>12</v>
      </c>
      <c r="B239" s="47" t="s">
        <v>128</v>
      </c>
      <c r="C239" s="46" t="s">
        <v>135</v>
      </c>
      <c r="D239" s="48"/>
      <c r="E239" s="48" t="s">
        <v>11</v>
      </c>
      <c r="F239" s="54"/>
      <c r="G239" s="50">
        <v>25000</v>
      </c>
      <c r="H239" s="50">
        <f>F239*G239</f>
        <v>0</v>
      </c>
      <c r="I239" s="50">
        <v>0</v>
      </c>
      <c r="J239" s="50">
        <f>F239*I239</f>
        <v>0</v>
      </c>
      <c r="K239" s="50">
        <f>G239+I239</f>
        <v>25000</v>
      </c>
      <c r="L239" s="51">
        <f>F239*K239</f>
        <v>0</v>
      </c>
      <c r="M239" s="177">
        <v>0</v>
      </c>
      <c r="O239" s="166"/>
      <c r="P239" s="171"/>
    </row>
    <row r="240" spans="1:18" s="52" customFormat="1" ht="18" hidden="1" customHeight="1">
      <c r="A240" s="53"/>
      <c r="B240" s="47"/>
      <c r="C240" s="53"/>
      <c r="D240" s="48"/>
      <c r="E240" s="48"/>
      <c r="F240" s="54"/>
      <c r="G240" s="50"/>
      <c r="H240" s="50"/>
      <c r="I240" s="50"/>
      <c r="J240" s="50"/>
      <c r="K240" s="50"/>
      <c r="L240" s="51"/>
      <c r="M240" s="177"/>
      <c r="O240" s="166"/>
      <c r="P240" s="171"/>
    </row>
    <row r="241" spans="1:16" s="52" customFormat="1" ht="18" hidden="1" customHeight="1">
      <c r="A241" s="46"/>
      <c r="B241" s="47"/>
      <c r="C241" s="46"/>
      <c r="D241" s="48"/>
      <c r="E241" s="48"/>
      <c r="F241" s="49"/>
      <c r="G241" s="50"/>
      <c r="H241" s="50"/>
      <c r="I241" s="50"/>
      <c r="J241" s="50"/>
      <c r="K241" s="50"/>
      <c r="L241" s="51"/>
      <c r="M241" s="177"/>
      <c r="O241" s="166"/>
      <c r="P241" s="171"/>
    </row>
    <row r="242" spans="1:16" ht="18" hidden="1" customHeight="1">
      <c r="A242" s="172">
        <v>-1</v>
      </c>
      <c r="B242" s="10" t="s">
        <v>305</v>
      </c>
      <c r="C242" s="172"/>
      <c r="D242" s="4"/>
      <c r="E242" s="4"/>
      <c r="F242" s="173"/>
      <c r="G242" s="24"/>
      <c r="H242" s="24"/>
      <c r="I242" s="24"/>
      <c r="J242" s="24"/>
      <c r="K242" s="24"/>
      <c r="L242" s="25"/>
      <c r="M242" s="177"/>
    </row>
    <row r="243" spans="1:16" ht="18" hidden="1" customHeight="1">
      <c r="A243" s="9" t="s">
        <v>303</v>
      </c>
      <c r="B243" s="10" t="s">
        <v>304</v>
      </c>
      <c r="C243" s="9" t="s">
        <v>302</v>
      </c>
      <c r="D243" s="4"/>
      <c r="E243" s="4" t="s">
        <v>301</v>
      </c>
      <c r="F243" s="44"/>
      <c r="G243" s="24">
        <v>25000</v>
      </c>
      <c r="H243" s="24">
        <f>F243*G243</f>
        <v>0</v>
      </c>
      <c r="I243" s="24">
        <v>70000</v>
      </c>
      <c r="J243" s="24">
        <f>F243*I243</f>
        <v>0</v>
      </c>
      <c r="K243" s="24">
        <f>G243+I243</f>
        <v>95000</v>
      </c>
      <c r="L243" s="25">
        <f>F243*K243</f>
        <v>0</v>
      </c>
      <c r="M243" s="177">
        <v>0</v>
      </c>
    </row>
    <row r="244" spans="1:16" ht="18" hidden="1" customHeight="1">
      <c r="A244" s="172" t="s">
        <v>187</v>
      </c>
      <c r="B244" s="10" t="s">
        <v>130</v>
      </c>
      <c r="C244" s="172" t="s">
        <v>131</v>
      </c>
      <c r="D244" s="4"/>
      <c r="E244" s="4" t="s">
        <v>74</v>
      </c>
      <c r="F244" s="173"/>
      <c r="G244" s="24">
        <v>450000</v>
      </c>
      <c r="H244" s="24">
        <f>F244*G244</f>
        <v>0</v>
      </c>
      <c r="I244" s="24">
        <v>0</v>
      </c>
      <c r="J244" s="24">
        <f>F244*I244</f>
        <v>0</v>
      </c>
      <c r="K244" s="24">
        <f>G244+I244</f>
        <v>450000</v>
      </c>
      <c r="L244" s="25">
        <f>F244*K244</f>
        <v>0</v>
      </c>
      <c r="M244" s="177">
        <v>0</v>
      </c>
    </row>
    <row r="245" spans="1:16" s="293" customFormat="1" ht="18" hidden="1" customHeight="1">
      <c r="A245" s="172"/>
      <c r="B245" s="10"/>
      <c r="C245" s="172"/>
      <c r="D245" s="4"/>
      <c r="E245" s="4"/>
      <c r="F245" s="173"/>
      <c r="G245" s="24"/>
      <c r="H245" s="24"/>
      <c r="I245" s="24"/>
      <c r="J245" s="24"/>
      <c r="K245" s="24"/>
      <c r="L245" s="25"/>
      <c r="M245" s="292"/>
      <c r="O245" s="294"/>
      <c r="P245" s="295"/>
    </row>
    <row r="246" spans="1:16" s="52" customFormat="1" ht="18" hidden="1" customHeight="1">
      <c r="A246" s="46">
        <v>-1</v>
      </c>
      <c r="B246" s="47" t="s">
        <v>136</v>
      </c>
      <c r="C246" s="46"/>
      <c r="D246" s="48"/>
      <c r="E246" s="48"/>
      <c r="F246" s="49"/>
      <c r="G246" s="50"/>
      <c r="H246" s="50"/>
      <c r="I246" s="50"/>
      <c r="J246" s="50"/>
      <c r="K246" s="50"/>
      <c r="L246" s="51"/>
      <c r="M246" s="177"/>
      <c r="O246" s="166"/>
      <c r="P246" s="171"/>
    </row>
    <row r="247" spans="1:16" s="52" customFormat="1" ht="18" hidden="1" customHeight="1">
      <c r="A247" s="53" t="s">
        <v>12</v>
      </c>
      <c r="B247" s="47" t="s">
        <v>137</v>
      </c>
      <c r="C247" s="46" t="s">
        <v>138</v>
      </c>
      <c r="D247" s="48"/>
      <c r="E247" s="48" t="s">
        <v>11</v>
      </c>
      <c r="F247" s="54"/>
      <c r="G247" s="50">
        <v>11000</v>
      </c>
      <c r="H247" s="50">
        <f>F247*G247</f>
        <v>0</v>
      </c>
      <c r="I247" s="50">
        <v>25000</v>
      </c>
      <c r="J247" s="50">
        <f>F247*I247</f>
        <v>0</v>
      </c>
      <c r="K247" s="50">
        <f>G247+I247</f>
        <v>36000</v>
      </c>
      <c r="L247" s="51">
        <f>F247*K247</f>
        <v>0</v>
      </c>
      <c r="M247" s="177">
        <v>0</v>
      </c>
      <c r="O247" s="166">
        <f>16*1.5</f>
        <v>24</v>
      </c>
      <c r="P247" s="171"/>
    </row>
    <row r="248" spans="1:16" ht="18" hidden="1" customHeight="1">
      <c r="A248" s="172" t="s">
        <v>187</v>
      </c>
      <c r="B248" s="10" t="s">
        <v>130</v>
      </c>
      <c r="C248" s="172" t="s">
        <v>131</v>
      </c>
      <c r="D248" s="4"/>
      <c r="E248" s="4" t="s">
        <v>74</v>
      </c>
      <c r="F248" s="173"/>
      <c r="G248" s="24">
        <v>450000</v>
      </c>
      <c r="H248" s="50">
        <f>F248*G248</f>
        <v>0</v>
      </c>
      <c r="I248" s="24">
        <v>0</v>
      </c>
      <c r="J248" s="50">
        <f>F248*I248</f>
        <v>0</v>
      </c>
      <c r="K248" s="24">
        <f>G248+I248</f>
        <v>450000</v>
      </c>
      <c r="L248" s="51">
        <f>F248*K248</f>
        <v>0</v>
      </c>
      <c r="M248" s="177">
        <v>0</v>
      </c>
    </row>
    <row r="249" spans="1:16" s="52" customFormat="1" ht="18" hidden="1" customHeight="1">
      <c r="A249" s="53"/>
      <c r="B249" s="47"/>
      <c r="C249" s="53"/>
      <c r="D249" s="48"/>
      <c r="E249" s="48"/>
      <c r="F249" s="54"/>
      <c r="G249" s="50"/>
      <c r="H249" s="50"/>
      <c r="I249" s="50"/>
      <c r="J249" s="50"/>
      <c r="K249" s="50"/>
      <c r="L249" s="51"/>
      <c r="M249" s="177"/>
      <c r="O249" s="166"/>
      <c r="P249" s="171"/>
    </row>
    <row r="250" spans="1:16" s="52" customFormat="1" ht="18" customHeight="1">
      <c r="A250" s="46">
        <v>-1</v>
      </c>
      <c r="B250" s="47" t="s">
        <v>527</v>
      </c>
      <c r="C250" s="46"/>
      <c r="D250" s="48"/>
      <c r="E250" s="48"/>
      <c r="F250" s="49"/>
      <c r="G250" s="50"/>
      <c r="H250" s="50"/>
      <c r="I250" s="50"/>
      <c r="J250" s="50"/>
      <c r="K250" s="50"/>
      <c r="L250" s="51"/>
      <c r="M250" s="177"/>
      <c r="O250" s="166"/>
      <c r="P250" s="171"/>
    </row>
    <row r="251" spans="1:16" s="287" customFormat="1" ht="18" customHeight="1">
      <c r="A251" s="53" t="s">
        <v>12</v>
      </c>
      <c r="B251" s="47" t="s">
        <v>132</v>
      </c>
      <c r="C251" s="53" t="s">
        <v>270</v>
      </c>
      <c r="D251" s="48"/>
      <c r="E251" s="48" t="s">
        <v>11</v>
      </c>
      <c r="F251" s="54">
        <v>4</v>
      </c>
      <c r="G251" s="50">
        <v>35000</v>
      </c>
      <c r="H251" s="50">
        <f>F251*G251</f>
        <v>140000</v>
      </c>
      <c r="I251" s="50">
        <v>60000</v>
      </c>
      <c r="J251" s="50">
        <f>F251*I251</f>
        <v>240000</v>
      </c>
      <c r="K251" s="50">
        <f>G251+I251</f>
        <v>95000</v>
      </c>
      <c r="L251" s="51">
        <f>F251*K251</f>
        <v>380000</v>
      </c>
      <c r="M251" s="373">
        <v>380000</v>
      </c>
      <c r="O251" s="288">
        <f>12.6*1.5</f>
        <v>18.899999999999999</v>
      </c>
      <c r="P251" s="289">
        <f>6*1.5</f>
        <v>9</v>
      </c>
    </row>
    <row r="252" spans="1:16" s="52" customFormat="1" ht="18" hidden="1" customHeight="1">
      <c r="A252" s="53"/>
      <c r="B252" s="47"/>
      <c r="C252" s="46"/>
      <c r="D252" s="48"/>
      <c r="E252" s="48"/>
      <c r="F252" s="54"/>
      <c r="G252" s="50"/>
      <c r="H252" s="50"/>
      <c r="I252" s="50"/>
      <c r="J252" s="50"/>
      <c r="K252" s="50"/>
      <c r="L252" s="51"/>
      <c r="M252" s="177"/>
      <c r="O252" s="166"/>
      <c r="P252" s="171"/>
    </row>
    <row r="253" spans="1:16" s="52" customFormat="1" ht="18" hidden="1" customHeight="1">
      <c r="A253" s="53"/>
      <c r="B253" s="47"/>
      <c r="C253" s="46"/>
      <c r="D253" s="48"/>
      <c r="E253" s="48"/>
      <c r="F253" s="54"/>
      <c r="G253" s="50"/>
      <c r="H253" s="50"/>
      <c r="I253" s="50"/>
      <c r="J253" s="50"/>
      <c r="K253" s="50"/>
      <c r="L253" s="51"/>
      <c r="M253" s="177"/>
      <c r="O253" s="166"/>
      <c r="P253" s="171"/>
    </row>
    <row r="254" spans="1:16" s="52" customFormat="1" ht="18" hidden="1" customHeight="1">
      <c r="A254" s="46">
        <v>-1</v>
      </c>
      <c r="B254" s="47" t="s">
        <v>133</v>
      </c>
      <c r="C254" s="46"/>
      <c r="D254" s="48"/>
      <c r="E254" s="48"/>
      <c r="F254" s="54"/>
      <c r="G254" s="50"/>
      <c r="H254" s="50"/>
      <c r="I254" s="50"/>
      <c r="J254" s="50"/>
      <c r="K254" s="50"/>
      <c r="L254" s="51"/>
      <c r="M254" s="177"/>
      <c r="O254" s="166"/>
      <c r="P254" s="171"/>
    </row>
    <row r="255" spans="1:16" s="52" customFormat="1" ht="18" hidden="1" customHeight="1">
      <c r="A255" s="53" t="s">
        <v>12</v>
      </c>
      <c r="B255" s="47" t="s">
        <v>134</v>
      </c>
      <c r="C255" s="46" t="s">
        <v>135</v>
      </c>
      <c r="D255" s="48"/>
      <c r="E255" s="48"/>
      <c r="F255" s="54"/>
      <c r="G255" s="50"/>
      <c r="H255" s="50">
        <f t="shared" ref="H255:H262" si="96">F255*G255</f>
        <v>0</v>
      </c>
      <c r="I255" s="50"/>
      <c r="J255" s="50">
        <f t="shared" ref="J255:J261" si="97">F255*I255</f>
        <v>0</v>
      </c>
      <c r="K255" s="50">
        <f t="shared" ref="K255:K261" si="98">G255+I255</f>
        <v>0</v>
      </c>
      <c r="L255" s="51">
        <f t="shared" ref="L255:L262" si="99">F255*K255</f>
        <v>0</v>
      </c>
      <c r="M255" s="177">
        <v>0</v>
      </c>
      <c r="O255" s="166"/>
      <c r="P255" s="171"/>
    </row>
    <row r="256" spans="1:16" s="52" customFormat="1" ht="18" hidden="1" customHeight="1">
      <c r="A256" s="53" t="s">
        <v>187</v>
      </c>
      <c r="B256" s="47" t="s">
        <v>130</v>
      </c>
      <c r="C256" s="53" t="s">
        <v>131</v>
      </c>
      <c r="D256" s="48" t="s">
        <v>169</v>
      </c>
      <c r="E256" s="48"/>
      <c r="F256" s="54"/>
      <c r="G256" s="50"/>
      <c r="H256" s="50">
        <f t="shared" si="96"/>
        <v>0</v>
      </c>
      <c r="I256" s="50"/>
      <c r="J256" s="50">
        <f t="shared" si="97"/>
        <v>0</v>
      </c>
      <c r="K256" s="50">
        <f t="shared" si="98"/>
        <v>0</v>
      </c>
      <c r="L256" s="51">
        <f t="shared" si="99"/>
        <v>0</v>
      </c>
      <c r="M256" s="177">
        <v>0</v>
      </c>
      <c r="O256" s="166"/>
      <c r="P256" s="171"/>
    </row>
    <row r="257" spans="1:18" s="52" customFormat="1" ht="18" hidden="1" customHeight="1">
      <c r="A257" s="53"/>
      <c r="B257" s="47"/>
      <c r="C257" s="46"/>
      <c r="D257" s="48"/>
      <c r="E257" s="48"/>
      <c r="F257" s="54"/>
      <c r="G257" s="50"/>
      <c r="H257" s="50"/>
      <c r="I257" s="50"/>
      <c r="J257" s="50"/>
      <c r="K257" s="50"/>
      <c r="L257" s="51"/>
      <c r="M257" s="177"/>
      <c r="O257" s="166"/>
      <c r="P257" s="171"/>
    </row>
    <row r="258" spans="1:18" s="52" customFormat="1" ht="18" hidden="1" customHeight="1">
      <c r="A258" s="53"/>
      <c r="B258" s="47"/>
      <c r="C258" s="46"/>
      <c r="D258" s="48"/>
      <c r="E258" s="48"/>
      <c r="F258" s="54"/>
      <c r="G258" s="50"/>
      <c r="H258" s="50"/>
      <c r="I258" s="50"/>
      <c r="J258" s="50"/>
      <c r="K258" s="50"/>
      <c r="L258" s="51"/>
      <c r="M258" s="177"/>
      <c r="O258" s="166"/>
      <c r="P258" s="171"/>
    </row>
    <row r="259" spans="1:18" s="52" customFormat="1" ht="18" hidden="1" customHeight="1">
      <c r="A259" s="53" t="s">
        <v>211</v>
      </c>
      <c r="B259" s="47" t="s">
        <v>212</v>
      </c>
      <c r="C259" s="46" t="s">
        <v>213</v>
      </c>
      <c r="D259" s="48" t="s">
        <v>214</v>
      </c>
      <c r="E259" s="48"/>
      <c r="F259" s="54"/>
      <c r="G259" s="50">
        <v>26008</v>
      </c>
      <c r="H259" s="50">
        <f t="shared" si="96"/>
        <v>0</v>
      </c>
      <c r="I259" s="50">
        <v>50008</v>
      </c>
      <c r="J259" s="50">
        <f t="shared" si="97"/>
        <v>0</v>
      </c>
      <c r="K259" s="50">
        <f t="shared" si="98"/>
        <v>76016</v>
      </c>
      <c r="L259" s="51">
        <f t="shared" si="99"/>
        <v>0</v>
      </c>
      <c r="M259" s="177">
        <v>0</v>
      </c>
      <c r="O259" s="166"/>
      <c r="P259" s="171"/>
    </row>
    <row r="260" spans="1:18" s="52" customFormat="1" ht="18" hidden="1" customHeight="1">
      <c r="A260" s="53" t="s">
        <v>211</v>
      </c>
      <c r="B260" s="47" t="s">
        <v>215</v>
      </c>
      <c r="C260" s="46" t="s">
        <v>131</v>
      </c>
      <c r="D260" s="48"/>
      <c r="E260" s="48"/>
      <c r="F260" s="54"/>
      <c r="G260" s="50">
        <v>26009</v>
      </c>
      <c r="H260" s="50">
        <f t="shared" si="96"/>
        <v>0</v>
      </c>
      <c r="I260" s="50">
        <v>50009</v>
      </c>
      <c r="J260" s="50">
        <f t="shared" si="97"/>
        <v>0</v>
      </c>
      <c r="K260" s="50">
        <f t="shared" si="98"/>
        <v>76018</v>
      </c>
      <c r="L260" s="51">
        <f t="shared" si="99"/>
        <v>0</v>
      </c>
      <c r="M260" s="177">
        <v>0</v>
      </c>
      <c r="O260" s="166"/>
      <c r="P260" s="171"/>
    </row>
    <row r="261" spans="1:18" ht="18" customHeight="1">
      <c r="A261" s="9" t="s">
        <v>366</v>
      </c>
      <c r="B261" s="10" t="s">
        <v>381</v>
      </c>
      <c r="C261" s="9" t="s">
        <v>368</v>
      </c>
      <c r="D261" s="48"/>
      <c r="E261" s="48" t="s">
        <v>11</v>
      </c>
      <c r="F261" s="54">
        <v>9</v>
      </c>
      <c r="G261" s="50">
        <v>20000</v>
      </c>
      <c r="H261" s="50">
        <f t="shared" si="96"/>
        <v>180000</v>
      </c>
      <c r="I261" s="50">
        <v>50000</v>
      </c>
      <c r="J261" s="50">
        <f t="shared" si="97"/>
        <v>450000</v>
      </c>
      <c r="K261" s="50">
        <f t="shared" si="98"/>
        <v>70000</v>
      </c>
      <c r="L261" s="51">
        <f t="shared" si="99"/>
        <v>630000</v>
      </c>
      <c r="M261" s="177">
        <v>630000</v>
      </c>
      <c r="O261" s="163">
        <f>17*1.5</f>
        <v>25.5</v>
      </c>
    </row>
    <row r="262" spans="1:18" s="52" customFormat="1" ht="18" customHeight="1">
      <c r="A262" s="53" t="s">
        <v>41</v>
      </c>
      <c r="B262" s="47" t="s">
        <v>130</v>
      </c>
      <c r="C262" s="53" t="s">
        <v>131</v>
      </c>
      <c r="D262" s="48"/>
      <c r="E262" s="48" t="s">
        <v>74</v>
      </c>
      <c r="F262" s="54">
        <v>1</v>
      </c>
      <c r="G262" s="50">
        <v>450000</v>
      </c>
      <c r="H262" s="50">
        <f t="shared" si="96"/>
        <v>450000</v>
      </c>
      <c r="I262" s="50">
        <v>0</v>
      </c>
      <c r="J262" s="50">
        <f>F262*I262</f>
        <v>0</v>
      </c>
      <c r="K262" s="50">
        <f>G262+I262</f>
        <v>450000</v>
      </c>
      <c r="L262" s="51">
        <f t="shared" si="99"/>
        <v>450000</v>
      </c>
      <c r="M262" s="177">
        <v>450000</v>
      </c>
      <c r="O262" s="166"/>
      <c r="P262" s="171"/>
    </row>
    <row r="263" spans="1:18" s="52" customFormat="1" ht="18" customHeight="1">
      <c r="A263" s="53"/>
      <c r="B263" s="47"/>
      <c r="C263" s="53"/>
      <c r="D263" s="48"/>
      <c r="E263" s="48"/>
      <c r="F263" s="54"/>
      <c r="G263" s="50"/>
      <c r="H263" s="50"/>
      <c r="I263" s="50"/>
      <c r="J263" s="50"/>
      <c r="K263" s="50"/>
      <c r="L263" s="51"/>
      <c r="M263" s="177"/>
      <c r="O263" s="166"/>
      <c r="P263" s="171"/>
      <c r="R263" s="52" t="s">
        <v>548</v>
      </c>
    </row>
    <row r="264" spans="1:18" s="52" customFormat="1" ht="18" hidden="1" customHeight="1">
      <c r="A264" s="53" t="s">
        <v>41</v>
      </c>
      <c r="B264" s="47" t="s">
        <v>202</v>
      </c>
      <c r="C264" s="53" t="s">
        <v>213</v>
      </c>
      <c r="D264" s="48" t="s">
        <v>531</v>
      </c>
      <c r="E264" s="48" t="s">
        <v>39</v>
      </c>
      <c r="F264" s="54">
        <f>12*1.5</f>
        <v>18</v>
      </c>
      <c r="G264" s="50">
        <v>25000</v>
      </c>
      <c r="H264" s="50">
        <f>F264*G264</f>
        <v>450000</v>
      </c>
      <c r="I264" s="50">
        <v>50000</v>
      </c>
      <c r="J264" s="50">
        <f>F264*I264</f>
        <v>900000</v>
      </c>
      <c r="K264" s="50">
        <f>G264+I264</f>
        <v>75000</v>
      </c>
      <c r="L264" s="51">
        <f>F264*K264</f>
        <v>1350000</v>
      </c>
      <c r="M264" s="177">
        <v>1350000</v>
      </c>
      <c r="N264" s="52" t="s">
        <v>235</v>
      </c>
      <c r="O264" s="166"/>
      <c r="P264" s="171">
        <f>11*1.5</f>
        <v>16.5</v>
      </c>
    </row>
    <row r="265" spans="1:18" s="52" customFormat="1" ht="18" hidden="1" customHeight="1">
      <c r="A265" s="53" t="s">
        <v>41</v>
      </c>
      <c r="B265" s="47" t="s">
        <v>203</v>
      </c>
      <c r="C265" s="53" t="s">
        <v>528</v>
      </c>
      <c r="D265" s="48" t="s">
        <v>532</v>
      </c>
      <c r="E265" s="48" t="s">
        <v>39</v>
      </c>
      <c r="F265" s="54">
        <f>72</f>
        <v>72</v>
      </c>
      <c r="G265" s="50">
        <v>25000</v>
      </c>
      <c r="H265" s="50">
        <f>F265*G265</f>
        <v>1800000</v>
      </c>
      <c r="I265" s="50">
        <v>50000</v>
      </c>
      <c r="J265" s="50">
        <f>F265*I265</f>
        <v>3600000</v>
      </c>
      <c r="K265" s="50">
        <f>G265+I265</f>
        <v>75000</v>
      </c>
      <c r="L265" s="51">
        <f>F265*K265</f>
        <v>5400000</v>
      </c>
      <c r="M265" s="177">
        <v>5400000</v>
      </c>
      <c r="O265" s="166">
        <f>11*2.1</f>
        <v>23.1</v>
      </c>
      <c r="P265" s="171">
        <f>7.5*2.4*1.5</f>
        <v>27</v>
      </c>
    </row>
    <row r="266" spans="1:18" s="52" customFormat="1" ht="18" hidden="1" customHeight="1">
      <c r="A266" s="53" t="s">
        <v>12</v>
      </c>
      <c r="B266" s="47" t="s">
        <v>132</v>
      </c>
      <c r="C266" s="53" t="s">
        <v>528</v>
      </c>
      <c r="D266" s="48"/>
      <c r="E266" s="48" t="s">
        <v>11</v>
      </c>
      <c r="F266" s="54">
        <v>12</v>
      </c>
      <c r="G266" s="50">
        <v>25000</v>
      </c>
      <c r="H266" s="50">
        <f>F266*G266</f>
        <v>300000</v>
      </c>
      <c r="I266" s="50">
        <v>50000</v>
      </c>
      <c r="J266" s="50">
        <f>F266*I266</f>
        <v>600000</v>
      </c>
      <c r="K266" s="50">
        <f>G266+I266</f>
        <v>75000</v>
      </c>
      <c r="L266" s="51">
        <f>F266*K266</f>
        <v>900000</v>
      </c>
      <c r="M266" s="177">
        <v>900000</v>
      </c>
      <c r="O266" s="166">
        <f>12.6*1.5</f>
        <v>18.899999999999999</v>
      </c>
      <c r="P266" s="171">
        <f>6*1.5</f>
        <v>9</v>
      </c>
    </row>
    <row r="267" spans="1:18" s="52" customFormat="1" ht="18" hidden="1" customHeight="1">
      <c r="A267" s="53"/>
      <c r="B267" s="47"/>
      <c r="C267" s="53"/>
      <c r="D267" s="48"/>
      <c r="E267" s="48"/>
      <c r="F267" s="54"/>
      <c r="G267" s="50"/>
      <c r="H267" s="50"/>
      <c r="I267" s="50"/>
      <c r="J267" s="50"/>
      <c r="K267" s="50"/>
      <c r="L267" s="51"/>
      <c r="M267" s="177"/>
      <c r="O267" s="166"/>
      <c r="P267" s="171"/>
    </row>
    <row r="268" spans="1:18" s="52" customFormat="1" ht="18" hidden="1" customHeight="1">
      <c r="A268" s="53">
        <v>-1</v>
      </c>
      <c r="B268" s="47" t="s">
        <v>438</v>
      </c>
      <c r="C268" s="53"/>
      <c r="D268" s="48"/>
      <c r="E268" s="48"/>
      <c r="F268" s="54"/>
      <c r="G268" s="50"/>
      <c r="H268" s="50"/>
      <c r="I268" s="50"/>
      <c r="J268" s="50"/>
      <c r="K268" s="50"/>
      <c r="L268" s="51"/>
      <c r="M268" s="177"/>
      <c r="O268" s="166"/>
      <c r="P268" s="171"/>
    </row>
    <row r="269" spans="1:18" s="52" customFormat="1" ht="18" hidden="1" customHeight="1">
      <c r="A269" s="53" t="s">
        <v>439</v>
      </c>
      <c r="B269" s="47" t="s">
        <v>440</v>
      </c>
      <c r="C269" s="53" t="s">
        <v>270</v>
      </c>
      <c r="D269" s="48" t="s">
        <v>443</v>
      </c>
      <c r="E269" s="48" t="s">
        <v>11</v>
      </c>
      <c r="F269" s="54"/>
      <c r="G269" s="50">
        <v>45000</v>
      </c>
      <c r="H269" s="50">
        <f>F269*G269</f>
        <v>0</v>
      </c>
      <c r="I269" s="50">
        <v>50000</v>
      </c>
      <c r="J269" s="50">
        <f>F269*I269</f>
        <v>0</v>
      </c>
      <c r="K269" s="50">
        <f>G269+I269</f>
        <v>95000</v>
      </c>
      <c r="L269" s="51">
        <f>F269*K269</f>
        <v>0</v>
      </c>
      <c r="M269" s="177">
        <v>0</v>
      </c>
      <c r="O269" s="166"/>
      <c r="P269" s="171"/>
    </row>
    <row r="270" spans="1:18" s="52" customFormat="1" ht="18" hidden="1" customHeight="1">
      <c r="A270" s="53" t="s">
        <v>439</v>
      </c>
      <c r="B270" s="47" t="s">
        <v>441</v>
      </c>
      <c r="C270" s="53" t="s">
        <v>131</v>
      </c>
      <c r="D270" s="48"/>
      <c r="E270" s="48" t="s">
        <v>74</v>
      </c>
      <c r="F270" s="54"/>
      <c r="G270" s="50">
        <v>450000</v>
      </c>
      <c r="H270" s="50">
        <f>F270*G270</f>
        <v>0</v>
      </c>
      <c r="I270" s="50">
        <v>0</v>
      </c>
      <c r="J270" s="50">
        <f>F270*I270</f>
        <v>0</v>
      </c>
      <c r="K270" s="50">
        <f>G270+I270</f>
        <v>450000</v>
      </c>
      <c r="L270" s="51">
        <f>F270*K270</f>
        <v>0</v>
      </c>
      <c r="M270" s="177">
        <v>0</v>
      </c>
      <c r="O270" s="166"/>
      <c r="P270" s="171"/>
    </row>
    <row r="271" spans="1:18" s="52" customFormat="1" ht="18" hidden="1" customHeight="1">
      <c r="A271" s="53"/>
      <c r="B271" s="47"/>
      <c r="C271" s="53"/>
      <c r="D271" s="48"/>
      <c r="E271" s="48"/>
      <c r="F271" s="54"/>
      <c r="G271" s="50"/>
      <c r="H271" s="50"/>
      <c r="I271" s="50"/>
      <c r="J271" s="50"/>
      <c r="K271" s="50"/>
      <c r="L271" s="51"/>
      <c r="M271" s="177"/>
      <c r="O271" s="166"/>
      <c r="P271" s="171"/>
    </row>
    <row r="272" spans="1:18" s="17" customFormat="1" ht="18" customHeight="1">
      <c r="A272" s="11"/>
      <c r="B272" s="11" t="s">
        <v>13</v>
      </c>
      <c r="C272" s="11"/>
      <c r="D272" s="13"/>
      <c r="E272" s="13"/>
      <c r="F272" s="45"/>
      <c r="G272" s="42"/>
      <c r="H272" s="42">
        <f>SUM(H230:H262)</f>
        <v>3182000</v>
      </c>
      <c r="I272" s="42"/>
      <c r="J272" s="42">
        <f>SUM(J230:J262)</f>
        <v>3498000</v>
      </c>
      <c r="K272" s="42"/>
      <c r="L272" s="42">
        <f>SUM(L230:L262)</f>
        <v>6680000</v>
      </c>
      <c r="M272" s="177">
        <v>5170800</v>
      </c>
      <c r="O272" s="164"/>
      <c r="P272" s="169"/>
    </row>
    <row r="273" spans="1:17" ht="18" customHeight="1">
      <c r="A273" s="9"/>
      <c r="B273" s="10"/>
      <c r="C273" s="9"/>
      <c r="D273" s="4"/>
      <c r="E273" s="4"/>
      <c r="F273" s="44"/>
      <c r="G273" s="24"/>
      <c r="H273" s="24"/>
      <c r="I273" s="24"/>
      <c r="J273" s="24"/>
      <c r="K273" s="24"/>
      <c r="L273" s="25"/>
      <c r="M273" s="177"/>
    </row>
    <row r="274" spans="1:17" s="17" customFormat="1" ht="18" customHeight="1">
      <c r="A274" s="39" t="s">
        <v>516</v>
      </c>
      <c r="B274" s="40" t="s">
        <v>65</v>
      </c>
      <c r="C274" s="362"/>
      <c r="D274" s="13"/>
      <c r="E274" s="13"/>
      <c r="F274" s="45"/>
      <c r="G274" s="42"/>
      <c r="H274" s="42"/>
      <c r="I274" s="42"/>
      <c r="J274" s="42"/>
      <c r="K274" s="42"/>
      <c r="L274" s="43"/>
      <c r="M274" s="177"/>
      <c r="O274" s="164"/>
      <c r="P274" s="169"/>
    </row>
    <row r="275" spans="1:17" ht="18" customHeight="1">
      <c r="A275" s="9">
        <v>-1</v>
      </c>
      <c r="B275" s="10" t="s">
        <v>140</v>
      </c>
      <c r="C275" s="9"/>
      <c r="D275" s="4"/>
      <c r="E275" s="4"/>
      <c r="F275" s="44"/>
      <c r="G275" s="24"/>
      <c r="H275" s="24"/>
      <c r="I275" s="24"/>
      <c r="J275" s="24"/>
      <c r="K275" s="24"/>
      <c r="L275" s="25"/>
      <c r="M275" s="177"/>
    </row>
    <row r="276" spans="1:17" ht="18" customHeight="1">
      <c r="A276" s="9" t="s">
        <v>187</v>
      </c>
      <c r="B276" s="10" t="s">
        <v>171</v>
      </c>
      <c r="C276" s="9" t="s">
        <v>581</v>
      </c>
      <c r="D276" s="4" t="s">
        <v>389</v>
      </c>
      <c r="E276" s="4" t="s">
        <v>39</v>
      </c>
      <c r="F276" s="44">
        <v>90</v>
      </c>
      <c r="G276" s="24">
        <v>6600</v>
      </c>
      <c r="H276" s="24">
        <f>F276*G276</f>
        <v>594000</v>
      </c>
      <c r="I276" s="24">
        <v>12000</v>
      </c>
      <c r="J276" s="24">
        <f>F276*I276</f>
        <v>1080000</v>
      </c>
      <c r="K276" s="24">
        <f>G276+I276</f>
        <v>18600</v>
      </c>
      <c r="L276" s="25">
        <f>F276*K276</f>
        <v>1674000</v>
      </c>
      <c r="M276" s="177"/>
    </row>
    <row r="277" spans="1:17" ht="18" customHeight="1">
      <c r="A277" s="9" t="s">
        <v>187</v>
      </c>
      <c r="B277" s="10" t="s">
        <v>170</v>
      </c>
      <c r="C277" s="9" t="s">
        <v>581</v>
      </c>
      <c r="D277" s="4" t="s">
        <v>258</v>
      </c>
      <c r="E277" s="4" t="s">
        <v>39</v>
      </c>
      <c r="F277" s="44">
        <v>170</v>
      </c>
      <c r="G277" s="24">
        <v>6600</v>
      </c>
      <c r="H277" s="24">
        <f>F277*G277</f>
        <v>1122000</v>
      </c>
      <c r="I277" s="24">
        <v>12000</v>
      </c>
      <c r="J277" s="24">
        <f>F277*I277</f>
        <v>2040000</v>
      </c>
      <c r="K277" s="24">
        <f>G277+I277</f>
        <v>18600</v>
      </c>
      <c r="L277" s="25">
        <f>F277*K277</f>
        <v>3162000</v>
      </c>
      <c r="M277" s="177"/>
      <c r="O277" s="163">
        <f>(53*2.3)</f>
        <v>121.89999999999999</v>
      </c>
      <c r="Q277" s="8" t="s">
        <v>549</v>
      </c>
    </row>
    <row r="278" spans="1:17" ht="18" hidden="1" customHeight="1">
      <c r="A278" s="9" t="s">
        <v>187</v>
      </c>
      <c r="B278" s="10" t="s">
        <v>185</v>
      </c>
      <c r="C278" s="9"/>
      <c r="D278" s="4" t="s">
        <v>186</v>
      </c>
      <c r="E278" s="4" t="s">
        <v>180</v>
      </c>
      <c r="F278" s="44"/>
      <c r="G278" s="24">
        <v>6600</v>
      </c>
      <c r="H278" s="24">
        <f>F278*G278</f>
        <v>0</v>
      </c>
      <c r="I278" s="24">
        <v>7500</v>
      </c>
      <c r="J278" s="24">
        <f>F278*I278</f>
        <v>0</v>
      </c>
      <c r="K278" s="24">
        <f>G278+I278</f>
        <v>14100</v>
      </c>
      <c r="L278" s="25">
        <f>F278*K278</f>
        <v>0</v>
      </c>
      <c r="M278" s="177"/>
    </row>
    <row r="279" spans="1:17" ht="18" hidden="1" customHeight="1">
      <c r="A279" s="9"/>
      <c r="B279" s="10"/>
      <c r="C279" s="9"/>
      <c r="D279" s="4"/>
      <c r="E279" s="4"/>
      <c r="F279" s="44"/>
      <c r="G279" s="24"/>
      <c r="H279" s="24"/>
      <c r="I279" s="24"/>
      <c r="J279" s="24"/>
      <c r="K279" s="24"/>
      <c r="L279" s="25"/>
      <c r="M279" s="177"/>
    </row>
    <row r="280" spans="1:17" ht="18" customHeight="1">
      <c r="A280" s="9"/>
      <c r="B280" s="10"/>
      <c r="C280" s="9"/>
      <c r="D280" s="4"/>
      <c r="E280" s="4"/>
      <c r="F280" s="44"/>
      <c r="G280" s="24"/>
      <c r="H280" s="24"/>
      <c r="I280" s="24"/>
      <c r="J280" s="24"/>
      <c r="K280" s="24"/>
      <c r="L280" s="25"/>
      <c r="M280" s="177"/>
    </row>
    <row r="281" spans="1:17" s="17" customFormat="1" ht="18" customHeight="1">
      <c r="A281" s="11"/>
      <c r="B281" s="11" t="s">
        <v>13</v>
      </c>
      <c r="C281" s="11"/>
      <c r="D281" s="13"/>
      <c r="E281" s="13"/>
      <c r="F281" s="45"/>
      <c r="G281" s="42"/>
      <c r="H281" s="42">
        <f>SUM(H276:H280)</f>
        <v>1716000</v>
      </c>
      <c r="I281" s="42"/>
      <c r="J281" s="42">
        <f>SUM(J276:J280)</f>
        <v>3120000</v>
      </c>
      <c r="K281" s="42"/>
      <c r="L281" s="43">
        <f>SUM(L276:L280)</f>
        <v>4836000</v>
      </c>
      <c r="M281" s="177"/>
      <c r="O281" s="164"/>
      <c r="P281" s="169"/>
    </row>
    <row r="282" spans="1:17" ht="18" customHeight="1">
      <c r="A282" s="9"/>
      <c r="B282" s="10"/>
      <c r="C282" s="9"/>
      <c r="D282" s="4"/>
      <c r="E282" s="4"/>
      <c r="F282" s="44"/>
      <c r="G282" s="24"/>
      <c r="H282" s="24"/>
      <c r="I282" s="24"/>
      <c r="J282" s="24"/>
      <c r="K282" s="24"/>
      <c r="L282" s="25"/>
      <c r="M282" s="177"/>
    </row>
    <row r="283" spans="1:17" s="17" customFormat="1" ht="18" customHeight="1">
      <c r="A283" s="39" t="s">
        <v>32</v>
      </c>
      <c r="B283" s="40" t="s">
        <v>66</v>
      </c>
      <c r="C283" s="362"/>
      <c r="D283" s="13"/>
      <c r="E283" s="13"/>
      <c r="F283" s="45"/>
      <c r="G283" s="42"/>
      <c r="H283" s="42"/>
      <c r="I283" s="42"/>
      <c r="J283" s="42"/>
      <c r="K283" s="42"/>
      <c r="L283" s="43"/>
      <c r="M283" s="177"/>
      <c r="O283" s="164"/>
      <c r="P283" s="169"/>
    </row>
    <row r="284" spans="1:17" s="308" customFormat="1" ht="18" customHeight="1">
      <c r="A284" s="311">
        <v>-1</v>
      </c>
      <c r="B284" s="312" t="s">
        <v>142</v>
      </c>
      <c r="C284" s="364" t="s">
        <v>259</v>
      </c>
      <c r="D284" s="305" t="s">
        <v>609</v>
      </c>
      <c r="E284" s="305" t="s">
        <v>292</v>
      </c>
      <c r="F284" s="313">
        <v>3</v>
      </c>
      <c r="G284" s="306">
        <v>150000</v>
      </c>
      <c r="H284" s="306">
        <f>F284*G284</f>
        <v>450000</v>
      </c>
      <c r="I284" s="306">
        <v>150000</v>
      </c>
      <c r="J284" s="306">
        <f>F284*I284</f>
        <v>450000</v>
      </c>
      <c r="K284" s="306">
        <f>G284+I284</f>
        <v>300000</v>
      </c>
      <c r="L284" s="307">
        <f>F284*K284</f>
        <v>900000</v>
      </c>
      <c r="M284" s="301"/>
      <c r="O284" s="309"/>
      <c r="P284" s="310"/>
    </row>
    <row r="285" spans="1:17" ht="18" customHeight="1">
      <c r="A285" s="9">
        <v>-1</v>
      </c>
      <c r="B285" s="10" t="s">
        <v>141</v>
      </c>
      <c r="C285" s="9" t="s">
        <v>557</v>
      </c>
      <c r="D285" s="4"/>
      <c r="E285" s="4" t="s">
        <v>74</v>
      </c>
      <c r="F285" s="44">
        <v>0</v>
      </c>
      <c r="G285" s="24">
        <v>100000</v>
      </c>
      <c r="H285" s="24">
        <f>F285*G285</f>
        <v>0</v>
      </c>
      <c r="I285" s="24">
        <v>270000</v>
      </c>
      <c r="J285" s="24">
        <f>F285*I285</f>
        <v>0</v>
      </c>
      <c r="K285" s="306">
        <f>G285+I285</f>
        <v>370000</v>
      </c>
      <c r="L285" s="25">
        <f>F285*K285</f>
        <v>0</v>
      </c>
      <c r="M285" s="177"/>
    </row>
    <row r="286" spans="1:17" ht="18" customHeight="1">
      <c r="A286" s="9">
        <v>-1</v>
      </c>
      <c r="B286" s="10" t="s">
        <v>567</v>
      </c>
      <c r="C286" s="9" t="s">
        <v>568</v>
      </c>
      <c r="D286" s="4"/>
      <c r="E286" s="4" t="s">
        <v>74</v>
      </c>
      <c r="F286" s="44">
        <v>1</v>
      </c>
      <c r="G286" s="24">
        <v>150000</v>
      </c>
      <c r="H286" s="24">
        <f>F286*G286</f>
        <v>150000</v>
      </c>
      <c r="I286" s="24">
        <v>300000</v>
      </c>
      <c r="J286" s="24">
        <f>F286*I286</f>
        <v>300000</v>
      </c>
      <c r="K286" s="24">
        <f>G286+I286</f>
        <v>450000</v>
      </c>
      <c r="L286" s="25">
        <f>F286*K286</f>
        <v>450000</v>
      </c>
      <c r="M286" s="177"/>
    </row>
    <row r="287" spans="1:17" ht="18" hidden="1" customHeight="1">
      <c r="A287" s="9">
        <v>-1</v>
      </c>
      <c r="B287" s="10" t="s">
        <v>319</v>
      </c>
      <c r="C287" s="9" t="s">
        <v>317</v>
      </c>
      <c r="D287" s="4" t="s">
        <v>318</v>
      </c>
      <c r="E287" s="4" t="s">
        <v>320</v>
      </c>
      <c r="F287" s="44"/>
      <c r="G287" s="24">
        <v>30000</v>
      </c>
      <c r="H287" s="24">
        <f>F287*G287</f>
        <v>0</v>
      </c>
      <c r="I287" s="24">
        <v>77000</v>
      </c>
      <c r="J287" s="24">
        <f>F287*I287</f>
        <v>0</v>
      </c>
      <c r="K287" s="24">
        <f>G287+I287</f>
        <v>107000</v>
      </c>
      <c r="L287" s="25">
        <f>F287*K287</f>
        <v>0</v>
      </c>
      <c r="M287" s="177"/>
    </row>
    <row r="288" spans="1:17" ht="18" hidden="1" customHeight="1">
      <c r="A288" s="9"/>
      <c r="B288" s="10"/>
      <c r="C288" s="9"/>
      <c r="D288" s="4"/>
      <c r="E288" s="4"/>
      <c r="F288" s="44"/>
      <c r="G288" s="24"/>
      <c r="H288" s="24"/>
      <c r="I288" s="24"/>
      <c r="J288" s="24"/>
      <c r="K288" s="24"/>
      <c r="L288" s="25"/>
      <c r="M288" s="177"/>
    </row>
    <row r="289" spans="1:16" ht="18" hidden="1" customHeight="1">
      <c r="A289" s="9"/>
      <c r="B289" s="10"/>
      <c r="C289" s="9"/>
      <c r="D289" s="4"/>
      <c r="E289" s="4"/>
      <c r="F289" s="44"/>
      <c r="G289" s="24"/>
      <c r="H289" s="24"/>
      <c r="I289" s="24"/>
      <c r="J289" s="24"/>
      <c r="K289" s="24"/>
      <c r="L289" s="25"/>
      <c r="M289" s="177"/>
    </row>
    <row r="290" spans="1:16" ht="18" hidden="1" customHeight="1">
      <c r="A290" s="9">
        <v>-1</v>
      </c>
      <c r="B290" s="10" t="s">
        <v>484</v>
      </c>
      <c r="C290" s="9" t="s">
        <v>485</v>
      </c>
      <c r="D290" s="4"/>
      <c r="E290" s="4" t="s">
        <v>486</v>
      </c>
      <c r="F290" s="44">
        <v>0</v>
      </c>
      <c r="G290" s="24">
        <v>300000</v>
      </c>
      <c r="H290" s="24">
        <f>F290*G290</f>
        <v>0</v>
      </c>
      <c r="I290" s="24">
        <v>0</v>
      </c>
      <c r="J290" s="24">
        <f>F290*I290</f>
        <v>0</v>
      </c>
      <c r="K290" s="24">
        <f>G290+I290</f>
        <v>300000</v>
      </c>
      <c r="L290" s="25">
        <f>F290*K290</f>
        <v>0</v>
      </c>
      <c r="M290" s="177"/>
    </row>
    <row r="291" spans="1:16" ht="18" hidden="1" customHeight="1">
      <c r="A291" s="9"/>
      <c r="B291" s="10"/>
      <c r="C291" s="9"/>
      <c r="D291" s="4"/>
      <c r="E291" s="4"/>
      <c r="F291" s="44"/>
      <c r="G291" s="24"/>
      <c r="H291" s="24"/>
      <c r="I291" s="24"/>
      <c r="J291" s="24"/>
      <c r="K291" s="24"/>
      <c r="L291" s="25"/>
      <c r="M291" s="177"/>
    </row>
    <row r="292" spans="1:16" s="321" customFormat="1" ht="18" hidden="1" customHeight="1">
      <c r="A292" s="159">
        <v>-1</v>
      </c>
      <c r="B292" s="160" t="s">
        <v>467</v>
      </c>
      <c r="C292" s="159" t="s">
        <v>470</v>
      </c>
      <c r="D292" s="317" t="s">
        <v>469</v>
      </c>
      <c r="E292" s="317" t="s">
        <v>468</v>
      </c>
      <c r="F292" s="330">
        <v>70</v>
      </c>
      <c r="G292" s="319">
        <v>40000</v>
      </c>
      <c r="H292" s="319">
        <f>F292*G292</f>
        <v>2800000</v>
      </c>
      <c r="I292" s="319">
        <v>30000</v>
      </c>
      <c r="J292" s="319">
        <f>F292*I292</f>
        <v>2100000</v>
      </c>
      <c r="K292" s="319">
        <f>G292+I292</f>
        <v>70000</v>
      </c>
      <c r="L292" s="320">
        <f>F292*K292</f>
        <v>4900000</v>
      </c>
      <c r="M292" s="282" t="s">
        <v>494</v>
      </c>
      <c r="O292" s="322"/>
      <c r="P292" s="323"/>
    </row>
    <row r="293" spans="1:16" ht="18" customHeight="1">
      <c r="A293" s="9"/>
      <c r="B293" s="10"/>
      <c r="C293" s="9"/>
      <c r="D293" s="4"/>
      <c r="E293" s="4"/>
      <c r="F293" s="44"/>
      <c r="G293" s="24"/>
      <c r="H293" s="24"/>
      <c r="I293" s="24"/>
      <c r="J293" s="24"/>
      <c r="K293" s="24"/>
      <c r="L293" s="25"/>
      <c r="M293" s="177"/>
    </row>
    <row r="294" spans="1:16" s="17" customFormat="1" ht="18" customHeight="1">
      <c r="A294" s="11"/>
      <c r="B294" s="11" t="s">
        <v>13</v>
      </c>
      <c r="C294" s="11"/>
      <c r="D294" s="13"/>
      <c r="E294" s="13"/>
      <c r="F294" s="45"/>
      <c r="G294" s="42"/>
      <c r="H294" s="42">
        <f>SUM(H284:H290)</f>
        <v>600000</v>
      </c>
      <c r="I294" s="42"/>
      <c r="J294" s="42">
        <f>SUM(J284:J290)</f>
        <v>750000</v>
      </c>
      <c r="K294" s="42"/>
      <c r="L294" s="43">
        <f>SUM(L284:L290)</f>
        <v>1350000</v>
      </c>
      <c r="M294" s="177"/>
      <c r="O294" s="164"/>
      <c r="P294" s="169"/>
    </row>
    <row r="295" spans="1:16" ht="18" customHeight="1">
      <c r="A295" s="9"/>
      <c r="B295" s="10"/>
      <c r="C295" s="9"/>
      <c r="D295" s="4"/>
      <c r="E295" s="4"/>
      <c r="F295" s="44"/>
      <c r="G295" s="24"/>
      <c r="H295" s="24"/>
      <c r="I295" s="24"/>
      <c r="J295" s="24"/>
      <c r="K295" s="24"/>
      <c r="L295" s="25"/>
      <c r="M295" s="177"/>
    </row>
    <row r="296" spans="1:16" s="17" customFormat="1" ht="18" customHeight="1">
      <c r="A296" s="39" t="s">
        <v>517</v>
      </c>
      <c r="B296" s="40" t="s">
        <v>139</v>
      </c>
      <c r="C296" s="362"/>
      <c r="D296" s="13"/>
      <c r="E296" s="13"/>
      <c r="F296" s="45"/>
      <c r="G296" s="42"/>
      <c r="H296" s="42"/>
      <c r="I296" s="42"/>
      <c r="J296" s="42"/>
      <c r="K296" s="42"/>
      <c r="L296" s="43"/>
      <c r="M296" s="177"/>
      <c r="O296" s="164"/>
      <c r="P296" s="169"/>
    </row>
    <row r="297" spans="1:16" ht="18" hidden="1" customHeight="1">
      <c r="A297" s="9">
        <v>-1</v>
      </c>
      <c r="B297" s="10" t="s">
        <v>261</v>
      </c>
      <c r="C297" s="9"/>
      <c r="D297" s="4"/>
      <c r="E297" s="4" t="s">
        <v>263</v>
      </c>
      <c r="F297" s="44"/>
      <c r="G297" s="24">
        <v>83000</v>
      </c>
      <c r="H297" s="50">
        <f t="shared" ref="H297:H303" si="100">F297*G297</f>
        <v>0</v>
      </c>
      <c r="I297" s="50">
        <v>25000</v>
      </c>
      <c r="J297" s="50">
        <f t="shared" ref="J297:J303" si="101">F297*I297</f>
        <v>0</v>
      </c>
      <c r="K297" s="50">
        <f t="shared" ref="K297:K303" si="102">G297+I297</f>
        <v>108000</v>
      </c>
      <c r="L297" s="51">
        <f t="shared" ref="L297:L303" si="103">F297*K297</f>
        <v>0</v>
      </c>
      <c r="M297" s="177"/>
    </row>
    <row r="298" spans="1:16" s="52" customFormat="1" ht="18" hidden="1" customHeight="1">
      <c r="A298" s="46">
        <v>-1</v>
      </c>
      <c r="B298" s="47" t="s">
        <v>257</v>
      </c>
      <c r="C298" s="46" t="s">
        <v>256</v>
      </c>
      <c r="D298" s="48"/>
      <c r="E298" s="48" t="s">
        <v>184</v>
      </c>
      <c r="F298" s="49"/>
      <c r="G298" s="50">
        <v>100000</v>
      </c>
      <c r="H298" s="50">
        <f t="shared" si="100"/>
        <v>0</v>
      </c>
      <c r="I298" s="50">
        <v>25000</v>
      </c>
      <c r="J298" s="50">
        <f t="shared" si="101"/>
        <v>0</v>
      </c>
      <c r="K298" s="50">
        <f t="shared" si="102"/>
        <v>125000</v>
      </c>
      <c r="L298" s="51">
        <f t="shared" si="103"/>
        <v>0</v>
      </c>
      <c r="M298" s="176"/>
      <c r="O298" s="166">
        <f>133/3.3</f>
        <v>40.303030303030305</v>
      </c>
      <c r="P298" s="171"/>
    </row>
    <row r="299" spans="1:16" ht="18" hidden="1" customHeight="1">
      <c r="A299" s="9">
        <v>-1</v>
      </c>
      <c r="B299" s="10" t="s">
        <v>262</v>
      </c>
      <c r="C299" s="9"/>
      <c r="D299" s="4"/>
      <c r="E299" s="4" t="s">
        <v>263</v>
      </c>
      <c r="F299" s="44"/>
      <c r="G299" s="24">
        <v>120000</v>
      </c>
      <c r="H299" s="50">
        <f t="shared" si="100"/>
        <v>0</v>
      </c>
      <c r="I299" s="24">
        <v>25000</v>
      </c>
      <c r="J299" s="50">
        <f t="shared" si="101"/>
        <v>0</v>
      </c>
      <c r="K299" s="50">
        <f t="shared" si="102"/>
        <v>145000</v>
      </c>
      <c r="L299" s="51">
        <f t="shared" si="103"/>
        <v>0</v>
      </c>
      <c r="M299" s="177"/>
    </row>
    <row r="300" spans="1:16" ht="18" hidden="1" customHeight="1">
      <c r="A300" s="9">
        <v>-1</v>
      </c>
      <c r="B300" s="10" t="s">
        <v>162</v>
      </c>
      <c r="C300" s="9" t="s">
        <v>161</v>
      </c>
      <c r="D300" s="4" t="s">
        <v>159</v>
      </c>
      <c r="E300" s="4" t="s">
        <v>67</v>
      </c>
      <c r="F300" s="44"/>
      <c r="G300" s="24">
        <v>130000</v>
      </c>
      <c r="H300" s="50">
        <f t="shared" si="100"/>
        <v>0</v>
      </c>
      <c r="I300" s="24">
        <v>25000</v>
      </c>
      <c r="J300" s="50">
        <f t="shared" si="101"/>
        <v>0</v>
      </c>
      <c r="K300" s="24">
        <f t="shared" si="102"/>
        <v>155000</v>
      </c>
      <c r="L300" s="25">
        <f t="shared" si="103"/>
        <v>0</v>
      </c>
      <c r="M300" s="177"/>
    </row>
    <row r="301" spans="1:16" ht="18" hidden="1" customHeight="1">
      <c r="A301" s="9">
        <v>-1</v>
      </c>
      <c r="B301" s="10" t="s">
        <v>313</v>
      </c>
      <c r="C301" s="9"/>
      <c r="D301" s="4"/>
      <c r="E301" s="4" t="s">
        <v>314</v>
      </c>
      <c r="F301" s="44"/>
      <c r="G301" s="24">
        <v>200000</v>
      </c>
      <c r="H301" s="50">
        <f t="shared" si="100"/>
        <v>0</v>
      </c>
      <c r="I301" s="24">
        <v>25000</v>
      </c>
      <c r="J301" s="50">
        <f t="shared" si="101"/>
        <v>0</v>
      </c>
      <c r="K301" s="24">
        <f t="shared" si="102"/>
        <v>225000</v>
      </c>
      <c r="L301" s="25">
        <f t="shared" si="103"/>
        <v>0</v>
      </c>
      <c r="M301" s="177"/>
    </row>
    <row r="302" spans="1:16" ht="18" hidden="1" customHeight="1">
      <c r="A302" s="9">
        <v>-1</v>
      </c>
      <c r="B302" s="10" t="s">
        <v>324</v>
      </c>
      <c r="C302" s="9" t="s">
        <v>325</v>
      </c>
      <c r="D302" s="4"/>
      <c r="E302" s="4" t="s">
        <v>326</v>
      </c>
      <c r="F302" s="44"/>
      <c r="G302" s="24">
        <v>100000</v>
      </c>
      <c r="H302" s="50">
        <f t="shared" si="100"/>
        <v>0</v>
      </c>
      <c r="I302" s="24">
        <v>25000</v>
      </c>
      <c r="J302" s="50">
        <f t="shared" si="101"/>
        <v>0</v>
      </c>
      <c r="K302" s="24">
        <f t="shared" si="102"/>
        <v>125000</v>
      </c>
      <c r="L302" s="25">
        <f t="shared" si="103"/>
        <v>0</v>
      </c>
      <c r="M302" s="177"/>
    </row>
    <row r="303" spans="1:16" ht="18" customHeight="1">
      <c r="A303" s="9">
        <v>-1</v>
      </c>
      <c r="B303" s="10" t="s">
        <v>324</v>
      </c>
      <c r="C303" s="9" t="s">
        <v>569</v>
      </c>
      <c r="D303" s="4"/>
      <c r="E303" s="4" t="s">
        <v>327</v>
      </c>
      <c r="F303" s="44">
        <v>23</v>
      </c>
      <c r="G303" s="24">
        <v>115000</v>
      </c>
      <c r="H303" s="50">
        <f t="shared" si="100"/>
        <v>2645000</v>
      </c>
      <c r="I303" s="24">
        <v>25000</v>
      </c>
      <c r="J303" s="50">
        <f t="shared" si="101"/>
        <v>575000</v>
      </c>
      <c r="K303" s="24">
        <f t="shared" si="102"/>
        <v>140000</v>
      </c>
      <c r="L303" s="25">
        <f t="shared" si="103"/>
        <v>3220000</v>
      </c>
      <c r="M303" s="177"/>
    </row>
    <row r="304" spans="1:16" ht="18" customHeight="1">
      <c r="A304" s="9"/>
      <c r="B304" s="10"/>
      <c r="C304" s="9"/>
      <c r="D304" s="4"/>
      <c r="E304" s="4"/>
      <c r="F304" s="44"/>
      <c r="G304" s="24"/>
      <c r="H304" s="50"/>
      <c r="I304" s="24"/>
      <c r="J304" s="50"/>
      <c r="K304" s="24"/>
      <c r="L304" s="25"/>
      <c r="M304" s="177"/>
    </row>
    <row r="305" spans="1:16" ht="18" hidden="1" customHeight="1">
      <c r="A305" s="9">
        <v>-1</v>
      </c>
      <c r="B305" s="10" t="s">
        <v>315</v>
      </c>
      <c r="C305" s="9"/>
      <c r="D305" s="4"/>
      <c r="E305" s="4" t="s">
        <v>316</v>
      </c>
      <c r="F305" s="44"/>
      <c r="G305" s="24"/>
      <c r="H305" s="50"/>
      <c r="I305" s="24"/>
      <c r="J305" s="50"/>
      <c r="K305" s="24"/>
      <c r="L305" s="25"/>
      <c r="M305" s="177"/>
    </row>
    <row r="306" spans="1:16" s="17" customFormat="1" ht="18" customHeight="1">
      <c r="A306" s="11"/>
      <c r="B306" s="11" t="s">
        <v>13</v>
      </c>
      <c r="C306" s="11"/>
      <c r="D306" s="13"/>
      <c r="E306" s="13"/>
      <c r="F306" s="45"/>
      <c r="G306" s="42"/>
      <c r="H306" s="42">
        <f>SUM(H298:H303)</f>
        <v>2645000</v>
      </c>
      <c r="I306" s="42"/>
      <c r="J306" s="42">
        <f>SUM(J298:J303)</f>
        <v>575000</v>
      </c>
      <c r="K306" s="42"/>
      <c r="L306" s="42">
        <f>SUM(L297:L303)</f>
        <v>3220000</v>
      </c>
      <c r="M306" s="177"/>
      <c r="O306" s="164"/>
      <c r="P306" s="169"/>
    </row>
    <row r="307" spans="1:16" ht="18" customHeight="1">
      <c r="A307" s="9"/>
      <c r="B307" s="10"/>
      <c r="C307" s="9"/>
      <c r="D307" s="4"/>
      <c r="E307" s="4"/>
      <c r="F307" s="44"/>
      <c r="G307" s="24"/>
      <c r="H307" s="24"/>
      <c r="I307" s="24"/>
      <c r="J307" s="24"/>
      <c r="K307" s="24"/>
      <c r="L307" s="25"/>
      <c r="M307" s="177"/>
    </row>
    <row r="308" spans="1:16" ht="18" customHeight="1">
      <c r="A308" s="39" t="s">
        <v>43</v>
      </c>
      <c r="B308" s="40" t="s">
        <v>143</v>
      </c>
      <c r="C308" s="362"/>
      <c r="D308" s="4"/>
      <c r="E308" s="4"/>
      <c r="F308" s="44"/>
      <c r="G308" s="24"/>
      <c r="H308" s="24"/>
      <c r="I308" s="24"/>
      <c r="J308" s="24"/>
      <c r="K308" s="24"/>
      <c r="L308" s="25"/>
      <c r="M308" s="177"/>
    </row>
    <row r="309" spans="1:16" s="52" customFormat="1" ht="18" customHeight="1">
      <c r="A309" s="53">
        <v>-1</v>
      </c>
      <c r="B309" s="47" t="s">
        <v>144</v>
      </c>
      <c r="C309" s="46" t="s">
        <v>145</v>
      </c>
      <c r="D309" s="48"/>
      <c r="E309" s="48" t="s">
        <v>74</v>
      </c>
      <c r="F309" s="54">
        <v>1</v>
      </c>
      <c r="G309" s="50">
        <v>0</v>
      </c>
      <c r="H309" s="50">
        <f>F309*G309</f>
        <v>0</v>
      </c>
      <c r="I309" s="174">
        <v>350000</v>
      </c>
      <c r="J309" s="50">
        <f>F309*I309</f>
        <v>350000</v>
      </c>
      <c r="K309" s="50">
        <f>G309+I309</f>
        <v>350000</v>
      </c>
      <c r="L309" s="51">
        <f>F309*K309</f>
        <v>350000</v>
      </c>
      <c r="M309" s="177"/>
      <c r="O309" s="166"/>
      <c r="P309" s="171"/>
    </row>
    <row r="310" spans="1:16" s="52" customFormat="1" ht="18" customHeight="1">
      <c r="A310" s="53"/>
      <c r="B310" s="47"/>
      <c r="C310" s="46"/>
      <c r="D310" s="48"/>
      <c r="E310" s="48"/>
      <c r="F310" s="54"/>
      <c r="G310" s="50"/>
      <c r="H310" s="50"/>
      <c r="I310" s="50"/>
      <c r="J310" s="50"/>
      <c r="K310" s="50"/>
      <c r="L310" s="51"/>
      <c r="M310" s="177"/>
      <c r="O310" s="166"/>
      <c r="P310" s="171"/>
    </row>
    <row r="311" spans="1:16" s="52" customFormat="1" ht="18" customHeight="1">
      <c r="A311" s="46">
        <v>-1</v>
      </c>
      <c r="B311" s="47" t="s">
        <v>188</v>
      </c>
      <c r="C311" s="46"/>
      <c r="D311" s="48"/>
      <c r="E311" s="48"/>
      <c r="F311" s="49"/>
      <c r="G311" s="50"/>
      <c r="H311" s="50"/>
      <c r="I311" s="24"/>
      <c r="J311" s="50"/>
      <c r="K311" s="50"/>
      <c r="L311" s="51"/>
      <c r="M311" s="177"/>
      <c r="O311" s="166"/>
      <c r="P311" s="171"/>
    </row>
    <row r="312" spans="1:16" s="416" customFormat="1" ht="18" customHeight="1">
      <c r="A312" s="409" t="s">
        <v>12</v>
      </c>
      <c r="B312" s="410" t="s">
        <v>279</v>
      </c>
      <c r="C312" s="408" t="s">
        <v>533</v>
      </c>
      <c r="D312" s="411" t="s">
        <v>550</v>
      </c>
      <c r="E312" s="411" t="s">
        <v>39</v>
      </c>
      <c r="F312" s="412">
        <v>50</v>
      </c>
      <c r="G312" s="413">
        <v>12000</v>
      </c>
      <c r="H312" s="413">
        <f t="shared" ref="H312:H320" si="104">F312*G312</f>
        <v>600000</v>
      </c>
      <c r="I312" s="413">
        <v>25000</v>
      </c>
      <c r="J312" s="413">
        <f t="shared" ref="J312:J320" si="105">F312*I312</f>
        <v>1250000</v>
      </c>
      <c r="K312" s="413">
        <f t="shared" ref="K312:K317" si="106">G312+I312</f>
        <v>37000</v>
      </c>
      <c r="L312" s="414">
        <f t="shared" ref="L312:L320" si="107">F312*K312</f>
        <v>1850000</v>
      </c>
      <c r="M312" s="415"/>
    </row>
    <row r="313" spans="1:16" s="416" customFormat="1" ht="18" customHeight="1">
      <c r="A313" s="409" t="s">
        <v>187</v>
      </c>
      <c r="B313" s="410" t="s">
        <v>197</v>
      </c>
      <c r="C313" s="409" t="s">
        <v>194</v>
      </c>
      <c r="D313" s="411" t="s">
        <v>550</v>
      </c>
      <c r="E313" s="411" t="s">
        <v>180</v>
      </c>
      <c r="F313" s="412">
        <v>50</v>
      </c>
      <c r="G313" s="413">
        <v>10000</v>
      </c>
      <c r="H313" s="413">
        <f>F313*G313</f>
        <v>500000</v>
      </c>
      <c r="I313" s="413">
        <v>15000</v>
      </c>
      <c r="J313" s="413">
        <f t="shared" si="105"/>
        <v>750000</v>
      </c>
      <c r="K313" s="413">
        <f t="shared" si="106"/>
        <v>25000</v>
      </c>
      <c r="L313" s="414">
        <f t="shared" si="107"/>
        <v>1250000</v>
      </c>
      <c r="M313" s="415"/>
      <c r="O313" s="417"/>
      <c r="P313" s="418"/>
    </row>
    <row r="314" spans="1:16" s="52" customFormat="1" ht="18" customHeight="1">
      <c r="A314" s="53" t="s">
        <v>275</v>
      </c>
      <c r="B314" s="47" t="s">
        <v>277</v>
      </c>
      <c r="C314" s="46" t="s">
        <v>278</v>
      </c>
      <c r="D314" s="48" t="s">
        <v>551</v>
      </c>
      <c r="E314" s="48" t="s">
        <v>280</v>
      </c>
      <c r="F314" s="54">
        <v>0</v>
      </c>
      <c r="G314" s="50">
        <v>6000</v>
      </c>
      <c r="H314" s="50">
        <f t="shared" si="104"/>
        <v>0</v>
      </c>
      <c r="I314" s="50">
        <v>12000</v>
      </c>
      <c r="J314" s="50">
        <f t="shared" si="105"/>
        <v>0</v>
      </c>
      <c r="K314" s="50">
        <f t="shared" si="106"/>
        <v>18000</v>
      </c>
      <c r="L314" s="51">
        <f t="shared" si="107"/>
        <v>0</v>
      </c>
      <c r="M314" s="177"/>
    </row>
    <row r="315" spans="1:16" s="52" customFormat="1" ht="18" hidden="1" customHeight="1">
      <c r="A315" s="53" t="s">
        <v>187</v>
      </c>
      <c r="B315" s="47" t="s">
        <v>206</v>
      </c>
      <c r="C315" s="53" t="s">
        <v>418</v>
      </c>
      <c r="D315" s="48"/>
      <c r="E315" s="48" t="s">
        <v>204</v>
      </c>
      <c r="F315" s="54">
        <v>0</v>
      </c>
      <c r="G315" s="50">
        <v>1000</v>
      </c>
      <c r="H315" s="50">
        <f t="shared" si="104"/>
        <v>0</v>
      </c>
      <c r="I315" s="50">
        <v>5500</v>
      </c>
      <c r="J315" s="50">
        <f t="shared" si="105"/>
        <v>0</v>
      </c>
      <c r="K315" s="50">
        <f t="shared" si="106"/>
        <v>6500</v>
      </c>
      <c r="L315" s="51">
        <f t="shared" si="107"/>
        <v>0</v>
      </c>
      <c r="M315" s="176"/>
      <c r="O315" s="166">
        <f>(3.3+3+3.3+0.6)+(2.1+0.4+0.7+1.4+4.3+1.9+2.4+3.2)+(2.9+2.7+2.1)+(2.3+3.6+3.9+1.3+2.2)</f>
        <v>47.599999999999994</v>
      </c>
      <c r="P315" s="171"/>
    </row>
    <row r="316" spans="1:16" s="52" customFormat="1" ht="18" hidden="1" customHeight="1">
      <c r="A316" s="53" t="s">
        <v>275</v>
      </c>
      <c r="B316" s="47" t="s">
        <v>276</v>
      </c>
      <c r="C316" s="53" t="s">
        <v>358</v>
      </c>
      <c r="D316" s="48"/>
      <c r="E316" s="48" t="s">
        <v>265</v>
      </c>
      <c r="F316" s="54">
        <v>0</v>
      </c>
      <c r="G316" s="50">
        <v>2500</v>
      </c>
      <c r="H316" s="50">
        <f t="shared" si="104"/>
        <v>0</v>
      </c>
      <c r="I316" s="50">
        <v>5500</v>
      </c>
      <c r="J316" s="50">
        <f t="shared" si="105"/>
        <v>0</v>
      </c>
      <c r="K316" s="50">
        <f t="shared" si="106"/>
        <v>8000</v>
      </c>
      <c r="L316" s="51">
        <f t="shared" si="107"/>
        <v>0</v>
      </c>
      <c r="M316" s="176"/>
      <c r="O316" s="166"/>
      <c r="P316" s="171"/>
    </row>
    <row r="317" spans="1:16" s="52" customFormat="1" ht="18" customHeight="1">
      <c r="A317" s="53" t="s">
        <v>403</v>
      </c>
      <c r="B317" s="47" t="s">
        <v>586</v>
      </c>
      <c r="C317" s="46" t="s">
        <v>417</v>
      </c>
      <c r="D317" s="48"/>
      <c r="E317" s="48" t="s">
        <v>397</v>
      </c>
      <c r="F317" s="54">
        <v>4</v>
      </c>
      <c r="G317" s="50">
        <v>100000</v>
      </c>
      <c r="H317" s="50">
        <f>F317*G317</f>
        <v>400000</v>
      </c>
      <c r="I317" s="50">
        <v>120000</v>
      </c>
      <c r="J317" s="50">
        <f>F317*I317</f>
        <v>480000</v>
      </c>
      <c r="K317" s="50">
        <f t="shared" si="106"/>
        <v>220000</v>
      </c>
      <c r="L317" s="51">
        <f>F317*K317</f>
        <v>880000</v>
      </c>
      <c r="M317" s="176"/>
      <c r="O317" s="166"/>
      <c r="P317" s="171"/>
    </row>
    <row r="318" spans="1:16" s="52" customFormat="1" ht="18" hidden="1" customHeight="1">
      <c r="A318" s="53"/>
      <c r="B318" s="47"/>
      <c r="C318" s="53"/>
      <c r="D318" s="48"/>
      <c r="E318" s="48"/>
      <c r="F318" s="54"/>
      <c r="G318" s="50"/>
      <c r="H318" s="50">
        <f t="shared" si="104"/>
        <v>0</v>
      </c>
      <c r="I318" s="50"/>
      <c r="J318" s="50">
        <f t="shared" si="105"/>
        <v>0</v>
      </c>
      <c r="K318" s="50"/>
      <c r="L318" s="51">
        <f t="shared" si="107"/>
        <v>0</v>
      </c>
      <c r="M318" s="176"/>
      <c r="O318" s="166"/>
      <c r="P318" s="171"/>
    </row>
    <row r="319" spans="1:16" s="52" customFormat="1" ht="18" hidden="1" customHeight="1">
      <c r="A319" s="53" t="s">
        <v>187</v>
      </c>
      <c r="B319" s="47" t="s">
        <v>196</v>
      </c>
      <c r="C319" s="53" t="s">
        <v>193</v>
      </c>
      <c r="D319" s="48"/>
      <c r="E319" s="48" t="s">
        <v>180</v>
      </c>
      <c r="F319" s="54"/>
      <c r="G319" s="50">
        <v>17000</v>
      </c>
      <c r="H319" s="50">
        <f t="shared" si="104"/>
        <v>0</v>
      </c>
      <c r="I319" s="50">
        <v>28000</v>
      </c>
      <c r="J319" s="50">
        <f t="shared" si="105"/>
        <v>0</v>
      </c>
      <c r="K319" s="50">
        <f>G319+I319</f>
        <v>45000</v>
      </c>
      <c r="L319" s="51">
        <f t="shared" si="107"/>
        <v>0</v>
      </c>
      <c r="M319" s="176"/>
      <c r="O319" s="166"/>
      <c r="P319" s="171"/>
    </row>
    <row r="320" spans="1:16" s="52" customFormat="1" ht="18" hidden="1" customHeight="1">
      <c r="A320" s="53" t="s">
        <v>187</v>
      </c>
      <c r="B320" s="47" t="s">
        <v>197</v>
      </c>
      <c r="C320" s="53" t="s">
        <v>146</v>
      </c>
      <c r="D320" s="48"/>
      <c r="E320" s="48" t="s">
        <v>180</v>
      </c>
      <c r="F320" s="54"/>
      <c r="G320" s="50">
        <v>6000</v>
      </c>
      <c r="H320" s="50">
        <f t="shared" si="104"/>
        <v>0</v>
      </c>
      <c r="I320" s="50">
        <v>23000</v>
      </c>
      <c r="J320" s="50">
        <f t="shared" si="105"/>
        <v>0</v>
      </c>
      <c r="K320" s="50">
        <f>G320+I320</f>
        <v>29000</v>
      </c>
      <c r="L320" s="51">
        <f t="shared" si="107"/>
        <v>0</v>
      </c>
      <c r="M320" s="176"/>
      <c r="O320" s="166"/>
      <c r="P320" s="171"/>
    </row>
    <row r="321" spans="1:18" s="52" customFormat="1" ht="18" customHeight="1">
      <c r="A321" s="53" t="s">
        <v>41</v>
      </c>
      <c r="B321" s="47" t="s">
        <v>552</v>
      </c>
      <c r="C321" s="53" t="s">
        <v>418</v>
      </c>
      <c r="D321" s="48"/>
      <c r="E321" s="48" t="s">
        <v>37</v>
      </c>
      <c r="F321" s="54">
        <v>70</v>
      </c>
      <c r="G321" s="50">
        <v>1000</v>
      </c>
      <c r="H321" s="50">
        <f>F321*G321</f>
        <v>70000</v>
      </c>
      <c r="I321" s="50">
        <v>4500</v>
      </c>
      <c r="J321" s="50">
        <f>F321*I321</f>
        <v>315000</v>
      </c>
      <c r="K321" s="50">
        <f t="shared" ref="K321" si="108">G321+I321</f>
        <v>5500</v>
      </c>
      <c r="L321" s="51">
        <f>F321*K321</f>
        <v>385000</v>
      </c>
      <c r="M321" s="176"/>
      <c r="O321" s="166"/>
      <c r="P321" s="171"/>
    </row>
    <row r="322" spans="1:18" s="52" customFormat="1" ht="18" customHeight="1">
      <c r="A322" s="53"/>
      <c r="B322" s="47"/>
      <c r="C322" s="53"/>
      <c r="D322" s="48"/>
      <c r="E322" s="48"/>
      <c r="F322" s="54"/>
      <c r="G322" s="50"/>
      <c r="H322" s="50"/>
      <c r="I322" s="50"/>
      <c r="J322" s="50"/>
      <c r="K322" s="50"/>
      <c r="L322" s="51"/>
      <c r="M322" s="176"/>
      <c r="O322" s="166"/>
      <c r="P322" s="171"/>
    </row>
    <row r="323" spans="1:18" s="52" customFormat="1" ht="18" customHeight="1">
      <c r="A323" s="46">
        <v>-1</v>
      </c>
      <c r="B323" s="47" t="s">
        <v>147</v>
      </c>
      <c r="C323" s="46"/>
      <c r="D323" s="48"/>
      <c r="E323" s="48"/>
      <c r="F323" s="49"/>
      <c r="G323" s="50"/>
      <c r="H323" s="50"/>
      <c r="I323" s="50"/>
      <c r="J323" s="50"/>
      <c r="K323" s="50"/>
      <c r="L323" s="51"/>
      <c r="M323" s="176"/>
      <c r="O323" s="166"/>
      <c r="P323" s="171"/>
    </row>
    <row r="324" spans="1:18" s="52" customFormat="1" ht="18" customHeight="1">
      <c r="A324" s="53" t="s">
        <v>12</v>
      </c>
      <c r="B324" s="47" t="s">
        <v>148</v>
      </c>
      <c r="C324" s="46" t="s">
        <v>533</v>
      </c>
      <c r="D324" s="48"/>
      <c r="E324" s="48" t="s">
        <v>39</v>
      </c>
      <c r="F324" s="54">
        <v>20</v>
      </c>
      <c r="G324" s="50">
        <v>12000</v>
      </c>
      <c r="H324" s="50">
        <f>F324*G324</f>
        <v>240000</v>
      </c>
      <c r="I324" s="50">
        <v>17000</v>
      </c>
      <c r="J324" s="50">
        <f>F324*I324</f>
        <v>340000</v>
      </c>
      <c r="K324" s="50">
        <f>G324+I324</f>
        <v>29000</v>
      </c>
      <c r="L324" s="51">
        <f>F324*K324</f>
        <v>580000</v>
      </c>
      <c r="M324" s="176"/>
      <c r="O324" s="166">
        <f>(2.7+3+0.8+3.5)*2.4+28</f>
        <v>52</v>
      </c>
      <c r="P324" s="171"/>
      <c r="Q324" s="52">
        <f>17*2.4</f>
        <v>40.799999999999997</v>
      </c>
      <c r="R324" s="52">
        <f>12*2.4</f>
        <v>28.799999999999997</v>
      </c>
    </row>
    <row r="325" spans="1:18" s="52" customFormat="1" ht="18" customHeight="1">
      <c r="A325" s="53" t="s">
        <v>12</v>
      </c>
      <c r="B325" s="47" t="s">
        <v>238</v>
      </c>
      <c r="C325" s="53" t="s">
        <v>194</v>
      </c>
      <c r="D325" s="48"/>
      <c r="E325" s="48" t="s">
        <v>39</v>
      </c>
      <c r="F325" s="54">
        <v>0</v>
      </c>
      <c r="G325" s="50">
        <v>15000</v>
      </c>
      <c r="H325" s="50">
        <f t="shared" ref="H325:H332" si="109">F325*G325</f>
        <v>0</v>
      </c>
      <c r="I325" s="50">
        <v>15000</v>
      </c>
      <c r="J325" s="50">
        <f>F325*I325</f>
        <v>0</v>
      </c>
      <c r="K325" s="50">
        <f>G325+I325</f>
        <v>30000</v>
      </c>
      <c r="L325" s="51">
        <f>F325*K325</f>
        <v>0</v>
      </c>
      <c r="M325" s="176"/>
    </row>
    <row r="326" spans="1:18" s="52" customFormat="1" ht="18" customHeight="1">
      <c r="A326" s="53" t="s">
        <v>248</v>
      </c>
      <c r="B326" s="47" t="s">
        <v>250</v>
      </c>
      <c r="C326" s="53" t="s">
        <v>554</v>
      </c>
      <c r="D326" s="48"/>
      <c r="E326" s="48" t="s">
        <v>249</v>
      </c>
      <c r="F326" s="54">
        <v>20</v>
      </c>
      <c r="G326" s="50">
        <v>15000</v>
      </c>
      <c r="H326" s="50">
        <f t="shared" si="109"/>
        <v>300000</v>
      </c>
      <c r="I326" s="50">
        <v>15000</v>
      </c>
      <c r="J326" s="50">
        <f>F326*I326</f>
        <v>300000</v>
      </c>
      <c r="K326" s="50">
        <f>G326+I326</f>
        <v>30000</v>
      </c>
      <c r="L326" s="51">
        <f>F326*K326</f>
        <v>600000</v>
      </c>
      <c r="M326" s="176"/>
    </row>
    <row r="327" spans="1:18" s="52" customFormat="1" ht="18" customHeight="1">
      <c r="A327" s="53" t="s">
        <v>187</v>
      </c>
      <c r="B327" s="47" t="s">
        <v>205</v>
      </c>
      <c r="C327" s="53" t="s">
        <v>418</v>
      </c>
      <c r="D327" s="48" t="s">
        <v>258</v>
      </c>
      <c r="E327" s="48" t="s">
        <v>204</v>
      </c>
      <c r="F327" s="54">
        <v>60</v>
      </c>
      <c r="G327" s="50">
        <v>1000</v>
      </c>
      <c r="H327" s="50">
        <f t="shared" si="109"/>
        <v>60000</v>
      </c>
      <c r="I327" s="50">
        <v>4000</v>
      </c>
      <c r="J327" s="50">
        <f t="shared" ref="J327:J332" si="110">F327*I327</f>
        <v>240000</v>
      </c>
      <c r="K327" s="50">
        <f t="shared" ref="K327:K332" si="111">G327+I327</f>
        <v>5000</v>
      </c>
      <c r="L327" s="51">
        <f t="shared" ref="L327:L332" si="112">F327*K327</f>
        <v>300000</v>
      </c>
      <c r="M327" s="176"/>
      <c r="O327" s="166"/>
      <c r="P327" s="171"/>
    </row>
    <row r="328" spans="1:18" s="52" customFormat="1" ht="18" hidden="1" customHeight="1">
      <c r="A328" s="53"/>
      <c r="B328" s="47"/>
      <c r="C328" s="53"/>
      <c r="D328" s="48"/>
      <c r="E328" s="48"/>
      <c r="F328" s="54"/>
      <c r="G328" s="50"/>
      <c r="H328" s="50"/>
      <c r="I328" s="50"/>
      <c r="J328" s="50"/>
      <c r="K328" s="50"/>
      <c r="L328" s="51"/>
      <c r="M328" s="176"/>
      <c r="O328" s="166"/>
      <c r="P328" s="171"/>
    </row>
    <row r="329" spans="1:18" s="52" customFormat="1" ht="18" hidden="1" customHeight="1">
      <c r="A329" s="53" t="s">
        <v>187</v>
      </c>
      <c r="B329" s="47" t="s">
        <v>190</v>
      </c>
      <c r="C329" s="53" t="s">
        <v>193</v>
      </c>
      <c r="D329" s="48"/>
      <c r="E329" s="48" t="s">
        <v>180</v>
      </c>
      <c r="F329" s="54"/>
      <c r="G329" s="50">
        <v>12000</v>
      </c>
      <c r="H329" s="50">
        <f t="shared" si="109"/>
        <v>0</v>
      </c>
      <c r="I329" s="50">
        <v>20000</v>
      </c>
      <c r="J329" s="50">
        <f t="shared" si="110"/>
        <v>0</v>
      </c>
      <c r="K329" s="50">
        <f t="shared" si="111"/>
        <v>32000</v>
      </c>
      <c r="L329" s="51">
        <f t="shared" si="112"/>
        <v>0</v>
      </c>
      <c r="M329" s="177"/>
      <c r="O329" s="166"/>
      <c r="P329" s="171"/>
    </row>
    <row r="330" spans="1:18" s="52" customFormat="1" ht="18" hidden="1" customHeight="1">
      <c r="A330" s="53" t="s">
        <v>187</v>
      </c>
      <c r="B330" s="47" t="s">
        <v>191</v>
      </c>
      <c r="C330" s="53" t="s">
        <v>194</v>
      </c>
      <c r="D330" s="48"/>
      <c r="E330" s="48" t="s">
        <v>180</v>
      </c>
      <c r="F330" s="54"/>
      <c r="G330" s="50">
        <v>10000</v>
      </c>
      <c r="H330" s="50">
        <f t="shared" si="109"/>
        <v>0</v>
      </c>
      <c r="I330" s="50">
        <v>15000</v>
      </c>
      <c r="J330" s="50">
        <f t="shared" si="110"/>
        <v>0</v>
      </c>
      <c r="K330" s="50">
        <f t="shared" si="111"/>
        <v>25000</v>
      </c>
      <c r="L330" s="51">
        <f t="shared" si="112"/>
        <v>0</v>
      </c>
      <c r="M330" s="177"/>
      <c r="O330" s="166"/>
      <c r="P330" s="171"/>
    </row>
    <row r="331" spans="1:18" s="52" customFormat="1" ht="18" hidden="1" customHeight="1">
      <c r="A331" s="53" t="s">
        <v>187</v>
      </c>
      <c r="B331" s="47" t="s">
        <v>192</v>
      </c>
      <c r="C331" s="53" t="s">
        <v>195</v>
      </c>
      <c r="D331" s="48"/>
      <c r="E331" s="48" t="s">
        <v>180</v>
      </c>
      <c r="F331" s="54"/>
      <c r="G331" s="50">
        <v>25000</v>
      </c>
      <c r="H331" s="50">
        <f t="shared" si="109"/>
        <v>0</v>
      </c>
      <c r="I331" s="50">
        <v>20000</v>
      </c>
      <c r="J331" s="50">
        <f t="shared" si="110"/>
        <v>0</v>
      </c>
      <c r="K331" s="50">
        <f t="shared" si="111"/>
        <v>45000</v>
      </c>
      <c r="L331" s="51">
        <f t="shared" si="112"/>
        <v>0</v>
      </c>
      <c r="M331" s="177"/>
      <c r="O331" s="166"/>
      <c r="P331" s="171"/>
    </row>
    <row r="332" spans="1:18" ht="18" hidden="1" customHeight="1">
      <c r="A332" s="172" t="s">
        <v>346</v>
      </c>
      <c r="B332" s="10" t="s">
        <v>347</v>
      </c>
      <c r="C332" s="172" t="s">
        <v>379</v>
      </c>
      <c r="D332" s="4"/>
      <c r="E332" s="4" t="s">
        <v>348</v>
      </c>
      <c r="F332" s="173"/>
      <c r="G332" s="24">
        <v>1750000</v>
      </c>
      <c r="H332" s="24">
        <f t="shared" si="109"/>
        <v>0</v>
      </c>
      <c r="I332" s="24">
        <v>250000</v>
      </c>
      <c r="J332" s="24">
        <f t="shared" si="110"/>
        <v>0</v>
      </c>
      <c r="K332" s="24">
        <f t="shared" si="111"/>
        <v>2000000</v>
      </c>
      <c r="L332" s="25">
        <f t="shared" si="112"/>
        <v>0</v>
      </c>
      <c r="M332" s="177"/>
    </row>
    <row r="333" spans="1:18" ht="18" customHeight="1">
      <c r="A333" s="172"/>
      <c r="B333" s="10"/>
      <c r="C333" s="172"/>
      <c r="D333" s="4"/>
      <c r="E333" s="4"/>
      <c r="F333" s="173"/>
      <c r="G333" s="24"/>
      <c r="H333" s="24"/>
      <c r="I333" s="24"/>
      <c r="J333" s="24"/>
      <c r="K333" s="24"/>
      <c r="L333" s="25"/>
      <c r="M333" s="177"/>
    </row>
    <row r="334" spans="1:18" ht="18" customHeight="1">
      <c r="A334" s="9">
        <v>-1</v>
      </c>
      <c r="B334" s="10" t="s">
        <v>149</v>
      </c>
      <c r="C334" s="9"/>
      <c r="D334" s="4"/>
      <c r="E334" s="4"/>
      <c r="F334" s="44"/>
      <c r="G334" s="24"/>
      <c r="H334" s="24"/>
      <c r="I334" s="24"/>
      <c r="J334" s="24"/>
      <c r="K334" s="24"/>
      <c r="L334" s="25"/>
      <c r="M334" s="177"/>
    </row>
    <row r="335" spans="1:18" ht="18" customHeight="1">
      <c r="A335" s="172" t="s">
        <v>12</v>
      </c>
      <c r="B335" s="10" t="s">
        <v>251</v>
      </c>
      <c r="C335" s="172" t="s">
        <v>611</v>
      </c>
      <c r="D335" s="4"/>
      <c r="E335" s="4" t="s">
        <v>74</v>
      </c>
      <c r="F335" s="173">
        <v>5</v>
      </c>
      <c r="G335" s="24">
        <v>200000</v>
      </c>
      <c r="H335" s="24">
        <f t="shared" ref="H335:H337" si="113">F335*G335</f>
        <v>1000000</v>
      </c>
      <c r="I335" s="24">
        <v>150000</v>
      </c>
      <c r="J335" s="24">
        <f t="shared" ref="J335:J337" si="114">F335*I335</f>
        <v>750000</v>
      </c>
      <c r="K335" s="24">
        <f t="shared" ref="K335:K337" si="115">G335+I335</f>
        <v>350000</v>
      </c>
      <c r="L335" s="25">
        <f t="shared" ref="L335:L337" si="116">F335*K335</f>
        <v>1750000</v>
      </c>
      <c r="M335" s="177"/>
    </row>
    <row r="336" spans="1:18" ht="18" customHeight="1">
      <c r="A336" s="172" t="s">
        <v>479</v>
      </c>
      <c r="B336" s="10" t="s">
        <v>520</v>
      </c>
      <c r="C336" s="172" t="s">
        <v>522</v>
      </c>
      <c r="D336" s="4"/>
      <c r="E336" s="4" t="s">
        <v>521</v>
      </c>
      <c r="F336" s="173">
        <v>5</v>
      </c>
      <c r="G336" s="24">
        <v>24000</v>
      </c>
      <c r="H336" s="24">
        <f t="shared" si="113"/>
        <v>120000</v>
      </c>
      <c r="I336" s="24">
        <v>30000</v>
      </c>
      <c r="J336" s="24">
        <f t="shared" si="114"/>
        <v>150000</v>
      </c>
      <c r="K336" s="24">
        <f t="shared" si="115"/>
        <v>54000</v>
      </c>
      <c r="L336" s="25">
        <f t="shared" si="116"/>
        <v>270000</v>
      </c>
      <c r="M336" s="177"/>
    </row>
    <row r="337" spans="1:16" s="277" customFormat="1" ht="18" hidden="1" customHeight="1">
      <c r="A337" s="53" t="s">
        <v>427</v>
      </c>
      <c r="B337" s="271" t="s">
        <v>428</v>
      </c>
      <c r="C337" s="347"/>
      <c r="D337" s="272" t="s">
        <v>429</v>
      </c>
      <c r="E337" s="272" t="s">
        <v>201</v>
      </c>
      <c r="F337" s="273"/>
      <c r="G337" s="336">
        <v>600000</v>
      </c>
      <c r="H337" s="336">
        <f t="shared" si="113"/>
        <v>0</v>
      </c>
      <c r="I337" s="336">
        <v>200000</v>
      </c>
      <c r="J337" s="336">
        <f t="shared" si="114"/>
        <v>0</v>
      </c>
      <c r="K337" s="336">
        <f t="shared" si="115"/>
        <v>800000</v>
      </c>
      <c r="L337" s="337">
        <f t="shared" si="116"/>
        <v>0</v>
      </c>
      <c r="M337" s="276"/>
      <c r="O337" s="278"/>
      <c r="P337" s="279"/>
    </row>
    <row r="338" spans="1:16" ht="18" customHeight="1">
      <c r="A338" s="172" t="s">
        <v>41</v>
      </c>
      <c r="B338" s="10" t="s">
        <v>612</v>
      </c>
      <c r="C338" s="172" t="s">
        <v>613</v>
      </c>
      <c r="D338" s="4" t="s">
        <v>614</v>
      </c>
      <c r="E338" s="4" t="s">
        <v>615</v>
      </c>
      <c r="F338" s="173">
        <v>1</v>
      </c>
      <c r="G338" s="24">
        <v>60000</v>
      </c>
      <c r="H338" s="24">
        <f t="shared" ref="H338" si="117">F338*G338</f>
        <v>60000</v>
      </c>
      <c r="I338" s="24">
        <v>50000</v>
      </c>
      <c r="J338" s="24">
        <f t="shared" ref="J338" si="118">F338*I338</f>
        <v>50000</v>
      </c>
      <c r="K338" s="24">
        <f t="shared" ref="K338" si="119">G338+I338</f>
        <v>110000</v>
      </c>
      <c r="L338" s="25">
        <f t="shared" ref="L338" si="120">F338*K338</f>
        <v>110000</v>
      </c>
      <c r="M338" s="177"/>
    </row>
    <row r="339" spans="1:16" ht="18" customHeight="1">
      <c r="A339" s="172" t="s">
        <v>41</v>
      </c>
      <c r="B339" s="10" t="s">
        <v>616</v>
      </c>
      <c r="C339" s="172" t="s">
        <v>617</v>
      </c>
      <c r="D339" s="4" t="s">
        <v>614</v>
      </c>
      <c r="E339" s="4" t="s">
        <v>615</v>
      </c>
      <c r="F339" s="173">
        <v>1</v>
      </c>
      <c r="G339" s="24">
        <v>230000</v>
      </c>
      <c r="H339" s="24">
        <f t="shared" ref="H339:H340" si="121">F339*G339</f>
        <v>230000</v>
      </c>
      <c r="I339" s="24">
        <v>50000</v>
      </c>
      <c r="J339" s="24">
        <f t="shared" ref="J339:J340" si="122">F339*I339</f>
        <v>50000</v>
      </c>
      <c r="K339" s="24">
        <f t="shared" ref="K339:K340" si="123">G339+I339</f>
        <v>280000</v>
      </c>
      <c r="L339" s="25">
        <f t="shared" ref="L339:L340" si="124">F339*K339</f>
        <v>280000</v>
      </c>
      <c r="M339" s="177"/>
    </row>
    <row r="340" spans="1:16" ht="18" customHeight="1">
      <c r="A340" s="172" t="s">
        <v>12</v>
      </c>
      <c r="B340" s="10" t="s">
        <v>629</v>
      </c>
      <c r="C340" s="172" t="s">
        <v>630</v>
      </c>
      <c r="D340" s="4"/>
      <c r="E340" s="4" t="s">
        <v>74</v>
      </c>
      <c r="F340" s="173">
        <v>1</v>
      </c>
      <c r="G340" s="24">
        <v>200000</v>
      </c>
      <c r="H340" s="24">
        <f t="shared" si="121"/>
        <v>200000</v>
      </c>
      <c r="I340" s="24">
        <v>200000</v>
      </c>
      <c r="J340" s="24">
        <f t="shared" si="122"/>
        <v>200000</v>
      </c>
      <c r="K340" s="24">
        <f t="shared" si="123"/>
        <v>400000</v>
      </c>
      <c r="L340" s="25">
        <f t="shared" si="124"/>
        <v>400000</v>
      </c>
      <c r="M340" s="177"/>
    </row>
    <row r="341" spans="1:16" s="277" customFormat="1" ht="18" customHeight="1">
      <c r="A341" s="53" t="s">
        <v>41</v>
      </c>
      <c r="B341" s="393" t="s">
        <v>561</v>
      </c>
      <c r="C341" s="347" t="s">
        <v>631</v>
      </c>
      <c r="D341" s="347" t="s">
        <v>571</v>
      </c>
      <c r="E341" s="394" t="s">
        <v>74</v>
      </c>
      <c r="F341" s="273">
        <v>2</v>
      </c>
      <c r="G341" s="336">
        <v>150000</v>
      </c>
      <c r="H341" s="336">
        <f t="shared" ref="H341" si="125">F341*G341</f>
        <v>300000</v>
      </c>
      <c r="I341" s="336">
        <v>350000</v>
      </c>
      <c r="J341" s="336">
        <f t="shared" ref="J341" si="126">F341*I341</f>
        <v>700000</v>
      </c>
      <c r="K341" s="336">
        <f t="shared" ref="K341" si="127">G341+I341</f>
        <v>500000</v>
      </c>
      <c r="L341" s="337">
        <f t="shared" ref="L341" si="128">F341*K341</f>
        <v>1000000</v>
      </c>
      <c r="M341" s="395"/>
      <c r="O341" s="278"/>
      <c r="P341" s="279"/>
    </row>
    <row r="342" spans="1:16" s="277" customFormat="1" ht="18" customHeight="1">
      <c r="A342" s="53" t="s">
        <v>41</v>
      </c>
      <c r="B342" s="393" t="s">
        <v>570</v>
      </c>
      <c r="C342" s="347" t="s">
        <v>632</v>
      </c>
      <c r="D342" s="347"/>
      <c r="E342" s="394" t="s">
        <v>74</v>
      </c>
      <c r="F342" s="273">
        <v>2</v>
      </c>
      <c r="G342" s="336">
        <v>150000</v>
      </c>
      <c r="H342" s="336">
        <f t="shared" ref="H342" si="129">F342*G342</f>
        <v>300000</v>
      </c>
      <c r="I342" s="336">
        <v>350000</v>
      </c>
      <c r="J342" s="336">
        <f t="shared" ref="J342" si="130">F342*I342</f>
        <v>700000</v>
      </c>
      <c r="K342" s="336">
        <f t="shared" ref="K342" si="131">G342+I342</f>
        <v>500000</v>
      </c>
      <c r="L342" s="337">
        <f t="shared" ref="L342" si="132">F342*K342</f>
        <v>1000000</v>
      </c>
      <c r="M342" s="395"/>
      <c r="O342" s="278"/>
      <c r="P342" s="279"/>
    </row>
    <row r="343" spans="1:16" s="277" customFormat="1" ht="18" customHeight="1">
      <c r="A343" s="53" t="s">
        <v>41</v>
      </c>
      <c r="B343" s="271" t="s">
        <v>163</v>
      </c>
      <c r="C343" s="398" t="s">
        <v>610</v>
      </c>
      <c r="D343" s="347"/>
      <c r="E343" s="272" t="s">
        <v>36</v>
      </c>
      <c r="F343" s="273">
        <v>1</v>
      </c>
      <c r="G343" s="336">
        <v>1500000</v>
      </c>
      <c r="H343" s="336">
        <f t="shared" ref="H343" si="133">F343*G343</f>
        <v>1500000</v>
      </c>
      <c r="I343" s="336">
        <v>0</v>
      </c>
      <c r="J343" s="336">
        <f t="shared" ref="J343" si="134">F343*I343</f>
        <v>0</v>
      </c>
      <c r="K343" s="336">
        <f t="shared" ref="K343" si="135">G343+I343</f>
        <v>1500000</v>
      </c>
      <c r="L343" s="337">
        <f t="shared" ref="L343" si="136">F343*K343</f>
        <v>1500000</v>
      </c>
      <c r="M343" s="276"/>
      <c r="O343" s="278"/>
      <c r="P343" s="279"/>
    </row>
    <row r="344" spans="1:16" ht="18" customHeight="1">
      <c r="A344" s="172"/>
      <c r="B344" s="10"/>
      <c r="C344" s="9"/>
      <c r="D344" s="4"/>
      <c r="E344" s="4"/>
      <c r="F344" s="173"/>
      <c r="G344" s="24"/>
      <c r="H344" s="24"/>
      <c r="I344" s="24"/>
      <c r="J344" s="24"/>
      <c r="K344" s="24"/>
      <c r="L344" s="25"/>
      <c r="M344" s="177"/>
    </row>
    <row r="345" spans="1:16" ht="18" hidden="1" customHeight="1">
      <c r="A345" s="172" t="s">
        <v>187</v>
      </c>
      <c r="B345" s="10" t="s">
        <v>198</v>
      </c>
      <c r="C345" s="9" t="s">
        <v>199</v>
      </c>
      <c r="D345" s="4"/>
      <c r="E345" s="4" t="s">
        <v>201</v>
      </c>
      <c r="F345" s="173"/>
      <c r="G345" s="24"/>
      <c r="H345" s="24">
        <f t="shared" ref="H345:H350" si="137">F345*G345</f>
        <v>0</v>
      </c>
      <c r="I345" s="24"/>
      <c r="J345" s="24">
        <f t="shared" ref="J345:J350" si="138">F345*I345</f>
        <v>0</v>
      </c>
      <c r="K345" s="24">
        <f t="shared" ref="K345:K350" si="139">G345+I345</f>
        <v>0</v>
      </c>
      <c r="L345" s="25">
        <f t="shared" ref="L345:L350" si="140">F345*K345</f>
        <v>0</v>
      </c>
      <c r="M345" s="177"/>
    </row>
    <row r="346" spans="1:16" ht="18" hidden="1" customHeight="1">
      <c r="A346" s="172" t="s">
        <v>187</v>
      </c>
      <c r="B346" s="10" t="s">
        <v>198</v>
      </c>
      <c r="C346" s="9" t="s">
        <v>200</v>
      </c>
      <c r="D346" s="4"/>
      <c r="E346" s="4" t="s">
        <v>201</v>
      </c>
      <c r="F346" s="173"/>
      <c r="G346" s="24"/>
      <c r="H346" s="24">
        <f t="shared" si="137"/>
        <v>0</v>
      </c>
      <c r="I346" s="24"/>
      <c r="J346" s="24">
        <f t="shared" si="138"/>
        <v>0</v>
      </c>
      <c r="K346" s="24">
        <f t="shared" si="139"/>
        <v>0</v>
      </c>
      <c r="L346" s="25">
        <f t="shared" si="140"/>
        <v>0</v>
      </c>
      <c r="M346" s="177"/>
    </row>
    <row r="347" spans="1:16" s="308" customFormat="1" ht="18" hidden="1" customHeight="1">
      <c r="A347" s="324" t="s">
        <v>12</v>
      </c>
      <c r="B347" s="325" t="s">
        <v>361</v>
      </c>
      <c r="C347" s="365" t="s">
        <v>359</v>
      </c>
      <c r="D347" s="305" t="s">
        <v>376</v>
      </c>
      <c r="E347" s="305" t="s">
        <v>36</v>
      </c>
      <c r="F347" s="326"/>
      <c r="G347" s="24"/>
      <c r="H347" s="24">
        <f t="shared" si="137"/>
        <v>0</v>
      </c>
      <c r="I347" s="24"/>
      <c r="J347" s="24">
        <f t="shared" si="138"/>
        <v>0</v>
      </c>
      <c r="K347" s="24">
        <f t="shared" si="139"/>
        <v>0</v>
      </c>
      <c r="L347" s="25">
        <f t="shared" si="140"/>
        <v>0</v>
      </c>
      <c r="M347" s="301"/>
      <c r="O347" s="309"/>
      <c r="P347" s="310"/>
    </row>
    <row r="348" spans="1:16" s="308" customFormat="1" ht="18" hidden="1" customHeight="1">
      <c r="A348" s="324" t="s">
        <v>371</v>
      </c>
      <c r="B348" s="325" t="s">
        <v>374</v>
      </c>
      <c r="C348" s="365"/>
      <c r="D348" s="305"/>
      <c r="E348" s="305" t="s">
        <v>375</v>
      </c>
      <c r="F348" s="326"/>
      <c r="G348" s="24"/>
      <c r="H348" s="24">
        <f t="shared" si="137"/>
        <v>0</v>
      </c>
      <c r="I348" s="24"/>
      <c r="J348" s="24">
        <f t="shared" si="138"/>
        <v>0</v>
      </c>
      <c r="K348" s="24">
        <f t="shared" si="139"/>
        <v>0</v>
      </c>
      <c r="L348" s="25">
        <f t="shared" si="140"/>
        <v>0</v>
      </c>
      <c r="M348" s="301"/>
      <c r="O348" s="309"/>
      <c r="P348" s="310"/>
    </row>
    <row r="349" spans="1:16" s="302" customFormat="1" ht="18" hidden="1" customHeight="1">
      <c r="A349" s="297" t="s">
        <v>372</v>
      </c>
      <c r="B349" s="298" t="s">
        <v>370</v>
      </c>
      <c r="C349" s="366" t="s">
        <v>362</v>
      </c>
      <c r="D349" s="299"/>
      <c r="E349" s="299" t="s">
        <v>363</v>
      </c>
      <c r="F349" s="300"/>
      <c r="G349" s="24"/>
      <c r="H349" s="24">
        <f t="shared" si="137"/>
        <v>0</v>
      </c>
      <c r="I349" s="24"/>
      <c r="J349" s="24">
        <f t="shared" si="138"/>
        <v>0</v>
      </c>
      <c r="K349" s="24">
        <f t="shared" si="139"/>
        <v>0</v>
      </c>
      <c r="L349" s="25">
        <f t="shared" si="140"/>
        <v>0</v>
      </c>
      <c r="M349" s="301"/>
      <c r="O349" s="303"/>
      <c r="P349" s="304"/>
    </row>
    <row r="350" spans="1:16" s="277" customFormat="1" ht="18" hidden="1" customHeight="1">
      <c r="A350" s="53" t="s">
        <v>373</v>
      </c>
      <c r="B350" s="271" t="s">
        <v>369</v>
      </c>
      <c r="C350" s="347" t="s">
        <v>495</v>
      </c>
      <c r="D350" s="272" t="s">
        <v>364</v>
      </c>
      <c r="E350" s="272" t="s">
        <v>365</v>
      </c>
      <c r="F350" s="273"/>
      <c r="G350" s="336"/>
      <c r="H350" s="336">
        <f t="shared" si="137"/>
        <v>0</v>
      </c>
      <c r="I350" s="336"/>
      <c r="J350" s="336">
        <f t="shared" si="138"/>
        <v>0</v>
      </c>
      <c r="K350" s="336">
        <f t="shared" si="139"/>
        <v>0</v>
      </c>
      <c r="L350" s="337">
        <f t="shared" si="140"/>
        <v>0</v>
      </c>
      <c r="M350" s="276"/>
      <c r="O350" s="278"/>
      <c r="P350" s="279"/>
    </row>
    <row r="351" spans="1:16" ht="18" hidden="1" customHeight="1">
      <c r="A351" s="172" t="s">
        <v>12</v>
      </c>
      <c r="B351" s="10" t="s">
        <v>160</v>
      </c>
      <c r="C351" s="172" t="s">
        <v>359</v>
      </c>
      <c r="D351" s="4"/>
      <c r="E351" s="4" t="s">
        <v>36</v>
      </c>
      <c r="F351" s="173"/>
      <c r="G351" s="24"/>
      <c r="H351" s="24">
        <f>F351*G351</f>
        <v>0</v>
      </c>
      <c r="I351" s="24"/>
      <c r="J351" s="24">
        <f>F351*I351</f>
        <v>0</v>
      </c>
      <c r="K351" s="24">
        <f>G351+I351</f>
        <v>0</v>
      </c>
      <c r="L351" s="25">
        <f>F351*K351</f>
        <v>0</v>
      </c>
      <c r="M351" s="177"/>
    </row>
    <row r="352" spans="1:16" ht="18" hidden="1" customHeight="1">
      <c r="A352" s="172" t="s">
        <v>207</v>
      </c>
      <c r="B352" s="10" t="s">
        <v>208</v>
      </c>
      <c r="C352" s="172" t="s">
        <v>209</v>
      </c>
      <c r="D352" s="4"/>
      <c r="E352" s="4" t="s">
        <v>210</v>
      </c>
      <c r="F352" s="173"/>
      <c r="G352" s="24"/>
      <c r="H352" s="24">
        <f>F352*G352</f>
        <v>0</v>
      </c>
      <c r="I352" s="24"/>
      <c r="J352" s="24">
        <f>F352*I352</f>
        <v>0</v>
      </c>
      <c r="K352" s="24">
        <f>G352+I352</f>
        <v>0</v>
      </c>
      <c r="L352" s="25">
        <f>F352*K352</f>
        <v>0</v>
      </c>
      <c r="M352" s="177"/>
    </row>
    <row r="353" spans="1:16" ht="18" hidden="1" customHeight="1">
      <c r="A353" s="172" t="s">
        <v>41</v>
      </c>
      <c r="B353" s="10" t="s">
        <v>224</v>
      </c>
      <c r="C353" s="172" t="s">
        <v>225</v>
      </c>
      <c r="D353" s="4"/>
      <c r="E353" s="4" t="s">
        <v>36</v>
      </c>
      <c r="F353" s="173"/>
      <c r="G353" s="24"/>
      <c r="H353" s="24">
        <f>F353*G353</f>
        <v>0</v>
      </c>
      <c r="I353" s="24"/>
      <c r="J353" s="24">
        <f>F353*I353</f>
        <v>0</v>
      </c>
      <c r="K353" s="24">
        <f>G353+I353</f>
        <v>0</v>
      </c>
      <c r="L353" s="25">
        <f>F353*K353</f>
        <v>0</v>
      </c>
      <c r="M353" s="177"/>
    </row>
    <row r="354" spans="1:16" s="321" customFormat="1" ht="18" hidden="1" customHeight="1">
      <c r="A354" s="291" t="s">
        <v>41</v>
      </c>
      <c r="B354" s="316" t="s">
        <v>163</v>
      </c>
      <c r="C354" s="367" t="s">
        <v>255</v>
      </c>
      <c r="D354" s="317"/>
      <c r="E354" s="317" t="s">
        <v>74</v>
      </c>
      <c r="F354" s="318"/>
      <c r="G354" s="24"/>
      <c r="H354" s="24">
        <f>F354*G354</f>
        <v>0</v>
      </c>
      <c r="I354" s="24"/>
      <c r="J354" s="24">
        <f>F354*I354</f>
        <v>0</v>
      </c>
      <c r="K354" s="24">
        <f>G354+I354</f>
        <v>0</v>
      </c>
      <c r="L354" s="25">
        <f>F354*K354</f>
        <v>0</v>
      </c>
      <c r="M354" s="286"/>
      <c r="O354" s="322"/>
      <c r="P354" s="323"/>
    </row>
    <row r="355" spans="1:16" s="287" customFormat="1" ht="18" hidden="1" customHeight="1">
      <c r="A355" s="268"/>
      <c r="B355" s="296"/>
      <c r="C355" s="359"/>
      <c r="D355" s="282"/>
      <c r="E355" s="282"/>
      <c r="F355" s="283"/>
      <c r="G355" s="284"/>
      <c r="H355" s="284"/>
      <c r="I355" s="284"/>
      <c r="J355" s="284"/>
      <c r="K355" s="284"/>
      <c r="L355" s="285"/>
      <c r="M355" s="286"/>
      <c r="O355" s="288"/>
      <c r="P355" s="289"/>
    </row>
    <row r="356" spans="1:16" s="277" customFormat="1" ht="18" hidden="1" customHeight="1">
      <c r="A356" s="53">
        <v>-1</v>
      </c>
      <c r="B356" s="47" t="s">
        <v>386</v>
      </c>
      <c r="C356" s="347"/>
      <c r="D356" s="272"/>
      <c r="E356" s="272"/>
      <c r="F356" s="273"/>
      <c r="G356" s="274"/>
      <c r="H356" s="274"/>
      <c r="I356" s="274"/>
      <c r="J356" s="274"/>
      <c r="K356" s="274"/>
      <c r="L356" s="275"/>
      <c r="M356" s="276"/>
      <c r="O356" s="278"/>
      <c r="P356" s="279"/>
    </row>
    <row r="357" spans="1:16" s="277" customFormat="1" ht="18" hidden="1" customHeight="1">
      <c r="A357" s="53"/>
      <c r="B357" s="47" t="s">
        <v>387</v>
      </c>
      <c r="C357" s="347"/>
      <c r="D357" s="272"/>
      <c r="E357" s="272" t="s">
        <v>388</v>
      </c>
      <c r="F357" s="273"/>
      <c r="G357" s="274">
        <v>140000</v>
      </c>
      <c r="H357" s="274">
        <f>F357*G357</f>
        <v>0</v>
      </c>
      <c r="I357" s="274">
        <v>80000</v>
      </c>
      <c r="J357" s="274">
        <f>F357*I357</f>
        <v>0</v>
      </c>
      <c r="K357" s="274">
        <f>G357+I357</f>
        <v>220000</v>
      </c>
      <c r="L357" s="275">
        <f>F357*K357</f>
        <v>0</v>
      </c>
      <c r="M357" s="276"/>
      <c r="O357" s="278"/>
      <c r="P357" s="279"/>
    </row>
    <row r="358" spans="1:16" s="287" customFormat="1" ht="18" hidden="1" customHeight="1">
      <c r="A358" s="268"/>
      <c r="B358" s="296"/>
      <c r="C358" s="359"/>
      <c r="D358" s="282"/>
      <c r="E358" s="282"/>
      <c r="F358" s="283"/>
      <c r="G358" s="284"/>
      <c r="H358" s="284"/>
      <c r="I358" s="284"/>
      <c r="J358" s="284"/>
      <c r="K358" s="284"/>
      <c r="L358" s="285"/>
      <c r="M358" s="286"/>
      <c r="O358" s="288"/>
      <c r="P358" s="289"/>
    </row>
    <row r="359" spans="1:16" s="287" customFormat="1" ht="18" hidden="1" customHeight="1">
      <c r="A359" s="268"/>
      <c r="B359" s="296"/>
      <c r="C359" s="359"/>
      <c r="D359" s="282"/>
      <c r="E359" s="282"/>
      <c r="F359" s="283"/>
      <c r="G359" s="284"/>
      <c r="H359" s="284"/>
      <c r="I359" s="284"/>
      <c r="J359" s="284"/>
      <c r="K359" s="284"/>
      <c r="L359" s="285"/>
      <c r="M359" s="286"/>
      <c r="O359" s="288"/>
      <c r="P359" s="289"/>
    </row>
    <row r="360" spans="1:16" s="287" customFormat="1" ht="18" hidden="1" customHeight="1">
      <c r="A360" s="268"/>
      <c r="B360" s="296"/>
      <c r="C360" s="359"/>
      <c r="D360" s="282"/>
      <c r="E360" s="282"/>
      <c r="F360" s="283"/>
      <c r="G360" s="284"/>
      <c r="H360" s="284"/>
      <c r="I360" s="284"/>
      <c r="J360" s="284"/>
      <c r="K360" s="284"/>
      <c r="L360" s="285"/>
      <c r="M360" s="286"/>
      <c r="O360" s="288"/>
      <c r="P360" s="289"/>
    </row>
    <row r="361" spans="1:16" s="287" customFormat="1" ht="18" hidden="1" customHeight="1">
      <c r="A361" s="268"/>
      <c r="B361" s="296"/>
      <c r="C361" s="359"/>
      <c r="D361" s="282"/>
      <c r="E361" s="282"/>
      <c r="F361" s="283"/>
      <c r="G361" s="284"/>
      <c r="H361" s="284"/>
      <c r="I361" s="284"/>
      <c r="J361" s="284"/>
      <c r="K361" s="284"/>
      <c r="L361" s="285"/>
      <c r="M361" s="286"/>
      <c r="O361" s="288"/>
      <c r="P361" s="289"/>
    </row>
    <row r="362" spans="1:16" s="277" customFormat="1" ht="18" hidden="1" customHeight="1">
      <c r="A362" s="53">
        <v>-1</v>
      </c>
      <c r="B362" s="47" t="s">
        <v>455</v>
      </c>
      <c r="C362" s="347"/>
      <c r="D362" s="272"/>
      <c r="E362" s="272"/>
      <c r="F362" s="273"/>
      <c r="G362" s="274"/>
      <c r="H362" s="274"/>
      <c r="I362" s="274"/>
      <c r="J362" s="274"/>
      <c r="K362" s="274"/>
      <c r="L362" s="275"/>
      <c r="M362" s="276"/>
      <c r="O362" s="278"/>
      <c r="P362" s="279"/>
    </row>
    <row r="363" spans="1:16" s="277" customFormat="1" ht="18" hidden="1" customHeight="1">
      <c r="A363" s="53" t="s">
        <v>456</v>
      </c>
      <c r="B363" s="47" t="s">
        <v>457</v>
      </c>
      <c r="C363" s="347" t="s">
        <v>458</v>
      </c>
      <c r="D363" s="272"/>
      <c r="E363" s="272" t="s">
        <v>459</v>
      </c>
      <c r="F363" s="273"/>
      <c r="G363" s="274">
        <v>1700000</v>
      </c>
      <c r="H363" s="274">
        <f>F363*G363</f>
        <v>0</v>
      </c>
      <c r="I363" s="274">
        <v>0</v>
      </c>
      <c r="J363" s="274">
        <f>F363*I363</f>
        <v>0</v>
      </c>
      <c r="K363" s="274">
        <f>G363+I363</f>
        <v>1700000</v>
      </c>
      <c r="L363" s="275">
        <f>F363*K363</f>
        <v>0</v>
      </c>
      <c r="M363" s="276"/>
      <c r="O363" s="278"/>
      <c r="P363" s="279"/>
    </row>
    <row r="364" spans="1:16" s="287" customFormat="1" ht="18" hidden="1" customHeight="1">
      <c r="A364" s="268"/>
      <c r="B364" s="296"/>
      <c r="C364" s="359"/>
      <c r="D364" s="282"/>
      <c r="E364" s="282"/>
      <c r="F364" s="283"/>
      <c r="G364" s="284"/>
      <c r="H364" s="284"/>
      <c r="I364" s="284"/>
      <c r="J364" s="284"/>
      <c r="K364" s="284"/>
      <c r="L364" s="285"/>
      <c r="M364" s="286"/>
      <c r="O364" s="288"/>
      <c r="P364" s="289"/>
    </row>
    <row r="365" spans="1:16" ht="18" customHeight="1">
      <c r="A365" s="9"/>
      <c r="B365" s="11" t="s">
        <v>13</v>
      </c>
      <c r="C365" s="9"/>
      <c r="D365" s="4"/>
      <c r="E365" s="4"/>
      <c r="F365" s="44"/>
      <c r="G365" s="42"/>
      <c r="H365" s="42">
        <f>SUM(H309:H363)</f>
        <v>5880000</v>
      </c>
      <c r="I365" s="42"/>
      <c r="J365" s="42">
        <f>SUM(J309:J363)</f>
        <v>6625000</v>
      </c>
      <c r="K365" s="42"/>
      <c r="L365" s="42">
        <f>SUM(L309:L363)</f>
        <v>12505000</v>
      </c>
      <c r="M365" s="177"/>
    </row>
    <row r="366" spans="1:16" ht="18" hidden="1" customHeight="1">
      <c r="A366" s="9"/>
      <c r="B366" s="11"/>
      <c r="C366" s="9"/>
      <c r="D366" s="4"/>
      <c r="E366" s="4"/>
      <c r="F366" s="44"/>
      <c r="G366" s="42"/>
      <c r="H366" s="42"/>
      <c r="I366" s="42"/>
      <c r="J366" s="42"/>
      <c r="K366" s="42"/>
      <c r="L366" s="43"/>
      <c r="M366" s="177"/>
    </row>
    <row r="367" spans="1:16" ht="18" hidden="1" customHeight="1">
      <c r="A367" s="9">
        <v>-1</v>
      </c>
      <c r="B367" s="11" t="s">
        <v>454</v>
      </c>
      <c r="C367" s="9"/>
      <c r="D367" s="4"/>
      <c r="E367" s="4"/>
      <c r="F367" s="44"/>
      <c r="G367" s="42"/>
      <c r="H367" s="42"/>
      <c r="I367" s="42"/>
      <c r="J367" s="42"/>
      <c r="K367" s="42"/>
      <c r="L367" s="43"/>
      <c r="M367" s="177"/>
    </row>
    <row r="368" spans="1:16" ht="18" hidden="1" customHeight="1">
      <c r="A368" s="9" t="s">
        <v>430</v>
      </c>
      <c r="B368" s="338" t="s">
        <v>431</v>
      </c>
      <c r="C368" s="9" t="s">
        <v>435</v>
      </c>
      <c r="D368" s="4" t="s">
        <v>442</v>
      </c>
      <c r="E368" s="4" t="s">
        <v>436</v>
      </c>
      <c r="F368" s="44"/>
      <c r="G368" s="24"/>
      <c r="H368" s="24"/>
      <c r="I368" s="24"/>
      <c r="J368" s="24"/>
      <c r="K368" s="24"/>
      <c r="L368" s="25">
        <v>7900000</v>
      </c>
      <c r="M368" s="354" t="s">
        <v>453</v>
      </c>
    </row>
    <row r="369" spans="1:13" ht="18" hidden="1" customHeight="1">
      <c r="A369" s="9" t="s">
        <v>430</v>
      </c>
      <c r="B369" s="338" t="s">
        <v>433</v>
      </c>
      <c r="C369" s="9" t="s">
        <v>460</v>
      </c>
      <c r="D369" s="4"/>
      <c r="E369" s="4" t="s">
        <v>436</v>
      </c>
      <c r="F369" s="44"/>
      <c r="G369" s="24"/>
      <c r="H369" s="24"/>
      <c r="I369" s="24"/>
      <c r="J369" s="24"/>
      <c r="K369" s="24"/>
      <c r="L369" s="25">
        <v>10400000</v>
      </c>
      <c r="M369" s="354" t="s">
        <v>453</v>
      </c>
    </row>
    <row r="370" spans="1:13" ht="18" hidden="1" customHeight="1">
      <c r="A370" s="9" t="s">
        <v>432</v>
      </c>
      <c r="B370" s="338" t="s">
        <v>444</v>
      </c>
      <c r="C370" s="9"/>
      <c r="D370" s="4"/>
      <c r="E370" s="4" t="s">
        <v>437</v>
      </c>
      <c r="F370" s="44"/>
      <c r="G370" s="24"/>
      <c r="H370" s="24"/>
      <c r="I370" s="24"/>
      <c r="J370" s="24"/>
      <c r="K370" s="24"/>
      <c r="L370" s="25">
        <v>11000000</v>
      </c>
      <c r="M370" s="354" t="s">
        <v>453</v>
      </c>
    </row>
    <row r="371" spans="1:13" ht="18" hidden="1" customHeight="1">
      <c r="A371" s="9" t="s">
        <v>430</v>
      </c>
      <c r="B371" s="338" t="s">
        <v>434</v>
      </c>
      <c r="C371" s="9"/>
      <c r="D371" s="4"/>
      <c r="E371" s="4" t="s">
        <v>452</v>
      </c>
      <c r="F371" s="353">
        <v>0</v>
      </c>
      <c r="G371" s="24"/>
      <c r="H371" s="24"/>
      <c r="I371" s="24"/>
      <c r="J371" s="24"/>
      <c r="K371" s="24"/>
      <c r="L371" s="339">
        <v>0</v>
      </c>
      <c r="M371" s="354" t="s">
        <v>453</v>
      </c>
    </row>
    <row r="372" spans="1:13" ht="18" customHeight="1">
      <c r="A372" s="9"/>
      <c r="B372" s="10"/>
      <c r="C372" s="9"/>
      <c r="D372" s="4"/>
      <c r="E372" s="4"/>
      <c r="F372" s="44"/>
      <c r="G372" s="24"/>
      <c r="H372" s="24"/>
      <c r="I372" s="24"/>
      <c r="J372" s="34"/>
      <c r="K372" s="24"/>
      <c r="L372" s="25"/>
      <c r="M372" s="177"/>
    </row>
    <row r="373" spans="1:13" ht="18" customHeight="1">
      <c r="A373" s="250"/>
      <c r="B373" s="250" t="s">
        <v>68</v>
      </c>
      <c r="C373" s="250"/>
      <c r="D373" s="251"/>
      <c r="E373" s="251"/>
      <c r="F373" s="252"/>
      <c r="G373" s="253"/>
      <c r="H373" s="267">
        <f>H69+H365+H306+H294+H281+H272+H226+H189+H170+H98+H85</f>
        <v>31939500</v>
      </c>
      <c r="I373" s="267"/>
      <c r="J373" s="267">
        <f>J69+J365+J306+J294+J281+J272+J226+J189+J170+J98+J85</f>
        <v>28081000</v>
      </c>
      <c r="K373" s="267"/>
      <c r="L373" s="267">
        <f>L69+L365+L306+L294+L281+L272+L226+L189+L170+L98+L85</f>
        <v>60000500</v>
      </c>
      <c r="M373" s="254"/>
    </row>
    <row r="374" spans="1:13" ht="18" customHeight="1">
      <c r="A374" s="9"/>
      <c r="B374" s="10"/>
      <c r="C374" s="9"/>
      <c r="D374" s="4"/>
      <c r="E374" s="4"/>
      <c r="F374" s="5"/>
      <c r="G374" s="6"/>
      <c r="H374" s="6"/>
      <c r="I374" s="6"/>
      <c r="J374" s="6"/>
      <c r="K374" s="6"/>
      <c r="L374" s="7"/>
      <c r="M374" s="177"/>
    </row>
    <row r="375" spans="1:13" ht="18" customHeight="1">
      <c r="A375" s="9"/>
      <c r="B375" s="10"/>
      <c r="C375" s="9"/>
      <c r="D375" s="4"/>
      <c r="E375" s="4"/>
      <c r="F375" s="5"/>
      <c r="G375" s="6"/>
      <c r="H375" s="6"/>
      <c r="I375" s="6"/>
      <c r="J375" s="55"/>
      <c r="K375" s="6"/>
      <c r="L375" s="7"/>
      <c r="M375" s="177"/>
    </row>
    <row r="377" spans="1:13" ht="19.5" customHeight="1">
      <c r="C377" s="56" t="s">
        <v>541</v>
      </c>
    </row>
  </sheetData>
  <autoFilter ref="A4:M375" xr:uid="{00000000-0009-0000-0000-000002000000}"/>
  <mergeCells count="12">
    <mergeCell ref="Q54:Q55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8" scale="88" fitToHeight="0" orientation="landscape" r:id="rId1"/>
  <rowBreaks count="7" manualBreakCount="7">
    <brk id="34" max="12" man="1"/>
    <brk id="86" max="12" man="1"/>
    <brk id="99" max="12" man="1"/>
    <brk id="170" max="12" man="1"/>
    <brk id="190" max="12" man="1"/>
    <brk id="227" max="12" man="1"/>
    <brk id="307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민제 성</cp:lastModifiedBy>
  <cp:lastPrinted>2025-11-18T22:16:44Z</cp:lastPrinted>
  <dcterms:created xsi:type="dcterms:W3CDTF">1997-06-17T05:19:13Z</dcterms:created>
  <dcterms:modified xsi:type="dcterms:W3CDTF">2026-01-08T08:36:36Z</dcterms:modified>
</cp:coreProperties>
</file>