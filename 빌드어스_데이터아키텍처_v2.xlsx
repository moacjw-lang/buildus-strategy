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재_방수" sheetId="1" state="visible" r:id="rId1"/>
    <sheet xmlns:r="http://schemas.openxmlformats.org/officeDocument/2006/relationships" name="자재_타일" sheetId="2" state="visible" r:id="rId2"/>
    <sheet xmlns:r="http://schemas.openxmlformats.org/officeDocument/2006/relationships" name="자재_도장" sheetId="3" state="visible" r:id="rId3"/>
    <sheet xmlns:r="http://schemas.openxmlformats.org/officeDocument/2006/relationships" name="자재_마루" sheetId="4" state="visible" r:id="rId4"/>
    <sheet xmlns:r="http://schemas.openxmlformats.org/officeDocument/2006/relationships" name="자재_도배" sheetId="5" state="visible" r:id="rId5"/>
    <sheet xmlns:r="http://schemas.openxmlformats.org/officeDocument/2006/relationships" name="공정마스터" sheetId="6" state="visible" r:id="rId6"/>
    <sheet xmlns:r="http://schemas.openxmlformats.org/officeDocument/2006/relationships" name="호환성" sheetId="7" state="visible" r:id="rId7"/>
    <sheet xmlns:r="http://schemas.openxmlformats.org/officeDocument/2006/relationships" name="공급사" sheetId="8" state="visible" r:id="rId8"/>
    <sheet xmlns:r="http://schemas.openxmlformats.org/officeDocument/2006/relationships" name="면적참조" sheetId="9" state="visible" r:id="rId9"/>
    <sheet xmlns:r="http://schemas.openxmlformats.org/officeDocument/2006/relationships" name="견적시뮬레이터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4299E1"/>
      <sz val="11"/>
    </font>
    <font>
      <name val="맑은 고딕"/>
      <b val="1"/>
      <color rgb="00FFFFFF"/>
      <sz val="10"/>
    </font>
    <font>
      <name val="맑은 고딕"/>
      <sz val="10"/>
    </font>
    <font>
      <name val="맑은 고딕"/>
      <i val="1"/>
      <color rgb="00718096"/>
      <sz val="9"/>
    </font>
    <font>
      <name val="맑은 고딕"/>
      <b val="1"/>
      <color rgb="00E53E3E"/>
      <sz val="10"/>
    </font>
    <font>
      <name val="맑은 고딕"/>
      <b val="1"/>
      <color rgb="00D69E2E"/>
      <sz val="10"/>
    </font>
    <font>
      <name val="맑은 고딕"/>
      <b val="1"/>
      <sz val="16"/>
    </font>
    <font>
      <name val="맑은 고딕"/>
      <b val="1"/>
      <sz val="11"/>
    </font>
    <font>
      <name val="맑은 고딕"/>
      <b val="1"/>
      <sz val="10"/>
    </font>
    <font>
      <name val="맑은 고딕"/>
      <color rgb="00718096"/>
      <sz val="9"/>
    </font>
    <font>
      <name val="맑은 고딕"/>
      <b val="1"/>
      <sz val="13"/>
    </font>
    <font>
      <name val="맑은 고딕"/>
      <b val="1"/>
      <color rgb="0022543D"/>
      <sz val="14"/>
    </font>
    <font>
      <name val="맑은 고딕"/>
      <b val="1"/>
      <color rgb="0022543D"/>
      <sz val="12"/>
    </font>
    <font>
      <name val="맑은 고딕"/>
      <b val="1"/>
      <sz val="12"/>
    </font>
  </fonts>
  <fills count="9">
    <fill>
      <patternFill/>
    </fill>
    <fill>
      <patternFill patternType="gray125"/>
    </fill>
    <fill>
      <patternFill patternType="solid">
        <fgColor rgb="004A5568"/>
        <bgColor rgb="004A5568"/>
      </patternFill>
    </fill>
    <fill>
      <patternFill patternType="solid">
        <fgColor rgb="002D3748"/>
        <bgColor rgb="002D3748"/>
      </patternFill>
    </fill>
    <fill>
      <patternFill patternType="solid">
        <fgColor rgb="00EBF8FF"/>
        <bgColor rgb="00EBF8FF"/>
      </patternFill>
    </fill>
    <fill>
      <patternFill patternType="solid">
        <fgColor rgb="00F7FAFC"/>
        <bgColor rgb="00F7FAFC"/>
      </patternFill>
    </fill>
    <fill>
      <patternFill patternType="solid">
        <fgColor rgb="00FFFFF0"/>
        <bgColor rgb="00FFFFF0"/>
      </patternFill>
    </fill>
    <fill>
      <patternFill patternType="solid">
        <fgColor rgb="00F0FFF4"/>
        <bgColor rgb="00F0FFF4"/>
      </patternFill>
    </fill>
    <fill>
      <patternFill patternType="solid">
        <fgColor rgb="00C6F6D5"/>
        <bgColor rgb="00C6F6D5"/>
      </patternFill>
    </fill>
  </fills>
  <borders count="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D69E2E"/>
      </left>
      <right style="medium">
        <color rgb="00D69E2E"/>
      </right>
      <top style="medium">
        <color rgb="00D69E2E"/>
      </top>
      <bottom style="medium">
        <color rgb="00D69E2E"/>
      </bottom>
    </border>
    <border>
      <top style="double">
        <color rgb="0022543D"/>
      </top>
      <bottom style="double">
        <color rgb="0022543D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2" fontId="4" fillId="5" borderId="1" applyAlignment="1" pivotButton="0" quotePrefix="0" xfId="0">
      <alignment vertical="center" wrapText="1"/>
    </xf>
    <xf numFmtId="164" fontId="4" fillId="5" borderId="1" applyAlignment="1" pivotButton="0" quotePrefix="0" xfId="0">
      <alignment vertical="center" wrapText="1"/>
    </xf>
    <xf numFmtId="3" fontId="4" fillId="5" borderId="1" applyAlignment="1" pivotButton="0" quotePrefix="0" xfId="0">
      <alignment vertical="center" wrapText="1"/>
    </xf>
    <xf numFmtId="0" fontId="0" fillId="0" borderId="1" pivotButton="0" quotePrefix="0" xfId="0"/>
    <xf numFmtId="164" fontId="0" fillId="4" borderId="1" pivotButton="0" quotePrefix="0" xfId="0"/>
    <xf numFmtId="3" fontId="0" fillId="4" borderId="1" pivotButton="0" quotePrefix="0" xfId="0"/>
    <xf numFmtId="0" fontId="5" fillId="0" borderId="0" applyAlignment="1" pivotButton="0" quotePrefix="0" xfId="0">
      <alignment wrapText="1"/>
    </xf>
    <xf numFmtId="0" fontId="8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3" borderId="1" pivotButton="0" quotePrefix="0" xfId="0"/>
    <xf numFmtId="0" fontId="4" fillId="0" borderId="1" pivotButton="0" quotePrefix="0" xfId="0"/>
    <xf numFmtId="165" fontId="9" fillId="6" borderId="2" pivotButton="0" quotePrefix="0" xfId="0"/>
    <xf numFmtId="0" fontId="4" fillId="0" borderId="1" applyAlignment="1" pivotButton="0" quotePrefix="0" xfId="0">
      <alignment vertical="center" wrapText="1"/>
    </xf>
    <xf numFmtId="165" fontId="4" fillId="4" borderId="1" applyAlignment="1" pivotButton="0" quotePrefix="0" xfId="0">
      <alignment vertical="center" wrapText="1"/>
    </xf>
    <xf numFmtId="2" fontId="4" fillId="0" borderId="1" applyAlignment="1" pivotButton="0" quotePrefix="0" xfId="0">
      <alignment vertical="center" wrapText="1"/>
    </xf>
    <xf numFmtId="2" fontId="4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center" wrapText="1"/>
    </xf>
    <xf numFmtId="3" fontId="4" fillId="7" borderId="1" applyAlignment="1" pivotButton="0" quotePrefix="0" xfId="0">
      <alignment vertical="center" wrapText="1"/>
    </xf>
    <xf numFmtId="0" fontId="12" fillId="0" borderId="0" pivotButton="0" quotePrefix="0" xfId="0"/>
    <xf numFmtId="3" fontId="13" fillId="8" borderId="3" pivotButton="0" quotePrefix="0" xfId="0"/>
    <xf numFmtId="0" fontId="10" fillId="0" borderId="1" pivotButton="0" quotePrefix="0" xfId="0"/>
    <xf numFmtId="3" fontId="10" fillId="7" borderId="1" pivotButton="0" quotePrefix="0" xfId="0"/>
    <xf numFmtId="0" fontId="1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299E1"/>
    <outlinePr summaryBelow="1" summaryRight="1"/>
    <pageSetUpPr/>
  </sheetPr>
  <dimension ref="A1:Z3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5" customWidth="1" min="26" max="26"/>
  </cols>
  <sheetData>
    <row r="1" ht="30" customHeight="1">
      <c r="A1" s="1" t="inlineStr">
        <is>
          <t>방수 자재</t>
        </is>
      </c>
    </row>
    <row r="2">
      <c r="A2" s="2" t="inlineStr">
        <is>
          <t>공정코드: PROC-04 | 자재 + 소요량 + 가격 + 배송 통합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</row>
    <row r="5">
      <c r="A5" s="6" t="inlineStr">
        <is>
          <t>WP-001</t>
        </is>
      </c>
      <c r="B5" s="6" t="inlineStr">
        <is>
          <t>수성 방수액</t>
        </is>
      </c>
      <c r="C5" s="6" t="inlineStr">
        <is>
          <t>18L</t>
        </is>
      </c>
      <c r="D5" s="6" t="inlineStr">
        <is>
          <t>방수층 형성</t>
        </is>
      </c>
      <c r="E5" s="6" t="inlineStr">
        <is>
          <t>필수</t>
        </is>
      </c>
      <c r="F5" s="6" t="inlineStr">
        <is>
          <t>L</t>
        </is>
      </c>
      <c r="G5" s="7" t="n">
        <v>0.6</v>
      </c>
      <c r="H5" s="6" t="n">
        <v>10</v>
      </c>
      <c r="I5" s="8">
        <f>G5*(1+H5/100)</f>
        <v/>
      </c>
      <c r="J5" s="6" t="inlineStr">
        <is>
          <t>통(18L)</t>
        </is>
      </c>
      <c r="K5" s="6" t="n">
        <v>18</v>
      </c>
      <c r="L5" s="9" t="n">
        <v>35000</v>
      </c>
      <c r="M5" s="9" t="n">
        <v>42000</v>
      </c>
      <c r="N5" s="9" t="n">
        <v>45000</v>
      </c>
      <c r="O5" s="9" t="n">
        <v>58000</v>
      </c>
      <c r="P5" s="9" t="n">
        <v>52000</v>
      </c>
      <c r="Q5" s="9">
        <f>IF(OR(O5="",P5=""),"",MIN(O5,P5)-N5)</f>
        <v/>
      </c>
      <c r="R5" s="6" t="n">
        <v>20</v>
      </c>
      <c r="S5" s="6" t="inlineStr">
        <is>
          <t>화물</t>
        </is>
      </c>
      <c r="T5" s="6" t="inlineStr">
        <is>
          <t>2~3일</t>
        </is>
      </c>
      <c r="U5" s="6" t="inlineStr">
        <is>
          <t>SUP-001</t>
        </is>
      </c>
      <c r="V5" s="6" t="inlineStr">
        <is>
          <t>N</t>
        </is>
      </c>
      <c r="W5" s="6" t="inlineStr">
        <is>
          <t>—</t>
        </is>
      </c>
      <c r="X5" s="6" t="inlineStr">
        <is>
          <t>—</t>
        </is>
      </c>
      <c r="Y5" s="6" t="inlineStr">
        <is>
          <t>표준</t>
        </is>
      </c>
      <c r="Z5" s="6" t="inlineStr">
        <is>
          <t>욕실 바닥/벽 방수. 2회 도포로 완벽 방수.</t>
        </is>
      </c>
    </row>
    <row r="6">
      <c r="A6" s="6" t="inlineStr">
        <is>
          <t>WP-002</t>
        </is>
      </c>
      <c r="B6" s="6" t="inlineStr">
        <is>
          <t>부직포</t>
        </is>
      </c>
      <c r="C6" s="6" t="inlineStr">
        <is>
          <t>1m×50m</t>
        </is>
      </c>
      <c r="D6" s="6" t="inlineStr">
        <is>
          <t>보강재</t>
        </is>
      </c>
      <c r="E6" s="6" t="inlineStr">
        <is>
          <t>필수</t>
        </is>
      </c>
      <c r="F6" s="6" t="inlineStr">
        <is>
          <t>㎡</t>
        </is>
      </c>
      <c r="G6" s="7" t="n">
        <v>1.05</v>
      </c>
      <c r="H6" s="6" t="n">
        <v>5</v>
      </c>
      <c r="I6" s="8">
        <f>G6*(1+H6/100)</f>
        <v/>
      </c>
      <c r="J6" s="6" t="inlineStr">
        <is>
          <t>롤(50㎡)</t>
        </is>
      </c>
      <c r="K6" s="6" t="n">
        <v>50</v>
      </c>
      <c r="L6" s="9" t="n">
        <v>12000</v>
      </c>
      <c r="M6" s="9" t="n">
        <v>14000</v>
      </c>
      <c r="N6" s="9" t="n">
        <v>15000</v>
      </c>
      <c r="O6" s="9" t="n">
        <v>22000</v>
      </c>
      <c r="P6" s="9" t="n">
        <v>18000</v>
      </c>
      <c r="Q6" s="9">
        <f>IF(OR(O6="",P6=""),"",MIN(O6,P6)-N6)</f>
        <v/>
      </c>
      <c r="R6" s="6" t="n">
        <v>3</v>
      </c>
      <c r="S6" s="6" t="inlineStr">
        <is>
          <t>택배</t>
        </is>
      </c>
      <c r="T6" s="6" t="inlineStr">
        <is>
          <t>1~2일</t>
        </is>
      </c>
      <c r="U6" s="6" t="inlineStr">
        <is>
          <t>SUP-001</t>
        </is>
      </c>
      <c r="V6" s="6" t="inlineStr">
        <is>
          <t>N</t>
        </is>
      </c>
      <c r="W6" s="6" t="inlineStr">
        <is>
          <t>—</t>
        </is>
      </c>
      <c r="X6" s="6" t="inlineStr">
        <is>
          <t>—</t>
        </is>
      </c>
      <c r="Y6" s="6" t="inlineStr">
        <is>
          <t>표준</t>
        </is>
      </c>
      <c r="Z6" s="6" t="inlineStr">
        <is>
          <t>방수 보강용 부직포. 겹침 5cm.</t>
        </is>
      </c>
    </row>
    <row r="7">
      <c r="A7" s="6" t="inlineStr">
        <is>
          <t>WP-003</t>
        </is>
      </c>
      <c r="B7" s="6" t="inlineStr">
        <is>
          <t>프라이머</t>
        </is>
      </c>
      <c r="C7" s="6" t="inlineStr">
        <is>
          <t>4L</t>
        </is>
      </c>
      <c r="D7" s="6" t="inlineStr">
        <is>
          <t>바탕 처리</t>
        </is>
      </c>
      <c r="E7" s="6" t="inlineStr">
        <is>
          <t>선택</t>
        </is>
      </c>
      <c r="F7" s="6" t="inlineStr">
        <is>
          <t>L</t>
        </is>
      </c>
      <c r="G7" s="7" t="n">
        <v>0.1</v>
      </c>
      <c r="H7" s="6" t="n">
        <v>5</v>
      </c>
      <c r="I7" s="8">
        <f>G7*(1+H7/100)</f>
        <v/>
      </c>
      <c r="J7" s="6" t="inlineStr">
        <is>
          <t>캔(4L)</t>
        </is>
      </c>
      <c r="K7" s="6" t="n">
        <v>4</v>
      </c>
      <c r="L7" s="9" t="n">
        <v>8000</v>
      </c>
      <c r="M7" s="9" t="n">
        <v>10000</v>
      </c>
      <c r="N7" s="9" t="n">
        <v>12000</v>
      </c>
      <c r="O7" s="9" t="n">
        <v>18000</v>
      </c>
      <c r="P7" s="9" t="n">
        <v>15000</v>
      </c>
      <c r="Q7" s="9">
        <f>IF(OR(O7="",P7=""),"",MIN(O7,P7)-N7)</f>
        <v/>
      </c>
      <c r="R7" s="6" t="n">
        <v>5</v>
      </c>
      <c r="S7" s="6" t="inlineStr">
        <is>
          <t>택배</t>
        </is>
      </c>
      <c r="T7" s="6" t="inlineStr">
        <is>
          <t>1~2일</t>
        </is>
      </c>
      <c r="U7" s="6" t="inlineStr">
        <is>
          <t>SUP-001</t>
        </is>
      </c>
      <c r="V7" s="6" t="inlineStr">
        <is>
          <t>N</t>
        </is>
      </c>
      <c r="W7" s="6" t="inlineStr">
        <is>
          <t>—</t>
        </is>
      </c>
      <c r="X7" s="6" t="inlineStr">
        <is>
          <t>—</t>
        </is>
      </c>
      <c r="Y7" s="6" t="inlineStr">
        <is>
          <t>표준</t>
        </is>
      </c>
      <c r="Z7" s="6" t="inlineStr">
        <is>
          <t>구축 바닥 바탕 처리용.</t>
        </is>
      </c>
    </row>
    <row r="8">
      <c r="A8" s="6" t="inlineStr">
        <is>
          <t>WP-004</t>
        </is>
      </c>
      <c r="B8" s="6" t="inlineStr">
        <is>
          <t>우레탄 방수재</t>
        </is>
      </c>
      <c r="C8" s="6" t="inlineStr">
        <is>
          <t>18L</t>
        </is>
      </c>
      <c r="D8" s="6" t="inlineStr">
        <is>
          <t>방수층 형성</t>
        </is>
      </c>
      <c r="E8" s="6" t="inlineStr">
        <is>
          <t>필수</t>
        </is>
      </c>
      <c r="F8" s="6" t="inlineStr">
        <is>
          <t>L</t>
        </is>
      </c>
      <c r="G8" s="7" t="n">
        <v>0.5</v>
      </c>
      <c r="H8" s="6" t="n">
        <v>10</v>
      </c>
      <c r="I8" s="8">
        <f>G8*(1+H8/100)</f>
        <v/>
      </c>
      <c r="J8" s="6" t="inlineStr">
        <is>
          <t>통(18L)</t>
        </is>
      </c>
      <c r="K8" s="6" t="n">
        <v>18</v>
      </c>
      <c r="L8" s="9" t="n">
        <v>55000</v>
      </c>
      <c r="M8" s="9" t="n">
        <v>65000</v>
      </c>
      <c r="N8" s="9" t="n">
        <v>72000</v>
      </c>
      <c r="O8" s="9" t="n">
        <v>95000</v>
      </c>
      <c r="P8" s="9" t="n">
        <v>88000</v>
      </c>
      <c r="Q8" s="9">
        <f>IF(OR(O8="",P8=""),"",MIN(O8,P8)-N8)</f>
        <v/>
      </c>
      <c r="R8" s="6" t="n">
        <v>22</v>
      </c>
      <c r="S8" s="6" t="inlineStr">
        <is>
          <t>화물</t>
        </is>
      </c>
      <c r="T8" s="6" t="inlineStr">
        <is>
          <t>2~3일</t>
        </is>
      </c>
      <c r="U8" s="6" t="inlineStr">
        <is>
          <t>SUP-001</t>
        </is>
      </c>
      <c r="V8" s="6" t="inlineStr">
        <is>
          <t>N</t>
        </is>
      </c>
      <c r="W8" s="6" t="inlineStr">
        <is>
          <t>—</t>
        </is>
      </c>
      <c r="X8" s="6" t="inlineStr">
        <is>
          <t>—</t>
        </is>
      </c>
      <c r="Y8" s="6" t="inlineStr">
        <is>
          <t>프리미엄</t>
        </is>
      </c>
      <c r="Z8" s="6" t="inlineStr">
        <is>
          <t>고내구성 우레탄 방수. 옥상/베란다용.</t>
        </is>
      </c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1">
        <f>IF(G9="","",G9*(1+H9/100))</f>
        <v/>
      </c>
      <c r="J9" s="10" t="n"/>
      <c r="K9" s="10" t="n"/>
      <c r="L9" s="10" t="n"/>
      <c r="M9" s="10" t="n"/>
      <c r="N9" s="10" t="n"/>
      <c r="O9" s="10" t="n"/>
      <c r="P9" s="10" t="n"/>
      <c r="Q9" s="12">
        <f>IF(OR(O9="",P9=""),"",MIN(O9,P9)-N9)</f>
        <v/>
      </c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1">
        <f>IF(G10="","",G10*(1+H10/100))</f>
        <v/>
      </c>
      <c r="J10" s="10" t="n"/>
      <c r="K10" s="10" t="n"/>
      <c r="L10" s="10" t="n"/>
      <c r="M10" s="10" t="n"/>
      <c r="N10" s="10" t="n"/>
      <c r="O10" s="10" t="n"/>
      <c r="P10" s="10" t="n"/>
      <c r="Q10" s="12">
        <f>IF(OR(O10="",P10=""),"",MIN(O10,P10)-N10)</f>
        <v/>
      </c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1">
        <f>IF(G11="","",G11*(1+H11/100))</f>
        <v/>
      </c>
      <c r="J11" s="10" t="n"/>
      <c r="K11" s="10" t="n"/>
      <c r="L11" s="10" t="n"/>
      <c r="M11" s="10" t="n"/>
      <c r="N11" s="10" t="n"/>
      <c r="O11" s="10" t="n"/>
      <c r="P11" s="10" t="n"/>
      <c r="Q11" s="12">
        <f>IF(OR(O11="",P11=""),"",MIN(O11,P11)-N11)</f>
        <v/>
      </c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1">
        <f>IF(G12="","",G12*(1+H12/100))</f>
        <v/>
      </c>
      <c r="J12" s="10" t="n"/>
      <c r="K12" s="10" t="n"/>
      <c r="L12" s="10" t="n"/>
      <c r="M12" s="10" t="n"/>
      <c r="N12" s="10" t="n"/>
      <c r="O12" s="10" t="n"/>
      <c r="P12" s="10" t="n"/>
      <c r="Q12" s="12">
        <f>IF(OR(O12="",P12=""),"",MIN(O12,P12)-N12)</f>
        <v/>
      </c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1">
        <f>IF(G13="","",G13*(1+H13/100))</f>
        <v/>
      </c>
      <c r="J13" s="10" t="n"/>
      <c r="K13" s="10" t="n"/>
      <c r="L13" s="10" t="n"/>
      <c r="M13" s="10" t="n"/>
      <c r="N13" s="10" t="n"/>
      <c r="O13" s="10" t="n"/>
      <c r="P13" s="10" t="n"/>
      <c r="Q13" s="12">
        <f>IF(OR(O13="",P13=""),"",MIN(O13,P13)-N13)</f>
        <v/>
      </c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1">
        <f>IF(G14="","",G14*(1+H14/100))</f>
        <v/>
      </c>
      <c r="J14" s="10" t="n"/>
      <c r="K14" s="10" t="n"/>
      <c r="L14" s="10" t="n"/>
      <c r="M14" s="10" t="n"/>
      <c r="N14" s="10" t="n"/>
      <c r="O14" s="10" t="n"/>
      <c r="P14" s="10" t="n"/>
      <c r="Q14" s="12">
        <f>IF(OR(O14="",P14=""),"",MIN(O14,P14)-N14)</f>
        <v/>
      </c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1">
        <f>IF(G15="","",G15*(1+H15/100))</f>
        <v/>
      </c>
      <c r="J15" s="10" t="n"/>
      <c r="K15" s="10" t="n"/>
      <c r="L15" s="10" t="n"/>
      <c r="M15" s="10" t="n"/>
      <c r="N15" s="10" t="n"/>
      <c r="O15" s="10" t="n"/>
      <c r="P15" s="10" t="n"/>
      <c r="Q15" s="12">
        <f>IF(OR(O15="",P15=""),"",MIN(O15,P15)-N15)</f>
        <v/>
      </c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1">
        <f>IF(G16="","",G16*(1+H16/100))</f>
        <v/>
      </c>
      <c r="J16" s="10" t="n"/>
      <c r="K16" s="10" t="n"/>
      <c r="L16" s="10" t="n"/>
      <c r="M16" s="10" t="n"/>
      <c r="N16" s="10" t="n"/>
      <c r="O16" s="10" t="n"/>
      <c r="P16" s="10" t="n"/>
      <c r="Q16" s="12">
        <f>IF(OR(O16="",P16=""),"",MIN(O16,P16)-N16)</f>
        <v/>
      </c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1">
        <f>IF(G17="","",G17*(1+H17/100))</f>
        <v/>
      </c>
      <c r="J17" s="10" t="n"/>
      <c r="K17" s="10" t="n"/>
      <c r="L17" s="10" t="n"/>
      <c r="M17" s="10" t="n"/>
      <c r="N17" s="10" t="n"/>
      <c r="O17" s="10" t="n"/>
      <c r="P17" s="10" t="n"/>
      <c r="Q17" s="12">
        <f>IF(OR(O17="",P17=""),"",MIN(O17,P17)-N17)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1">
        <f>IF(G18="","",G18*(1+H18/100))</f>
        <v/>
      </c>
      <c r="J18" s="10" t="n"/>
      <c r="K18" s="10" t="n"/>
      <c r="L18" s="10" t="n"/>
      <c r="M18" s="10" t="n"/>
      <c r="N18" s="10" t="n"/>
      <c r="O18" s="10" t="n"/>
      <c r="P18" s="10" t="n"/>
      <c r="Q18" s="12">
        <f>IF(OR(O18="",P18=""),"",MIN(O18,P18)-N18)</f>
        <v/>
      </c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1">
        <f>IF(G19="","",G19*(1+H19/100))</f>
        <v/>
      </c>
      <c r="J19" s="10" t="n"/>
      <c r="K19" s="10" t="n"/>
      <c r="L19" s="10" t="n"/>
      <c r="M19" s="10" t="n"/>
      <c r="N19" s="10" t="n"/>
      <c r="O19" s="10" t="n"/>
      <c r="P19" s="10" t="n"/>
      <c r="Q19" s="12">
        <f>IF(OR(O19="",P19=""),"",MIN(O19,P19)-N19)</f>
        <v/>
      </c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1">
        <f>IF(G20="","",G20*(1+H20/100))</f>
        <v/>
      </c>
      <c r="J20" s="10" t="n"/>
      <c r="K20" s="10" t="n"/>
      <c r="L20" s="10" t="n"/>
      <c r="M20" s="10" t="n"/>
      <c r="N20" s="10" t="n"/>
      <c r="O20" s="10" t="n"/>
      <c r="P20" s="10" t="n"/>
      <c r="Q20" s="12">
        <f>IF(OR(O20="",P20=""),"",MIN(O20,P20)-N20)</f>
        <v/>
      </c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1">
        <f>IF(G21="","",G21*(1+H21/100))</f>
        <v/>
      </c>
      <c r="J21" s="10" t="n"/>
      <c r="K21" s="10" t="n"/>
      <c r="L21" s="10" t="n"/>
      <c r="M21" s="10" t="n"/>
      <c r="N21" s="10" t="n"/>
      <c r="O21" s="10" t="n"/>
      <c r="P21" s="10" t="n"/>
      <c r="Q21" s="12">
        <f>IF(OR(O21="",P21=""),"",MIN(O21,P21)-N21)</f>
        <v/>
      </c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1">
        <f>IF(G22="","",G22*(1+H22/100))</f>
        <v/>
      </c>
      <c r="J22" s="10" t="n"/>
      <c r="K22" s="10" t="n"/>
      <c r="L22" s="10" t="n"/>
      <c r="M22" s="10" t="n"/>
      <c r="N22" s="10" t="n"/>
      <c r="O22" s="10" t="n"/>
      <c r="P22" s="10" t="n"/>
      <c r="Q22" s="12">
        <f>IF(OR(O22="",P22=""),"",MIN(O22,P22)-N22)</f>
        <v/>
      </c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1">
        <f>IF(G23="","",G23*(1+H23/100))</f>
        <v/>
      </c>
      <c r="J23" s="10" t="n"/>
      <c r="K23" s="10" t="n"/>
      <c r="L23" s="10" t="n"/>
      <c r="M23" s="10" t="n"/>
      <c r="N23" s="10" t="n"/>
      <c r="O23" s="10" t="n"/>
      <c r="P23" s="10" t="n"/>
      <c r="Q23" s="12">
        <f>IF(OR(O23="",P23=""),"",MIN(O23,P23)-N23)</f>
        <v/>
      </c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1">
        <f>IF(G24="","",G24*(1+H24/100))</f>
        <v/>
      </c>
      <c r="J24" s="10" t="n"/>
      <c r="K24" s="10" t="n"/>
      <c r="L24" s="10" t="n"/>
      <c r="M24" s="10" t="n"/>
      <c r="N24" s="10" t="n"/>
      <c r="O24" s="10" t="n"/>
      <c r="P24" s="10" t="n"/>
      <c r="Q24" s="12">
        <f>IF(OR(O24="",P24=""),"",MIN(O24,P24)-N24)</f>
        <v/>
      </c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1">
        <f>IF(G25="","",G25*(1+H25/100))</f>
        <v/>
      </c>
      <c r="J25" s="10" t="n"/>
      <c r="K25" s="10" t="n"/>
      <c r="L25" s="10" t="n"/>
      <c r="M25" s="10" t="n"/>
      <c r="N25" s="10" t="n"/>
      <c r="O25" s="10" t="n"/>
      <c r="P25" s="10" t="n"/>
      <c r="Q25" s="12">
        <f>IF(OR(O25="",P25=""),"",MIN(O25,P25)-N25)</f>
        <v/>
      </c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1">
        <f>IF(G26="","",G26*(1+H26/100))</f>
        <v/>
      </c>
      <c r="J26" s="10" t="n"/>
      <c r="K26" s="10" t="n"/>
      <c r="L26" s="10" t="n"/>
      <c r="M26" s="10" t="n"/>
      <c r="N26" s="10" t="n"/>
      <c r="O26" s="10" t="n"/>
      <c r="P26" s="10" t="n"/>
      <c r="Q26" s="12">
        <f>IF(OR(O26="",P26=""),"",MIN(O26,P26)-N26)</f>
        <v/>
      </c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1">
        <f>IF(G27="","",G27*(1+H27/100))</f>
        <v/>
      </c>
      <c r="J27" s="10" t="n"/>
      <c r="K27" s="10" t="n"/>
      <c r="L27" s="10" t="n"/>
      <c r="M27" s="10" t="n"/>
      <c r="N27" s="10" t="n"/>
      <c r="O27" s="10" t="n"/>
      <c r="P27" s="10" t="n"/>
      <c r="Q27" s="12">
        <f>IF(OR(O27="",P27=""),"",MIN(O27,P27)-N27)</f>
        <v/>
      </c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1">
        <f>IF(G28="","",G28*(1+H28/100))</f>
        <v/>
      </c>
      <c r="J28" s="10" t="n"/>
      <c r="K28" s="10" t="n"/>
      <c r="L28" s="10" t="n"/>
      <c r="M28" s="10" t="n"/>
      <c r="N28" s="10" t="n"/>
      <c r="O28" s="10" t="n"/>
      <c r="P28" s="10" t="n"/>
      <c r="Q28" s="12">
        <f>IF(OR(O28="",P28=""),"",MIN(O28,P28)-N28)</f>
        <v/>
      </c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30">
      <c r="A30" s="13" t="inlineStr">
        <is>
          <t>※ 파란 셀(실소요량, 절약금액)은 수식 자동계산</t>
        </is>
      </c>
    </row>
    <row r="31">
      <c r="A31" s="13" t="inlineStr">
        <is>
          <t>※ 빈 행에 자재 추가 → 수식 자동 적용</t>
        </is>
      </c>
    </row>
  </sheetData>
  <mergeCells count="9">
    <mergeCell ref="R3:U3"/>
    <mergeCell ref="A1:Z1"/>
    <mergeCell ref="J3:Q3"/>
    <mergeCell ref="Y3:Z3"/>
    <mergeCell ref="A31:Z31"/>
    <mergeCell ref="A3:I3"/>
    <mergeCell ref="A2:Z2"/>
    <mergeCell ref="V3:X3"/>
    <mergeCell ref="A30:Z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8936"/>
    <outlinePr summaryBelow="1" summaryRight="1"/>
    <pageSetUpPr/>
  </sheetPr>
  <dimension ref="A1:Z3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5" customWidth="1" min="26" max="26"/>
  </cols>
  <sheetData>
    <row r="1" ht="30" customHeight="1">
      <c r="A1" s="1" t="inlineStr">
        <is>
          <t>타일 자재</t>
        </is>
      </c>
    </row>
    <row r="2">
      <c r="A2" s="2" t="inlineStr">
        <is>
          <t>공정코드: PROC-08 | 자재 + 소요량 + 가격 + 배송 통합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</row>
    <row r="5">
      <c r="A5" s="6" t="inlineStr">
        <is>
          <t>TL-001</t>
        </is>
      </c>
      <c r="B5" s="6" t="inlineStr">
        <is>
          <t>포세린 타일</t>
        </is>
      </c>
      <c r="C5" s="6" t="inlineStr">
        <is>
          <t>600×600</t>
        </is>
      </c>
      <c r="D5" s="6" t="inlineStr">
        <is>
          <t>바닥 마감</t>
        </is>
      </c>
      <c r="E5" s="6" t="inlineStr">
        <is>
          <t>필수</t>
        </is>
      </c>
      <c r="F5" s="6" t="inlineStr">
        <is>
          <t>장</t>
        </is>
      </c>
      <c r="G5" s="7" t="n">
        <v>2.8</v>
      </c>
      <c r="H5" s="6" t="n">
        <v>10</v>
      </c>
      <c r="I5" s="8">
        <f>G5*(1+H5/100)</f>
        <v/>
      </c>
      <c r="J5" s="6" t="inlineStr">
        <is>
          <t>박스(8장)</t>
        </is>
      </c>
      <c r="K5" s="6" t="n">
        <v>8</v>
      </c>
      <c r="L5" s="9" t="n">
        <v>4500</v>
      </c>
      <c r="M5" s="9" t="n">
        <v>5500</v>
      </c>
      <c r="N5" s="9" t="n">
        <v>6200</v>
      </c>
      <c r="O5" s="9" t="n">
        <v>9000</v>
      </c>
      <c r="P5" s="9" t="n">
        <v>8200</v>
      </c>
      <c r="Q5" s="9">
        <f>IF(OR(O5="",P5=""),"",MIN(O5,P5)-N5)</f>
        <v/>
      </c>
      <c r="R5" s="6" t="n">
        <v>25</v>
      </c>
      <c r="S5" s="6" t="inlineStr">
        <is>
          <t>화물</t>
        </is>
      </c>
      <c r="T5" s="6" t="inlineStr">
        <is>
          <t>3~5일</t>
        </is>
      </c>
      <c r="U5" s="6" t="inlineStr">
        <is>
          <t>SUP-002</t>
        </is>
      </c>
      <c r="V5" s="6" t="inlineStr">
        <is>
          <t>Y</t>
        </is>
      </c>
      <c r="W5" s="6" t="inlineStr">
        <is>
          <t>1장</t>
        </is>
      </c>
      <c r="X5" s="6" t="inlineStr">
        <is>
          <t>무료</t>
        </is>
      </c>
      <c r="Y5" s="6" t="inlineStr">
        <is>
          <t>표준</t>
        </is>
      </c>
      <c r="Z5" s="6" t="inlineStr">
        <is>
          <t>내구성 높은 포세린. 욕실/거실 겸용.</t>
        </is>
      </c>
    </row>
    <row r="6">
      <c r="A6" s="6" t="inlineStr">
        <is>
          <t>TL-002</t>
        </is>
      </c>
      <c r="B6" s="6" t="inlineStr">
        <is>
          <t>논슬립 타일</t>
        </is>
      </c>
      <c r="C6" s="6" t="inlineStr">
        <is>
          <t>300×300</t>
        </is>
      </c>
      <c r="D6" s="6" t="inlineStr">
        <is>
          <t>욕실 바닥</t>
        </is>
      </c>
      <c r="E6" s="6" t="inlineStr">
        <is>
          <t>필수</t>
        </is>
      </c>
      <c r="F6" s="6" t="inlineStr">
        <is>
          <t>장</t>
        </is>
      </c>
      <c r="G6" s="7" t="n">
        <v>11.1</v>
      </c>
      <c r="H6" s="6" t="n">
        <v>8</v>
      </c>
      <c r="I6" s="8">
        <f>G6*(1+H6/100)</f>
        <v/>
      </c>
      <c r="J6" s="6" t="inlineStr">
        <is>
          <t>박스(18장)</t>
        </is>
      </c>
      <c r="K6" s="6" t="n">
        <v>18</v>
      </c>
      <c r="L6" s="9" t="n">
        <v>1800</v>
      </c>
      <c r="M6" s="9" t="n">
        <v>2200</v>
      </c>
      <c r="N6" s="9" t="n">
        <v>2500</v>
      </c>
      <c r="O6" s="9" t="n">
        <v>4000</v>
      </c>
      <c r="P6" s="9" t="n">
        <v>3500</v>
      </c>
      <c r="Q6" s="9">
        <f>IF(OR(O6="",P6=""),"",MIN(O6,P6)-N6)</f>
        <v/>
      </c>
      <c r="R6" s="6" t="n">
        <v>20</v>
      </c>
      <c r="S6" s="6" t="inlineStr">
        <is>
          <t>화물</t>
        </is>
      </c>
      <c r="T6" s="6" t="inlineStr">
        <is>
          <t>3~5일</t>
        </is>
      </c>
      <c r="U6" s="6" t="inlineStr">
        <is>
          <t>SUP-002</t>
        </is>
      </c>
      <c r="V6" s="6" t="inlineStr">
        <is>
          <t>Y</t>
        </is>
      </c>
      <c r="W6" s="6" t="inlineStr">
        <is>
          <t>1장</t>
        </is>
      </c>
      <c r="X6" s="6" t="inlineStr">
        <is>
          <t>무료</t>
        </is>
      </c>
      <c r="Y6" s="6" t="inlineStr">
        <is>
          <t>경제</t>
        </is>
      </c>
      <c r="Z6" s="6" t="inlineStr">
        <is>
          <t>미끄럼 방지 타일. 욕실 바닥 필수.</t>
        </is>
      </c>
    </row>
    <row r="7">
      <c r="A7" s="6" t="inlineStr">
        <is>
          <t>TL-003</t>
        </is>
      </c>
      <c r="B7" s="6" t="inlineStr">
        <is>
          <t>대리석 타일</t>
        </is>
      </c>
      <c r="C7" s="6" t="inlineStr">
        <is>
          <t>600×600</t>
        </is>
      </c>
      <c r="D7" s="6" t="inlineStr">
        <is>
          <t>바닥/벽 마감</t>
        </is>
      </c>
      <c r="E7" s="6" t="inlineStr">
        <is>
          <t>필수</t>
        </is>
      </c>
      <c r="F7" s="6" t="inlineStr">
        <is>
          <t>장</t>
        </is>
      </c>
      <c r="G7" s="7" t="n">
        <v>2.8</v>
      </c>
      <c r="H7" s="6" t="n">
        <v>12</v>
      </c>
      <c r="I7" s="8">
        <f>G7*(1+H7/100)</f>
        <v/>
      </c>
      <c r="J7" s="6" t="inlineStr">
        <is>
          <t>박스(6장)</t>
        </is>
      </c>
      <c r="K7" s="6" t="n">
        <v>6</v>
      </c>
      <c r="L7" s="9" t="n">
        <v>12000</v>
      </c>
      <c r="M7" s="9" t="n">
        <v>15000</v>
      </c>
      <c r="N7" s="9" t="n">
        <v>18000</v>
      </c>
      <c r="O7" s="9" t="n">
        <v>28000</v>
      </c>
      <c r="P7" s="9" t="n">
        <v>25000</v>
      </c>
      <c r="Q7" s="9">
        <f>IF(OR(O7="",P7=""),"",MIN(O7,P7)-N7)</f>
        <v/>
      </c>
      <c r="R7" s="6" t="n">
        <v>30</v>
      </c>
      <c r="S7" s="6" t="inlineStr">
        <is>
          <t>화물</t>
        </is>
      </c>
      <c r="T7" s="6" t="inlineStr">
        <is>
          <t>5~7일</t>
        </is>
      </c>
      <c r="U7" s="6" t="inlineStr">
        <is>
          <t>SUP-002</t>
        </is>
      </c>
      <c r="V7" s="6" t="inlineStr">
        <is>
          <t>Y</t>
        </is>
      </c>
      <c r="W7" s="6" t="inlineStr">
        <is>
          <t>1장</t>
        </is>
      </c>
      <c r="X7" s="6" t="inlineStr">
        <is>
          <t>무료</t>
        </is>
      </c>
      <c r="Y7" s="6" t="inlineStr">
        <is>
          <t>프리미엄</t>
        </is>
      </c>
      <c r="Z7" s="6" t="inlineStr">
        <is>
          <t>이탈리아산 대리석 질감. 고급 인테리어.</t>
        </is>
      </c>
    </row>
    <row r="8">
      <c r="A8" s="6" t="inlineStr">
        <is>
          <t>BA-001</t>
        </is>
      </c>
      <c r="B8" s="6" t="inlineStr">
        <is>
          <t>타일 본드</t>
        </is>
      </c>
      <c r="C8" s="6" t="inlineStr">
        <is>
          <t>20kg</t>
        </is>
      </c>
      <c r="D8" s="6" t="inlineStr">
        <is>
          <t>접착</t>
        </is>
      </c>
      <c r="E8" s="6" t="inlineStr">
        <is>
          <t>필수</t>
        </is>
      </c>
      <c r="F8" s="6" t="inlineStr">
        <is>
          <t>kg</t>
        </is>
      </c>
      <c r="G8" s="7" t="n">
        <v>4.5</v>
      </c>
      <c r="H8" s="6" t="n">
        <v>5</v>
      </c>
      <c r="I8" s="8">
        <f>G8*(1+H8/100)</f>
        <v/>
      </c>
      <c r="J8" s="6" t="inlineStr">
        <is>
          <t>포(20kg)</t>
        </is>
      </c>
      <c r="K8" s="6" t="n">
        <v>20</v>
      </c>
      <c r="L8" s="9" t="n">
        <v>8000</v>
      </c>
      <c r="M8" s="9" t="n">
        <v>10000</v>
      </c>
      <c r="N8" s="9" t="n">
        <v>12000</v>
      </c>
      <c r="O8" s="9" t="n">
        <v>18000</v>
      </c>
      <c r="P8" s="9" t="n">
        <v>15000</v>
      </c>
      <c r="Q8" s="9">
        <f>IF(OR(O8="",P8=""),"",MIN(O8,P8)-N8)</f>
        <v/>
      </c>
      <c r="R8" s="6" t="n">
        <v>20</v>
      </c>
      <c r="S8" s="6" t="inlineStr">
        <is>
          <t>화물</t>
        </is>
      </c>
      <c r="T8" s="6" t="inlineStr">
        <is>
          <t>2~3일</t>
        </is>
      </c>
      <c r="U8" s="6" t="inlineStr">
        <is>
          <t>SUP-002</t>
        </is>
      </c>
      <c r="V8" s="6" t="inlineStr">
        <is>
          <t>N</t>
        </is>
      </c>
      <c r="W8" s="6" t="inlineStr">
        <is>
          <t>—</t>
        </is>
      </c>
      <c r="X8" s="6" t="inlineStr">
        <is>
          <t>—</t>
        </is>
      </c>
      <c r="Y8" s="6" t="inlineStr">
        <is>
          <t>표준</t>
        </is>
      </c>
      <c r="Z8" s="6" t="inlineStr">
        <is>
          <t>시멘트 기반 타일 접착제.</t>
        </is>
      </c>
    </row>
    <row r="9">
      <c r="A9" s="6" t="inlineStr">
        <is>
          <t>GR-001</t>
        </is>
      </c>
      <c r="B9" s="6" t="inlineStr">
        <is>
          <t>줄눈재</t>
        </is>
      </c>
      <c r="C9" s="6" t="inlineStr">
        <is>
          <t>5kg</t>
        </is>
      </c>
      <c r="D9" s="6" t="inlineStr">
        <is>
          <t>줄눈 마감</t>
        </is>
      </c>
      <c r="E9" s="6" t="inlineStr">
        <is>
          <t>필수</t>
        </is>
      </c>
      <c r="F9" s="6" t="inlineStr">
        <is>
          <t>kg</t>
        </is>
      </c>
      <c r="G9" s="7" t="n">
        <v>0.5</v>
      </c>
      <c r="H9" s="6" t="n">
        <v>10</v>
      </c>
      <c r="I9" s="8">
        <f>G9*(1+H9/100)</f>
        <v/>
      </c>
      <c r="J9" s="6" t="inlineStr">
        <is>
          <t>포(5kg)</t>
        </is>
      </c>
      <c r="K9" s="6" t="n">
        <v>5</v>
      </c>
      <c r="L9" s="9" t="n">
        <v>4000</v>
      </c>
      <c r="M9" s="9" t="n">
        <v>5000</v>
      </c>
      <c r="N9" s="9" t="n">
        <v>6000</v>
      </c>
      <c r="O9" s="9" t="n">
        <v>9000</v>
      </c>
      <c r="P9" s="9" t="n">
        <v>8000</v>
      </c>
      <c r="Q9" s="9">
        <f>IF(OR(O9="",P9=""),"",MIN(O9,P9)-N9)</f>
        <v/>
      </c>
      <c r="R9" s="6" t="n">
        <v>5</v>
      </c>
      <c r="S9" s="6" t="inlineStr">
        <is>
          <t>택배</t>
        </is>
      </c>
      <c r="T9" s="6" t="inlineStr">
        <is>
          <t>1~2일</t>
        </is>
      </c>
      <c r="U9" s="6" t="inlineStr">
        <is>
          <t>SUP-002</t>
        </is>
      </c>
      <c r="V9" s="6" t="inlineStr">
        <is>
          <t>N</t>
        </is>
      </c>
      <c r="W9" s="6" t="inlineStr">
        <is>
          <t>—</t>
        </is>
      </c>
      <c r="X9" s="6" t="inlineStr">
        <is>
          <t>—</t>
        </is>
      </c>
      <c r="Y9" s="6" t="inlineStr">
        <is>
          <t>표준</t>
        </is>
      </c>
      <c r="Z9" s="6" t="inlineStr">
        <is>
          <t>백색/그레이. 무기질 줄눈재.</t>
        </is>
      </c>
    </row>
    <row r="10">
      <c r="A10" s="6" t="inlineStr">
        <is>
          <t>TL-SP-001</t>
        </is>
      </c>
      <c r="B10" s="6" t="inlineStr">
        <is>
          <t>십자 스페이서</t>
        </is>
      </c>
      <c r="C10" s="6" t="inlineStr">
        <is>
          <t>2mm</t>
        </is>
      </c>
      <c r="D10" s="6" t="inlineStr">
        <is>
          <t>줄눈 간격</t>
        </is>
      </c>
      <c r="E10" s="6" t="inlineStr">
        <is>
          <t>필수</t>
        </is>
      </c>
      <c r="F10" s="6" t="inlineStr">
        <is>
          <t>개</t>
        </is>
      </c>
      <c r="G10" s="7" t="n">
        <v>8</v>
      </c>
      <c r="H10" s="6" t="n">
        <v>20</v>
      </c>
      <c r="I10" s="8">
        <f>G10*(1+H10/100)</f>
        <v/>
      </c>
      <c r="J10" s="6" t="inlineStr">
        <is>
          <t>봉(100개)</t>
        </is>
      </c>
      <c r="K10" s="6" t="n">
        <v>100</v>
      </c>
      <c r="L10" s="9" t="n">
        <v>1500</v>
      </c>
      <c r="M10" s="9" t="n">
        <v>2000</v>
      </c>
      <c r="N10" s="9" t="n">
        <v>2500</v>
      </c>
      <c r="O10" s="9" t="n">
        <v>4000</v>
      </c>
      <c r="P10" s="9" t="n">
        <v>3000</v>
      </c>
      <c r="Q10" s="9">
        <f>IF(OR(O10="",P10=""),"",MIN(O10,P10)-N10)</f>
        <v/>
      </c>
      <c r="R10" s="6" t="n">
        <v>0.5</v>
      </c>
      <c r="S10" s="6" t="inlineStr">
        <is>
          <t>택배</t>
        </is>
      </c>
      <c r="T10" s="6" t="inlineStr">
        <is>
          <t>1~2일</t>
        </is>
      </c>
      <c r="U10" s="6" t="inlineStr">
        <is>
          <t>SUP-002</t>
        </is>
      </c>
      <c r="V10" s="6" t="inlineStr">
        <is>
          <t>N</t>
        </is>
      </c>
      <c r="W10" s="6" t="inlineStr">
        <is>
          <t>—</t>
        </is>
      </c>
      <c r="X10" s="6" t="inlineStr">
        <is>
          <t>—</t>
        </is>
      </c>
      <c r="Y10" s="6" t="inlineStr">
        <is>
          <t>표준</t>
        </is>
      </c>
      <c r="Z10" s="6" t="inlineStr">
        <is>
          <t>2mm 줄눈 간격 유지용.</t>
        </is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1">
        <f>IF(G11="","",G11*(1+H11/100))</f>
        <v/>
      </c>
      <c r="J11" s="10" t="n"/>
      <c r="K11" s="10" t="n"/>
      <c r="L11" s="10" t="n"/>
      <c r="M11" s="10" t="n"/>
      <c r="N11" s="10" t="n"/>
      <c r="O11" s="10" t="n"/>
      <c r="P11" s="10" t="n"/>
      <c r="Q11" s="12">
        <f>IF(OR(O11="",P11=""),"",MIN(O11,P11)-N11)</f>
        <v/>
      </c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1">
        <f>IF(G12="","",G12*(1+H12/100))</f>
        <v/>
      </c>
      <c r="J12" s="10" t="n"/>
      <c r="K12" s="10" t="n"/>
      <c r="L12" s="10" t="n"/>
      <c r="M12" s="10" t="n"/>
      <c r="N12" s="10" t="n"/>
      <c r="O12" s="10" t="n"/>
      <c r="P12" s="10" t="n"/>
      <c r="Q12" s="12">
        <f>IF(OR(O12="",P12=""),"",MIN(O12,P12)-N12)</f>
        <v/>
      </c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1">
        <f>IF(G13="","",G13*(1+H13/100))</f>
        <v/>
      </c>
      <c r="J13" s="10" t="n"/>
      <c r="K13" s="10" t="n"/>
      <c r="L13" s="10" t="n"/>
      <c r="M13" s="10" t="n"/>
      <c r="N13" s="10" t="n"/>
      <c r="O13" s="10" t="n"/>
      <c r="P13" s="10" t="n"/>
      <c r="Q13" s="12">
        <f>IF(OR(O13="",P13=""),"",MIN(O13,P13)-N13)</f>
        <v/>
      </c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1">
        <f>IF(G14="","",G14*(1+H14/100))</f>
        <v/>
      </c>
      <c r="J14" s="10" t="n"/>
      <c r="K14" s="10" t="n"/>
      <c r="L14" s="10" t="n"/>
      <c r="M14" s="10" t="n"/>
      <c r="N14" s="10" t="n"/>
      <c r="O14" s="10" t="n"/>
      <c r="P14" s="10" t="n"/>
      <c r="Q14" s="12">
        <f>IF(OR(O14="",P14=""),"",MIN(O14,P14)-N14)</f>
        <v/>
      </c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1">
        <f>IF(G15="","",G15*(1+H15/100))</f>
        <v/>
      </c>
      <c r="J15" s="10" t="n"/>
      <c r="K15" s="10" t="n"/>
      <c r="L15" s="10" t="n"/>
      <c r="M15" s="10" t="n"/>
      <c r="N15" s="10" t="n"/>
      <c r="O15" s="10" t="n"/>
      <c r="P15" s="10" t="n"/>
      <c r="Q15" s="12">
        <f>IF(OR(O15="",P15=""),"",MIN(O15,P15)-N15)</f>
        <v/>
      </c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1">
        <f>IF(G16="","",G16*(1+H16/100))</f>
        <v/>
      </c>
      <c r="J16" s="10" t="n"/>
      <c r="K16" s="10" t="n"/>
      <c r="L16" s="10" t="n"/>
      <c r="M16" s="10" t="n"/>
      <c r="N16" s="10" t="n"/>
      <c r="O16" s="10" t="n"/>
      <c r="P16" s="10" t="n"/>
      <c r="Q16" s="12">
        <f>IF(OR(O16="",P16=""),"",MIN(O16,P16)-N16)</f>
        <v/>
      </c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1">
        <f>IF(G17="","",G17*(1+H17/100))</f>
        <v/>
      </c>
      <c r="J17" s="10" t="n"/>
      <c r="K17" s="10" t="n"/>
      <c r="L17" s="10" t="n"/>
      <c r="M17" s="10" t="n"/>
      <c r="N17" s="10" t="n"/>
      <c r="O17" s="10" t="n"/>
      <c r="P17" s="10" t="n"/>
      <c r="Q17" s="12">
        <f>IF(OR(O17="",P17=""),"",MIN(O17,P17)-N17)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1">
        <f>IF(G18="","",G18*(1+H18/100))</f>
        <v/>
      </c>
      <c r="J18" s="10" t="n"/>
      <c r="K18" s="10" t="n"/>
      <c r="L18" s="10" t="n"/>
      <c r="M18" s="10" t="n"/>
      <c r="N18" s="10" t="n"/>
      <c r="O18" s="10" t="n"/>
      <c r="P18" s="10" t="n"/>
      <c r="Q18" s="12">
        <f>IF(OR(O18="",P18=""),"",MIN(O18,P18)-N18)</f>
        <v/>
      </c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1">
        <f>IF(G19="","",G19*(1+H19/100))</f>
        <v/>
      </c>
      <c r="J19" s="10" t="n"/>
      <c r="K19" s="10" t="n"/>
      <c r="L19" s="10" t="n"/>
      <c r="M19" s="10" t="n"/>
      <c r="N19" s="10" t="n"/>
      <c r="O19" s="10" t="n"/>
      <c r="P19" s="10" t="n"/>
      <c r="Q19" s="12">
        <f>IF(OR(O19="",P19=""),"",MIN(O19,P19)-N19)</f>
        <v/>
      </c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1">
        <f>IF(G20="","",G20*(1+H20/100))</f>
        <v/>
      </c>
      <c r="J20" s="10" t="n"/>
      <c r="K20" s="10" t="n"/>
      <c r="L20" s="10" t="n"/>
      <c r="M20" s="10" t="n"/>
      <c r="N20" s="10" t="n"/>
      <c r="O20" s="10" t="n"/>
      <c r="P20" s="10" t="n"/>
      <c r="Q20" s="12">
        <f>IF(OR(O20="",P20=""),"",MIN(O20,P20)-N20)</f>
        <v/>
      </c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1">
        <f>IF(G21="","",G21*(1+H21/100))</f>
        <v/>
      </c>
      <c r="J21" s="10" t="n"/>
      <c r="K21" s="10" t="n"/>
      <c r="L21" s="10" t="n"/>
      <c r="M21" s="10" t="n"/>
      <c r="N21" s="10" t="n"/>
      <c r="O21" s="10" t="n"/>
      <c r="P21" s="10" t="n"/>
      <c r="Q21" s="12">
        <f>IF(OR(O21="",P21=""),"",MIN(O21,P21)-N21)</f>
        <v/>
      </c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1">
        <f>IF(G22="","",G22*(1+H22/100))</f>
        <v/>
      </c>
      <c r="J22" s="10" t="n"/>
      <c r="K22" s="10" t="n"/>
      <c r="L22" s="10" t="n"/>
      <c r="M22" s="10" t="n"/>
      <c r="N22" s="10" t="n"/>
      <c r="O22" s="10" t="n"/>
      <c r="P22" s="10" t="n"/>
      <c r="Q22" s="12">
        <f>IF(OR(O22="",P22=""),"",MIN(O22,P22)-N22)</f>
        <v/>
      </c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1">
        <f>IF(G23="","",G23*(1+H23/100))</f>
        <v/>
      </c>
      <c r="J23" s="10" t="n"/>
      <c r="K23" s="10" t="n"/>
      <c r="L23" s="10" t="n"/>
      <c r="M23" s="10" t="n"/>
      <c r="N23" s="10" t="n"/>
      <c r="O23" s="10" t="n"/>
      <c r="P23" s="10" t="n"/>
      <c r="Q23" s="12">
        <f>IF(OR(O23="",P23=""),"",MIN(O23,P23)-N23)</f>
        <v/>
      </c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1">
        <f>IF(G24="","",G24*(1+H24/100))</f>
        <v/>
      </c>
      <c r="J24" s="10" t="n"/>
      <c r="K24" s="10" t="n"/>
      <c r="L24" s="10" t="n"/>
      <c r="M24" s="10" t="n"/>
      <c r="N24" s="10" t="n"/>
      <c r="O24" s="10" t="n"/>
      <c r="P24" s="10" t="n"/>
      <c r="Q24" s="12">
        <f>IF(OR(O24="",P24=""),"",MIN(O24,P24)-N24)</f>
        <v/>
      </c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1">
        <f>IF(G25="","",G25*(1+H25/100))</f>
        <v/>
      </c>
      <c r="J25" s="10" t="n"/>
      <c r="K25" s="10" t="n"/>
      <c r="L25" s="10" t="n"/>
      <c r="M25" s="10" t="n"/>
      <c r="N25" s="10" t="n"/>
      <c r="O25" s="10" t="n"/>
      <c r="P25" s="10" t="n"/>
      <c r="Q25" s="12">
        <f>IF(OR(O25="",P25=""),"",MIN(O25,P25)-N25)</f>
        <v/>
      </c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1">
        <f>IF(G26="","",G26*(1+H26/100))</f>
        <v/>
      </c>
      <c r="J26" s="10" t="n"/>
      <c r="K26" s="10" t="n"/>
      <c r="L26" s="10" t="n"/>
      <c r="M26" s="10" t="n"/>
      <c r="N26" s="10" t="n"/>
      <c r="O26" s="10" t="n"/>
      <c r="P26" s="10" t="n"/>
      <c r="Q26" s="12">
        <f>IF(OR(O26="",P26=""),"",MIN(O26,P26)-N26)</f>
        <v/>
      </c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1">
        <f>IF(G27="","",G27*(1+H27/100))</f>
        <v/>
      </c>
      <c r="J27" s="10" t="n"/>
      <c r="K27" s="10" t="n"/>
      <c r="L27" s="10" t="n"/>
      <c r="M27" s="10" t="n"/>
      <c r="N27" s="10" t="n"/>
      <c r="O27" s="10" t="n"/>
      <c r="P27" s="10" t="n"/>
      <c r="Q27" s="12">
        <f>IF(OR(O27="",P27=""),"",MIN(O27,P27)-N27)</f>
        <v/>
      </c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1">
        <f>IF(G28="","",G28*(1+H28/100))</f>
        <v/>
      </c>
      <c r="J28" s="10" t="n"/>
      <c r="K28" s="10" t="n"/>
      <c r="L28" s="10" t="n"/>
      <c r="M28" s="10" t="n"/>
      <c r="N28" s="10" t="n"/>
      <c r="O28" s="10" t="n"/>
      <c r="P28" s="10" t="n"/>
      <c r="Q28" s="12">
        <f>IF(OR(O28="",P28=""),"",MIN(O28,P28)-N28)</f>
        <v/>
      </c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1">
        <f>IF(G29="","",G29*(1+H29/100))</f>
        <v/>
      </c>
      <c r="J29" s="10" t="n"/>
      <c r="K29" s="10" t="n"/>
      <c r="L29" s="10" t="n"/>
      <c r="M29" s="10" t="n"/>
      <c r="N29" s="10" t="n"/>
      <c r="O29" s="10" t="n"/>
      <c r="P29" s="10" t="n"/>
      <c r="Q29" s="12">
        <f>IF(OR(O29="",P29=""),"",MIN(O29,P29)-N29)</f>
        <v/>
      </c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1">
        <f>IF(G30="","",G30*(1+H30/100))</f>
        <v/>
      </c>
      <c r="J30" s="10" t="n"/>
      <c r="K30" s="10" t="n"/>
      <c r="L30" s="10" t="n"/>
      <c r="M30" s="10" t="n"/>
      <c r="N30" s="10" t="n"/>
      <c r="O30" s="10" t="n"/>
      <c r="P30" s="10" t="n"/>
      <c r="Q30" s="12">
        <f>IF(OR(O30="",P30=""),"",MIN(O30,P30)-N30)</f>
        <v/>
      </c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2">
      <c r="A32" s="13" t="inlineStr">
        <is>
          <t>※ 파란 셀(실소요량, 절약금액)은 수식 자동계산</t>
        </is>
      </c>
    </row>
    <row r="33">
      <c r="A33" s="13" t="inlineStr">
        <is>
          <t>※ 빈 행에 자재 추가 → 수식 자동 적용</t>
        </is>
      </c>
    </row>
  </sheetData>
  <mergeCells count="9">
    <mergeCell ref="R3:U3"/>
    <mergeCell ref="A32:Z32"/>
    <mergeCell ref="A1:Z1"/>
    <mergeCell ref="J3:Q3"/>
    <mergeCell ref="Y3:Z3"/>
    <mergeCell ref="A3:I3"/>
    <mergeCell ref="A2:Z2"/>
    <mergeCell ref="V3:X3"/>
    <mergeCell ref="A33:Z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8BB78"/>
    <outlinePr summaryBelow="1" summaryRight="1"/>
    <pageSetUpPr/>
  </sheetPr>
  <dimension ref="A1:Z3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5" customWidth="1" min="26" max="26"/>
  </cols>
  <sheetData>
    <row r="1" ht="30" customHeight="1">
      <c r="A1" s="1" t="inlineStr">
        <is>
          <t>도장 자재</t>
        </is>
      </c>
    </row>
    <row r="2">
      <c r="A2" s="2" t="inlineStr">
        <is>
          <t>공정코드: PROC-09 | 자재 + 소요량 + 가격 + 배송 통합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</row>
    <row r="5">
      <c r="A5" s="6" t="inlineStr">
        <is>
          <t>PT-001</t>
        </is>
      </c>
      <c r="B5" s="6" t="inlineStr">
        <is>
          <t>수성 페인트 (백색)</t>
        </is>
      </c>
      <c r="C5" s="6" t="inlineStr">
        <is>
          <t>18L</t>
        </is>
      </c>
      <c r="D5" s="6" t="inlineStr">
        <is>
          <t>벽면/천장 도장</t>
        </is>
      </c>
      <c r="E5" s="6" t="inlineStr">
        <is>
          <t>필수</t>
        </is>
      </c>
      <c r="F5" s="6" t="inlineStr">
        <is>
          <t>L</t>
        </is>
      </c>
      <c r="G5" s="7" t="n">
        <v>0.15</v>
      </c>
      <c r="H5" s="6" t="n">
        <v>5</v>
      </c>
      <c r="I5" s="8">
        <f>G5*(1+H5/100)</f>
        <v/>
      </c>
      <c r="J5" s="6" t="inlineStr">
        <is>
          <t>통(18L)</t>
        </is>
      </c>
      <c r="K5" s="6" t="n">
        <v>18</v>
      </c>
      <c r="L5" s="9" t="n">
        <v>45000</v>
      </c>
      <c r="M5" s="9" t="n">
        <v>55000</v>
      </c>
      <c r="N5" s="9" t="n">
        <v>62000</v>
      </c>
      <c r="O5" s="9" t="n">
        <v>85000</v>
      </c>
      <c r="P5" s="9" t="n">
        <v>78000</v>
      </c>
      <c r="Q5" s="9">
        <f>IF(OR(O5="",P5=""),"",MIN(O5,P5)-N5)</f>
        <v/>
      </c>
      <c r="R5" s="6" t="n">
        <v>22</v>
      </c>
      <c r="S5" s="6" t="inlineStr">
        <is>
          <t>화물</t>
        </is>
      </c>
      <c r="T5" s="6" t="inlineStr">
        <is>
          <t>2~3일</t>
        </is>
      </c>
      <c r="U5" s="6" t="inlineStr">
        <is>
          <t>SUP-003</t>
        </is>
      </c>
      <c r="V5" s="6" t="inlineStr">
        <is>
          <t>Y</t>
        </is>
      </c>
      <c r="W5" s="6" t="inlineStr">
        <is>
          <t>100ml</t>
        </is>
      </c>
      <c r="X5" s="6" t="inlineStr">
        <is>
          <t>무료</t>
        </is>
      </c>
      <c r="Y5" s="6" t="inlineStr">
        <is>
          <t>표준</t>
        </is>
      </c>
      <c r="Z5" s="6" t="inlineStr">
        <is>
          <t>KCC 수성 페인트. 2회 도장 기준.</t>
        </is>
      </c>
    </row>
    <row r="6">
      <c r="A6" s="6" t="inlineStr">
        <is>
          <t>PT-002</t>
        </is>
      </c>
      <c r="B6" s="6" t="inlineStr">
        <is>
          <t>수성 페인트 (컬러)</t>
        </is>
      </c>
      <c r="C6" s="6" t="inlineStr">
        <is>
          <t>4L</t>
        </is>
      </c>
      <c r="D6" s="6" t="inlineStr">
        <is>
          <t>벽면 포인트</t>
        </is>
      </c>
      <c r="E6" s="6" t="inlineStr">
        <is>
          <t>선택</t>
        </is>
      </c>
      <c r="F6" s="6" t="inlineStr">
        <is>
          <t>L</t>
        </is>
      </c>
      <c r="G6" s="7" t="n">
        <v>0.15</v>
      </c>
      <c r="H6" s="6" t="n">
        <v>5</v>
      </c>
      <c r="I6" s="8">
        <f>G6*(1+H6/100)</f>
        <v/>
      </c>
      <c r="J6" s="6" t="inlineStr">
        <is>
          <t>캔(4L)</t>
        </is>
      </c>
      <c r="K6" s="6" t="n">
        <v>4</v>
      </c>
      <c r="L6" s="9" t="n">
        <v>18000</v>
      </c>
      <c r="M6" s="9" t="n">
        <v>22000</v>
      </c>
      <c r="N6" s="9" t="n">
        <v>25000</v>
      </c>
      <c r="O6" s="9" t="n">
        <v>35000</v>
      </c>
      <c r="P6" s="9" t="n">
        <v>32000</v>
      </c>
      <c r="Q6" s="9">
        <f>IF(OR(O6="",P6=""),"",MIN(O6,P6)-N6)</f>
        <v/>
      </c>
      <c r="R6" s="6" t="n">
        <v>5</v>
      </c>
      <c r="S6" s="6" t="inlineStr">
        <is>
          <t>택배</t>
        </is>
      </c>
      <c r="T6" s="6" t="inlineStr">
        <is>
          <t>1~2일</t>
        </is>
      </c>
      <c r="U6" s="6" t="inlineStr">
        <is>
          <t>SUP-003</t>
        </is>
      </c>
      <c r="V6" s="6" t="inlineStr">
        <is>
          <t>Y</t>
        </is>
      </c>
      <c r="W6" s="6" t="inlineStr">
        <is>
          <t>100ml</t>
        </is>
      </c>
      <c r="X6" s="6" t="inlineStr">
        <is>
          <t>무료</t>
        </is>
      </c>
      <c r="Y6" s="6" t="inlineStr">
        <is>
          <t>표준</t>
        </is>
      </c>
      <c r="Z6" s="6" t="inlineStr">
        <is>
          <t>포인트 벽 컬러. 조색 가능.</t>
        </is>
      </c>
    </row>
    <row r="7">
      <c r="A7" s="6" t="inlineStr">
        <is>
          <t>PT-003</t>
        </is>
      </c>
      <c r="B7" s="6" t="inlineStr">
        <is>
          <t>퍼티</t>
        </is>
      </c>
      <c r="C7" s="6" t="inlineStr">
        <is>
          <t>10kg</t>
        </is>
      </c>
      <c r="D7" s="6" t="inlineStr">
        <is>
          <t>면 고르기</t>
        </is>
      </c>
      <c r="E7" s="6" t="inlineStr">
        <is>
          <t>필수</t>
        </is>
      </c>
      <c r="F7" s="6" t="inlineStr">
        <is>
          <t>kg</t>
        </is>
      </c>
      <c r="G7" s="7" t="n">
        <v>0.3</v>
      </c>
      <c r="H7" s="6" t="n">
        <v>10</v>
      </c>
      <c r="I7" s="8">
        <f>G7*(1+H7/100)</f>
        <v/>
      </c>
      <c r="J7" s="6" t="inlineStr">
        <is>
          <t>포(10kg)</t>
        </is>
      </c>
      <c r="K7" s="6" t="n">
        <v>10</v>
      </c>
      <c r="L7" s="9" t="n">
        <v>6000</v>
      </c>
      <c r="M7" s="9" t="n">
        <v>8000</v>
      </c>
      <c r="N7" s="9" t="n">
        <v>10000</v>
      </c>
      <c r="O7" s="9" t="n">
        <v>15000</v>
      </c>
      <c r="P7" s="9" t="n">
        <v>12000</v>
      </c>
      <c r="Q7" s="9">
        <f>IF(OR(O7="",P7=""),"",MIN(O7,P7)-N7)</f>
        <v/>
      </c>
      <c r="R7" s="6" t="n">
        <v>10</v>
      </c>
      <c r="S7" s="6" t="inlineStr">
        <is>
          <t>택배</t>
        </is>
      </c>
      <c r="T7" s="6" t="inlineStr">
        <is>
          <t>1~2일</t>
        </is>
      </c>
      <c r="U7" s="6" t="inlineStr">
        <is>
          <t>SUP-003</t>
        </is>
      </c>
      <c r="V7" s="6" t="inlineStr">
        <is>
          <t>N</t>
        </is>
      </c>
      <c r="W7" s="6" t="inlineStr">
        <is>
          <t>—</t>
        </is>
      </c>
      <c r="X7" s="6" t="inlineStr">
        <is>
          <t>—</t>
        </is>
      </c>
      <c r="Y7" s="6" t="inlineStr">
        <is>
          <t>표준</t>
        </is>
      </c>
      <c r="Z7" s="6" t="inlineStr">
        <is>
          <t>벽면 평활 작업용 퍼티.</t>
        </is>
      </c>
    </row>
    <row r="8">
      <c r="A8" s="6" t="inlineStr">
        <is>
          <t>PT-004</t>
        </is>
      </c>
      <c r="B8" s="6" t="inlineStr">
        <is>
          <t>사포</t>
        </is>
      </c>
      <c r="C8" s="6" t="inlineStr">
        <is>
          <t>P180</t>
        </is>
      </c>
      <c r="D8" s="6" t="inlineStr">
        <is>
          <t>면 정리</t>
        </is>
      </c>
      <c r="E8" s="6" t="inlineStr">
        <is>
          <t>필수</t>
        </is>
      </c>
      <c r="F8" s="6" t="inlineStr">
        <is>
          <t>장</t>
        </is>
      </c>
      <c r="G8" s="7" t="n">
        <v>0.3</v>
      </c>
      <c r="H8" s="6" t="n">
        <v>30</v>
      </c>
      <c r="I8" s="8">
        <f>G8*(1+H8/100)</f>
        <v/>
      </c>
      <c r="J8" s="6" t="inlineStr">
        <is>
          <t>묶음(50장)</t>
        </is>
      </c>
      <c r="K8" s="6" t="n">
        <v>50</v>
      </c>
      <c r="L8" s="9" t="n">
        <v>100</v>
      </c>
      <c r="M8" s="9" t="n">
        <v>150</v>
      </c>
      <c r="N8" s="9" t="n">
        <v>200</v>
      </c>
      <c r="O8" s="9" t="n">
        <v>300</v>
      </c>
      <c r="P8" s="9" t="n">
        <v>250</v>
      </c>
      <c r="Q8" s="9">
        <f>IF(OR(O8="",P8=""),"",MIN(O8,P8)-N8)</f>
        <v/>
      </c>
      <c r="R8" s="6" t="n">
        <v>0.5</v>
      </c>
      <c r="S8" s="6" t="inlineStr">
        <is>
          <t>택배</t>
        </is>
      </c>
      <c r="T8" s="6" t="inlineStr">
        <is>
          <t>1~2일</t>
        </is>
      </c>
      <c r="U8" s="6" t="inlineStr">
        <is>
          <t>SUP-003</t>
        </is>
      </c>
      <c r="V8" s="6" t="inlineStr">
        <is>
          <t>N</t>
        </is>
      </c>
      <c r="W8" s="6" t="inlineStr">
        <is>
          <t>—</t>
        </is>
      </c>
      <c r="X8" s="6" t="inlineStr">
        <is>
          <t>—</t>
        </is>
      </c>
      <c r="Y8" s="6" t="inlineStr">
        <is>
          <t>표준</t>
        </is>
      </c>
      <c r="Z8" s="6" t="inlineStr">
        <is>
          <t>퍼티 후 면 정리용 사포.</t>
        </is>
      </c>
    </row>
    <row r="9">
      <c r="A9" s="6" t="inlineStr">
        <is>
          <t>PT-005</t>
        </is>
      </c>
      <c r="B9" s="6" t="inlineStr">
        <is>
          <t>마스킹 테이프</t>
        </is>
      </c>
      <c r="C9" s="6" t="inlineStr">
        <is>
          <t>24mm×40m</t>
        </is>
      </c>
      <c r="D9" s="6" t="inlineStr">
        <is>
          <t>양생</t>
        </is>
      </c>
      <c r="E9" s="6" t="inlineStr">
        <is>
          <t>필수</t>
        </is>
      </c>
      <c r="F9" s="6" t="inlineStr">
        <is>
          <t>롤</t>
        </is>
      </c>
      <c r="G9" s="7" t="n">
        <v>0.1</v>
      </c>
      <c r="H9" s="6" t="n">
        <v>20</v>
      </c>
      <c r="I9" s="8">
        <f>G9*(1+H9/100)</f>
        <v/>
      </c>
      <c r="J9" s="6" t="inlineStr">
        <is>
          <t>롤(1개)</t>
        </is>
      </c>
      <c r="K9" s="6" t="n">
        <v>1</v>
      </c>
      <c r="L9" s="9" t="n">
        <v>1500</v>
      </c>
      <c r="M9" s="9" t="n">
        <v>2000</v>
      </c>
      <c r="N9" s="9" t="n">
        <v>2500</v>
      </c>
      <c r="O9" s="9" t="n">
        <v>3500</v>
      </c>
      <c r="P9" s="9" t="n">
        <v>3000</v>
      </c>
      <c r="Q9" s="9">
        <f>IF(OR(O9="",P9=""),"",MIN(O9,P9)-N9)</f>
        <v/>
      </c>
      <c r="R9" s="6" t="n">
        <v>0.1</v>
      </c>
      <c r="S9" s="6" t="inlineStr">
        <is>
          <t>택배</t>
        </is>
      </c>
      <c r="T9" s="6" t="inlineStr">
        <is>
          <t>1~2일</t>
        </is>
      </c>
      <c r="U9" s="6" t="inlineStr">
        <is>
          <t>SUP-003</t>
        </is>
      </c>
      <c r="V9" s="6" t="inlineStr">
        <is>
          <t>N</t>
        </is>
      </c>
      <c r="W9" s="6" t="inlineStr">
        <is>
          <t>—</t>
        </is>
      </c>
      <c r="X9" s="6" t="inlineStr">
        <is>
          <t>—</t>
        </is>
      </c>
      <c r="Y9" s="6" t="inlineStr">
        <is>
          <t>표준</t>
        </is>
      </c>
      <c r="Z9" s="6" t="inlineStr">
        <is>
          <t>도장 경계 양생용.</t>
        </is>
      </c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1">
        <f>IF(G10="","",G10*(1+H10/100))</f>
        <v/>
      </c>
      <c r="J10" s="10" t="n"/>
      <c r="K10" s="10" t="n"/>
      <c r="L10" s="10" t="n"/>
      <c r="M10" s="10" t="n"/>
      <c r="N10" s="10" t="n"/>
      <c r="O10" s="10" t="n"/>
      <c r="P10" s="10" t="n"/>
      <c r="Q10" s="12">
        <f>IF(OR(O10="",P10=""),"",MIN(O10,P10)-N10)</f>
        <v/>
      </c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1">
        <f>IF(G11="","",G11*(1+H11/100))</f>
        <v/>
      </c>
      <c r="J11" s="10" t="n"/>
      <c r="K11" s="10" t="n"/>
      <c r="L11" s="10" t="n"/>
      <c r="M11" s="10" t="n"/>
      <c r="N11" s="10" t="n"/>
      <c r="O11" s="10" t="n"/>
      <c r="P11" s="10" t="n"/>
      <c r="Q11" s="12">
        <f>IF(OR(O11="",P11=""),"",MIN(O11,P11)-N11)</f>
        <v/>
      </c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1">
        <f>IF(G12="","",G12*(1+H12/100))</f>
        <v/>
      </c>
      <c r="J12" s="10" t="n"/>
      <c r="K12" s="10" t="n"/>
      <c r="L12" s="10" t="n"/>
      <c r="M12" s="10" t="n"/>
      <c r="N12" s="10" t="n"/>
      <c r="O12" s="10" t="n"/>
      <c r="P12" s="10" t="n"/>
      <c r="Q12" s="12">
        <f>IF(OR(O12="",P12=""),"",MIN(O12,P12)-N12)</f>
        <v/>
      </c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1">
        <f>IF(G13="","",G13*(1+H13/100))</f>
        <v/>
      </c>
      <c r="J13" s="10" t="n"/>
      <c r="K13" s="10" t="n"/>
      <c r="L13" s="10" t="n"/>
      <c r="M13" s="10" t="n"/>
      <c r="N13" s="10" t="n"/>
      <c r="O13" s="10" t="n"/>
      <c r="P13" s="10" t="n"/>
      <c r="Q13" s="12">
        <f>IF(OR(O13="",P13=""),"",MIN(O13,P13)-N13)</f>
        <v/>
      </c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1">
        <f>IF(G14="","",G14*(1+H14/100))</f>
        <v/>
      </c>
      <c r="J14" s="10" t="n"/>
      <c r="K14" s="10" t="n"/>
      <c r="L14" s="10" t="n"/>
      <c r="M14" s="10" t="n"/>
      <c r="N14" s="10" t="n"/>
      <c r="O14" s="10" t="n"/>
      <c r="P14" s="10" t="n"/>
      <c r="Q14" s="12">
        <f>IF(OR(O14="",P14=""),"",MIN(O14,P14)-N14)</f>
        <v/>
      </c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1">
        <f>IF(G15="","",G15*(1+H15/100))</f>
        <v/>
      </c>
      <c r="J15" s="10" t="n"/>
      <c r="K15" s="10" t="n"/>
      <c r="L15" s="10" t="n"/>
      <c r="M15" s="10" t="n"/>
      <c r="N15" s="10" t="n"/>
      <c r="O15" s="10" t="n"/>
      <c r="P15" s="10" t="n"/>
      <c r="Q15" s="12">
        <f>IF(OR(O15="",P15=""),"",MIN(O15,P15)-N15)</f>
        <v/>
      </c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1">
        <f>IF(G16="","",G16*(1+H16/100))</f>
        <v/>
      </c>
      <c r="J16" s="10" t="n"/>
      <c r="K16" s="10" t="n"/>
      <c r="L16" s="10" t="n"/>
      <c r="M16" s="10" t="n"/>
      <c r="N16" s="10" t="n"/>
      <c r="O16" s="10" t="n"/>
      <c r="P16" s="10" t="n"/>
      <c r="Q16" s="12">
        <f>IF(OR(O16="",P16=""),"",MIN(O16,P16)-N16)</f>
        <v/>
      </c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1">
        <f>IF(G17="","",G17*(1+H17/100))</f>
        <v/>
      </c>
      <c r="J17" s="10" t="n"/>
      <c r="K17" s="10" t="n"/>
      <c r="L17" s="10" t="n"/>
      <c r="M17" s="10" t="n"/>
      <c r="N17" s="10" t="n"/>
      <c r="O17" s="10" t="n"/>
      <c r="P17" s="10" t="n"/>
      <c r="Q17" s="12">
        <f>IF(OR(O17="",P17=""),"",MIN(O17,P17)-N17)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1">
        <f>IF(G18="","",G18*(1+H18/100))</f>
        <v/>
      </c>
      <c r="J18" s="10" t="n"/>
      <c r="K18" s="10" t="n"/>
      <c r="L18" s="10" t="n"/>
      <c r="M18" s="10" t="n"/>
      <c r="N18" s="10" t="n"/>
      <c r="O18" s="10" t="n"/>
      <c r="P18" s="10" t="n"/>
      <c r="Q18" s="12">
        <f>IF(OR(O18="",P18=""),"",MIN(O18,P18)-N18)</f>
        <v/>
      </c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1">
        <f>IF(G19="","",G19*(1+H19/100))</f>
        <v/>
      </c>
      <c r="J19" s="10" t="n"/>
      <c r="K19" s="10" t="n"/>
      <c r="L19" s="10" t="n"/>
      <c r="M19" s="10" t="n"/>
      <c r="N19" s="10" t="n"/>
      <c r="O19" s="10" t="n"/>
      <c r="P19" s="10" t="n"/>
      <c r="Q19" s="12">
        <f>IF(OR(O19="",P19=""),"",MIN(O19,P19)-N19)</f>
        <v/>
      </c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1">
        <f>IF(G20="","",G20*(1+H20/100))</f>
        <v/>
      </c>
      <c r="J20" s="10" t="n"/>
      <c r="K20" s="10" t="n"/>
      <c r="L20" s="10" t="n"/>
      <c r="M20" s="10" t="n"/>
      <c r="N20" s="10" t="n"/>
      <c r="O20" s="10" t="n"/>
      <c r="P20" s="10" t="n"/>
      <c r="Q20" s="12">
        <f>IF(OR(O20="",P20=""),"",MIN(O20,P20)-N20)</f>
        <v/>
      </c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1">
        <f>IF(G21="","",G21*(1+H21/100))</f>
        <v/>
      </c>
      <c r="J21" s="10" t="n"/>
      <c r="K21" s="10" t="n"/>
      <c r="L21" s="10" t="n"/>
      <c r="M21" s="10" t="n"/>
      <c r="N21" s="10" t="n"/>
      <c r="O21" s="10" t="n"/>
      <c r="P21" s="10" t="n"/>
      <c r="Q21" s="12">
        <f>IF(OR(O21="",P21=""),"",MIN(O21,P21)-N21)</f>
        <v/>
      </c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1">
        <f>IF(G22="","",G22*(1+H22/100))</f>
        <v/>
      </c>
      <c r="J22" s="10" t="n"/>
      <c r="K22" s="10" t="n"/>
      <c r="L22" s="10" t="n"/>
      <c r="M22" s="10" t="n"/>
      <c r="N22" s="10" t="n"/>
      <c r="O22" s="10" t="n"/>
      <c r="P22" s="10" t="n"/>
      <c r="Q22" s="12">
        <f>IF(OR(O22="",P22=""),"",MIN(O22,P22)-N22)</f>
        <v/>
      </c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1">
        <f>IF(G23="","",G23*(1+H23/100))</f>
        <v/>
      </c>
      <c r="J23" s="10" t="n"/>
      <c r="K23" s="10" t="n"/>
      <c r="L23" s="10" t="n"/>
      <c r="M23" s="10" t="n"/>
      <c r="N23" s="10" t="n"/>
      <c r="O23" s="10" t="n"/>
      <c r="P23" s="10" t="n"/>
      <c r="Q23" s="12">
        <f>IF(OR(O23="",P23=""),"",MIN(O23,P23)-N23)</f>
        <v/>
      </c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1">
        <f>IF(G24="","",G24*(1+H24/100))</f>
        <v/>
      </c>
      <c r="J24" s="10" t="n"/>
      <c r="K24" s="10" t="n"/>
      <c r="L24" s="10" t="n"/>
      <c r="M24" s="10" t="n"/>
      <c r="N24" s="10" t="n"/>
      <c r="O24" s="10" t="n"/>
      <c r="P24" s="10" t="n"/>
      <c r="Q24" s="12">
        <f>IF(OR(O24="",P24=""),"",MIN(O24,P24)-N24)</f>
        <v/>
      </c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1">
        <f>IF(G25="","",G25*(1+H25/100))</f>
        <v/>
      </c>
      <c r="J25" s="10" t="n"/>
      <c r="K25" s="10" t="n"/>
      <c r="L25" s="10" t="n"/>
      <c r="M25" s="10" t="n"/>
      <c r="N25" s="10" t="n"/>
      <c r="O25" s="10" t="n"/>
      <c r="P25" s="10" t="n"/>
      <c r="Q25" s="12">
        <f>IF(OR(O25="",P25=""),"",MIN(O25,P25)-N25)</f>
        <v/>
      </c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1">
        <f>IF(G26="","",G26*(1+H26/100))</f>
        <v/>
      </c>
      <c r="J26" s="10" t="n"/>
      <c r="K26" s="10" t="n"/>
      <c r="L26" s="10" t="n"/>
      <c r="M26" s="10" t="n"/>
      <c r="N26" s="10" t="n"/>
      <c r="O26" s="10" t="n"/>
      <c r="P26" s="10" t="n"/>
      <c r="Q26" s="12">
        <f>IF(OR(O26="",P26=""),"",MIN(O26,P26)-N26)</f>
        <v/>
      </c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1">
        <f>IF(G27="","",G27*(1+H27/100))</f>
        <v/>
      </c>
      <c r="J27" s="10" t="n"/>
      <c r="K27" s="10" t="n"/>
      <c r="L27" s="10" t="n"/>
      <c r="M27" s="10" t="n"/>
      <c r="N27" s="10" t="n"/>
      <c r="O27" s="10" t="n"/>
      <c r="P27" s="10" t="n"/>
      <c r="Q27" s="12">
        <f>IF(OR(O27="",P27=""),"",MIN(O27,P27)-N27)</f>
        <v/>
      </c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1">
        <f>IF(G28="","",G28*(1+H28/100))</f>
        <v/>
      </c>
      <c r="J28" s="10" t="n"/>
      <c r="K28" s="10" t="n"/>
      <c r="L28" s="10" t="n"/>
      <c r="M28" s="10" t="n"/>
      <c r="N28" s="10" t="n"/>
      <c r="O28" s="10" t="n"/>
      <c r="P28" s="10" t="n"/>
      <c r="Q28" s="12">
        <f>IF(OR(O28="",P28=""),"",MIN(O28,P28)-N28)</f>
        <v/>
      </c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1">
        <f>IF(G29="","",G29*(1+H29/100))</f>
        <v/>
      </c>
      <c r="J29" s="10" t="n"/>
      <c r="K29" s="10" t="n"/>
      <c r="L29" s="10" t="n"/>
      <c r="M29" s="10" t="n"/>
      <c r="N29" s="10" t="n"/>
      <c r="O29" s="10" t="n"/>
      <c r="P29" s="10" t="n"/>
      <c r="Q29" s="12">
        <f>IF(OR(O29="",P29=""),"",MIN(O29,P29)-N29)</f>
        <v/>
      </c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1">
      <c r="A31" s="13" t="inlineStr">
        <is>
          <t>※ 파란 셀(실소요량, 절약금액)은 수식 자동계산</t>
        </is>
      </c>
    </row>
    <row r="32">
      <c r="A32" s="13" t="inlineStr">
        <is>
          <t>※ 빈 행에 자재 추가 → 수식 자동 적용</t>
        </is>
      </c>
    </row>
  </sheetData>
  <mergeCells count="9">
    <mergeCell ref="R3:U3"/>
    <mergeCell ref="A32:Z32"/>
    <mergeCell ref="A1:Z1"/>
    <mergeCell ref="J3:Q3"/>
    <mergeCell ref="Y3:Z3"/>
    <mergeCell ref="A31:Z31"/>
    <mergeCell ref="A3:I3"/>
    <mergeCell ref="A2:Z2"/>
    <mergeCell ref="V3:X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F7AEA"/>
    <outlinePr summaryBelow="1" summaryRight="1"/>
    <pageSetUpPr/>
  </sheetPr>
  <dimension ref="A1:Z3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5" customWidth="1" min="26" max="26"/>
  </cols>
  <sheetData>
    <row r="1" ht="30" customHeight="1">
      <c r="A1" s="1" t="inlineStr">
        <is>
          <t>마루/바닥 자재</t>
        </is>
      </c>
    </row>
    <row r="2">
      <c r="A2" s="2" t="inlineStr">
        <is>
          <t>공정코드: PROC-10 | 자재 + 소요량 + 가격 + 배송 통합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</row>
    <row r="5">
      <c r="A5" s="6" t="inlineStr">
        <is>
          <t>FL-001</t>
        </is>
      </c>
      <c r="B5" s="6" t="inlineStr">
        <is>
          <t>강마루</t>
        </is>
      </c>
      <c r="C5" s="6" t="inlineStr">
        <is>
          <t>1210×193×8T</t>
        </is>
      </c>
      <c r="D5" s="6" t="inlineStr">
        <is>
          <t>바닥 마감</t>
        </is>
      </c>
      <c r="E5" s="6" t="inlineStr">
        <is>
          <t>필수</t>
        </is>
      </c>
      <c r="F5" s="6" t="inlineStr">
        <is>
          <t>장</t>
        </is>
      </c>
      <c r="G5" s="7" t="n">
        <v>5.35</v>
      </c>
      <c r="H5" s="6" t="n">
        <v>5</v>
      </c>
      <c r="I5" s="8">
        <f>G5*(1+H5/100)</f>
        <v/>
      </c>
      <c r="J5" s="6" t="inlineStr">
        <is>
          <t>박스(8장/1.87㎡)</t>
        </is>
      </c>
      <c r="K5" s="6" t="n">
        <v>8</v>
      </c>
      <c r="L5" s="9" t="n">
        <v>4500</v>
      </c>
      <c r="M5" s="9" t="n">
        <v>5500</v>
      </c>
      <c r="N5" s="9" t="n">
        <v>6200</v>
      </c>
      <c r="O5" s="9" t="n">
        <v>9000</v>
      </c>
      <c r="P5" s="9" t="n">
        <v>8200</v>
      </c>
      <c r="Q5" s="9">
        <f>IF(OR(O5="",P5=""),"",MIN(O5,P5)-N5)</f>
        <v/>
      </c>
      <c r="R5" s="6" t="n">
        <v>12</v>
      </c>
      <c r="S5" s="6" t="inlineStr">
        <is>
          <t>화물</t>
        </is>
      </c>
      <c r="T5" s="6" t="inlineStr">
        <is>
          <t>3~5일</t>
        </is>
      </c>
      <c r="U5" s="6" t="inlineStr">
        <is>
          <t>SUP-004</t>
        </is>
      </c>
      <c r="V5" s="6" t="inlineStr">
        <is>
          <t>Y</t>
        </is>
      </c>
      <c r="W5" s="6" t="inlineStr">
        <is>
          <t>1장</t>
        </is>
      </c>
      <c r="X5" s="6" t="inlineStr">
        <is>
          <t>3,000원</t>
        </is>
      </c>
      <c r="Y5" s="6" t="inlineStr">
        <is>
          <t>표준</t>
        </is>
      </c>
      <c r="Z5" s="6" t="inlineStr">
        <is>
          <t>클릭 방식 강마루. 셀프 시공 가능.</t>
        </is>
      </c>
    </row>
    <row r="6">
      <c r="A6" s="6" t="inlineStr">
        <is>
          <t>FL-002</t>
        </is>
      </c>
      <c r="B6" s="6" t="inlineStr">
        <is>
          <t>강화마루</t>
        </is>
      </c>
      <c r="C6" s="6" t="inlineStr">
        <is>
          <t>1210×193×12T</t>
        </is>
      </c>
      <c r="D6" s="6" t="inlineStr">
        <is>
          <t>바닥 마감</t>
        </is>
      </c>
      <c r="E6" s="6" t="inlineStr">
        <is>
          <t>필수</t>
        </is>
      </c>
      <c r="F6" s="6" t="inlineStr">
        <is>
          <t>장</t>
        </is>
      </c>
      <c r="G6" s="7" t="n">
        <v>5.35</v>
      </c>
      <c r="H6" s="6" t="n">
        <v>5</v>
      </c>
      <c r="I6" s="8">
        <f>G6*(1+H6/100)</f>
        <v/>
      </c>
      <c r="J6" s="6" t="inlineStr">
        <is>
          <t>박스(8장/1.87㎡)</t>
        </is>
      </c>
      <c r="K6" s="6" t="n">
        <v>8</v>
      </c>
      <c r="L6" s="9" t="n">
        <v>7000</v>
      </c>
      <c r="M6" s="9" t="n">
        <v>8500</v>
      </c>
      <c r="N6" s="9" t="n">
        <v>9500</v>
      </c>
      <c r="O6" s="9" t="n">
        <v>14000</v>
      </c>
      <c r="P6" s="9" t="n">
        <v>12000</v>
      </c>
      <c r="Q6" s="9">
        <f>IF(OR(O6="",P6=""),"",MIN(O6,P6)-N6)</f>
        <v/>
      </c>
      <c r="R6" s="6" t="n">
        <v>15</v>
      </c>
      <c r="S6" s="6" t="inlineStr">
        <is>
          <t>화물</t>
        </is>
      </c>
      <c r="T6" s="6" t="inlineStr">
        <is>
          <t>3~5일</t>
        </is>
      </c>
      <c r="U6" s="6" t="inlineStr">
        <is>
          <t>SUP-004</t>
        </is>
      </c>
      <c r="V6" s="6" t="inlineStr">
        <is>
          <t>Y</t>
        </is>
      </c>
      <c r="W6" s="6" t="inlineStr">
        <is>
          <t>1장</t>
        </is>
      </c>
      <c r="X6" s="6" t="inlineStr">
        <is>
          <t>3,000원</t>
        </is>
      </c>
      <c r="Y6" s="6" t="inlineStr">
        <is>
          <t>프리미엄</t>
        </is>
      </c>
      <c r="Z6" s="6" t="inlineStr">
        <is>
          <t>12T 고급 강화마루. 충격 흡수.</t>
        </is>
      </c>
    </row>
    <row r="7">
      <c r="A7" s="6" t="inlineStr">
        <is>
          <t>FL-003</t>
        </is>
      </c>
      <c r="B7" s="6" t="inlineStr">
        <is>
          <t>걸레받이</t>
        </is>
      </c>
      <c r="C7" s="6" t="inlineStr">
        <is>
          <t>60mm×2.4m</t>
        </is>
      </c>
      <c r="D7" s="6" t="inlineStr">
        <is>
          <t>벽 하단 마감</t>
        </is>
      </c>
      <c r="E7" s="6" t="inlineStr">
        <is>
          <t>필수</t>
        </is>
      </c>
      <c r="F7" s="6" t="inlineStr">
        <is>
          <t>m</t>
        </is>
      </c>
      <c r="G7" s="7" t="n">
        <v>0.4</v>
      </c>
      <c r="H7" s="6" t="n">
        <v>10</v>
      </c>
      <c r="I7" s="8">
        <f>G7*(1+H7/100)</f>
        <v/>
      </c>
      <c r="J7" s="6" t="inlineStr">
        <is>
          <t>본(2.4m)</t>
        </is>
      </c>
      <c r="K7" s="6" t="n">
        <v>1</v>
      </c>
      <c r="L7" s="9" t="n">
        <v>2000</v>
      </c>
      <c r="M7" s="9" t="n">
        <v>2500</v>
      </c>
      <c r="N7" s="9" t="n">
        <v>3000</v>
      </c>
      <c r="O7" s="9" t="n">
        <v>5000</v>
      </c>
      <c r="P7" s="9" t="n">
        <v>4000</v>
      </c>
      <c r="Q7" s="9">
        <f>IF(OR(O7="",P7=""),"",MIN(O7,P7)-N7)</f>
        <v/>
      </c>
      <c r="R7" s="6" t="n">
        <v>0.5</v>
      </c>
      <c r="S7" s="6" t="inlineStr">
        <is>
          <t>택배</t>
        </is>
      </c>
      <c r="T7" s="6" t="inlineStr">
        <is>
          <t>1~2일</t>
        </is>
      </c>
      <c r="U7" s="6" t="inlineStr">
        <is>
          <t>SUP-004</t>
        </is>
      </c>
      <c r="V7" s="6" t="inlineStr">
        <is>
          <t>N</t>
        </is>
      </c>
      <c r="W7" s="6" t="inlineStr">
        <is>
          <t>—</t>
        </is>
      </c>
      <c r="X7" s="6" t="inlineStr">
        <is>
          <t>—</t>
        </is>
      </c>
      <c r="Y7" s="6" t="inlineStr">
        <is>
          <t>표준</t>
        </is>
      </c>
      <c r="Z7" s="6" t="inlineStr">
        <is>
          <t>마루 벽 접합부 마감용.</t>
        </is>
      </c>
    </row>
    <row r="8">
      <c r="A8" s="6" t="inlineStr">
        <is>
          <t>FL-004</t>
        </is>
      </c>
      <c r="B8" s="6" t="inlineStr">
        <is>
          <t>PE 폼 언더레이</t>
        </is>
      </c>
      <c r="C8" s="6" t="inlineStr">
        <is>
          <t>2mm×50m</t>
        </is>
      </c>
      <c r="D8" s="6" t="inlineStr">
        <is>
          <t>하부 완충</t>
        </is>
      </c>
      <c r="E8" s="6" t="inlineStr">
        <is>
          <t>필수</t>
        </is>
      </c>
      <c r="F8" s="6" t="inlineStr">
        <is>
          <t>㎡</t>
        </is>
      </c>
      <c r="G8" s="7" t="n">
        <v>1</v>
      </c>
      <c r="H8" s="6" t="n">
        <v>5</v>
      </c>
      <c r="I8" s="8">
        <f>G8*(1+H8/100)</f>
        <v/>
      </c>
      <c r="J8" s="6" t="inlineStr">
        <is>
          <t>롤(50㎡)</t>
        </is>
      </c>
      <c r="K8" s="6" t="n">
        <v>50</v>
      </c>
      <c r="L8" s="9" t="n">
        <v>600</v>
      </c>
      <c r="M8" s="9" t="n">
        <v>800</v>
      </c>
      <c r="N8" s="9" t="n">
        <v>1000</v>
      </c>
      <c r="O8" s="9" t="n">
        <v>1800</v>
      </c>
      <c r="P8" s="9" t="n">
        <v>1500</v>
      </c>
      <c r="Q8" s="9">
        <f>IF(OR(O8="",P8=""),"",MIN(O8,P8)-N8)</f>
        <v/>
      </c>
      <c r="R8" s="6" t="n">
        <v>3</v>
      </c>
      <c r="S8" s="6" t="inlineStr">
        <is>
          <t>택배</t>
        </is>
      </c>
      <c r="T8" s="6" t="inlineStr">
        <is>
          <t>1~2일</t>
        </is>
      </c>
      <c r="U8" s="6" t="inlineStr">
        <is>
          <t>SUP-004</t>
        </is>
      </c>
      <c r="V8" s="6" t="inlineStr">
        <is>
          <t>N</t>
        </is>
      </c>
      <c r="W8" s="6" t="inlineStr">
        <is>
          <t>—</t>
        </is>
      </c>
      <c r="X8" s="6" t="inlineStr">
        <is>
          <t>—</t>
        </is>
      </c>
      <c r="Y8" s="6" t="inlineStr">
        <is>
          <t>표준</t>
        </is>
      </c>
      <c r="Z8" s="6" t="inlineStr">
        <is>
          <t>바닥 소음 완충 + 습기 차단.</t>
        </is>
      </c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1">
        <f>IF(G9="","",G9*(1+H9/100))</f>
        <v/>
      </c>
      <c r="J9" s="10" t="n"/>
      <c r="K9" s="10" t="n"/>
      <c r="L9" s="10" t="n"/>
      <c r="M9" s="10" t="n"/>
      <c r="N9" s="10" t="n"/>
      <c r="O9" s="10" t="n"/>
      <c r="P9" s="10" t="n"/>
      <c r="Q9" s="12">
        <f>IF(OR(O9="",P9=""),"",MIN(O9,P9)-N9)</f>
        <v/>
      </c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1">
        <f>IF(G10="","",G10*(1+H10/100))</f>
        <v/>
      </c>
      <c r="J10" s="10" t="n"/>
      <c r="K10" s="10" t="n"/>
      <c r="L10" s="10" t="n"/>
      <c r="M10" s="10" t="n"/>
      <c r="N10" s="10" t="n"/>
      <c r="O10" s="10" t="n"/>
      <c r="P10" s="10" t="n"/>
      <c r="Q10" s="12">
        <f>IF(OR(O10="",P10=""),"",MIN(O10,P10)-N10)</f>
        <v/>
      </c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1">
        <f>IF(G11="","",G11*(1+H11/100))</f>
        <v/>
      </c>
      <c r="J11" s="10" t="n"/>
      <c r="K11" s="10" t="n"/>
      <c r="L11" s="10" t="n"/>
      <c r="M11" s="10" t="n"/>
      <c r="N11" s="10" t="n"/>
      <c r="O11" s="10" t="n"/>
      <c r="P11" s="10" t="n"/>
      <c r="Q11" s="12">
        <f>IF(OR(O11="",P11=""),"",MIN(O11,P11)-N11)</f>
        <v/>
      </c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1">
        <f>IF(G12="","",G12*(1+H12/100))</f>
        <v/>
      </c>
      <c r="J12" s="10" t="n"/>
      <c r="K12" s="10" t="n"/>
      <c r="L12" s="10" t="n"/>
      <c r="M12" s="10" t="n"/>
      <c r="N12" s="10" t="n"/>
      <c r="O12" s="10" t="n"/>
      <c r="P12" s="10" t="n"/>
      <c r="Q12" s="12">
        <f>IF(OR(O12="",P12=""),"",MIN(O12,P12)-N12)</f>
        <v/>
      </c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1">
        <f>IF(G13="","",G13*(1+H13/100))</f>
        <v/>
      </c>
      <c r="J13" s="10" t="n"/>
      <c r="K13" s="10" t="n"/>
      <c r="L13" s="10" t="n"/>
      <c r="M13" s="10" t="n"/>
      <c r="N13" s="10" t="n"/>
      <c r="O13" s="10" t="n"/>
      <c r="P13" s="10" t="n"/>
      <c r="Q13" s="12">
        <f>IF(OR(O13="",P13=""),"",MIN(O13,P13)-N13)</f>
        <v/>
      </c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1">
        <f>IF(G14="","",G14*(1+H14/100))</f>
        <v/>
      </c>
      <c r="J14" s="10" t="n"/>
      <c r="K14" s="10" t="n"/>
      <c r="L14" s="10" t="n"/>
      <c r="M14" s="10" t="n"/>
      <c r="N14" s="10" t="n"/>
      <c r="O14" s="10" t="n"/>
      <c r="P14" s="10" t="n"/>
      <c r="Q14" s="12">
        <f>IF(OR(O14="",P14=""),"",MIN(O14,P14)-N14)</f>
        <v/>
      </c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1">
        <f>IF(G15="","",G15*(1+H15/100))</f>
        <v/>
      </c>
      <c r="J15" s="10" t="n"/>
      <c r="K15" s="10" t="n"/>
      <c r="L15" s="10" t="n"/>
      <c r="M15" s="10" t="n"/>
      <c r="N15" s="10" t="n"/>
      <c r="O15" s="10" t="n"/>
      <c r="P15" s="10" t="n"/>
      <c r="Q15" s="12">
        <f>IF(OR(O15="",P15=""),"",MIN(O15,P15)-N15)</f>
        <v/>
      </c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1">
        <f>IF(G16="","",G16*(1+H16/100))</f>
        <v/>
      </c>
      <c r="J16" s="10" t="n"/>
      <c r="K16" s="10" t="n"/>
      <c r="L16" s="10" t="n"/>
      <c r="M16" s="10" t="n"/>
      <c r="N16" s="10" t="n"/>
      <c r="O16" s="10" t="n"/>
      <c r="P16" s="10" t="n"/>
      <c r="Q16" s="12">
        <f>IF(OR(O16="",P16=""),"",MIN(O16,P16)-N16)</f>
        <v/>
      </c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1">
        <f>IF(G17="","",G17*(1+H17/100))</f>
        <v/>
      </c>
      <c r="J17" s="10" t="n"/>
      <c r="K17" s="10" t="n"/>
      <c r="L17" s="10" t="n"/>
      <c r="M17" s="10" t="n"/>
      <c r="N17" s="10" t="n"/>
      <c r="O17" s="10" t="n"/>
      <c r="P17" s="10" t="n"/>
      <c r="Q17" s="12">
        <f>IF(OR(O17="",P17=""),"",MIN(O17,P17)-N17)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1">
        <f>IF(G18="","",G18*(1+H18/100))</f>
        <v/>
      </c>
      <c r="J18" s="10" t="n"/>
      <c r="K18" s="10" t="n"/>
      <c r="L18" s="10" t="n"/>
      <c r="M18" s="10" t="n"/>
      <c r="N18" s="10" t="n"/>
      <c r="O18" s="10" t="n"/>
      <c r="P18" s="10" t="n"/>
      <c r="Q18" s="12">
        <f>IF(OR(O18="",P18=""),"",MIN(O18,P18)-N18)</f>
        <v/>
      </c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1">
        <f>IF(G19="","",G19*(1+H19/100))</f>
        <v/>
      </c>
      <c r="J19" s="10" t="n"/>
      <c r="K19" s="10" t="n"/>
      <c r="L19" s="10" t="n"/>
      <c r="M19" s="10" t="n"/>
      <c r="N19" s="10" t="n"/>
      <c r="O19" s="10" t="n"/>
      <c r="P19" s="10" t="n"/>
      <c r="Q19" s="12">
        <f>IF(OR(O19="",P19=""),"",MIN(O19,P19)-N19)</f>
        <v/>
      </c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1">
        <f>IF(G20="","",G20*(1+H20/100))</f>
        <v/>
      </c>
      <c r="J20" s="10" t="n"/>
      <c r="K20" s="10" t="n"/>
      <c r="L20" s="10" t="n"/>
      <c r="M20" s="10" t="n"/>
      <c r="N20" s="10" t="n"/>
      <c r="O20" s="10" t="n"/>
      <c r="P20" s="10" t="n"/>
      <c r="Q20" s="12">
        <f>IF(OR(O20="",P20=""),"",MIN(O20,P20)-N20)</f>
        <v/>
      </c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1">
        <f>IF(G21="","",G21*(1+H21/100))</f>
        <v/>
      </c>
      <c r="J21" s="10" t="n"/>
      <c r="K21" s="10" t="n"/>
      <c r="L21" s="10" t="n"/>
      <c r="M21" s="10" t="n"/>
      <c r="N21" s="10" t="n"/>
      <c r="O21" s="10" t="n"/>
      <c r="P21" s="10" t="n"/>
      <c r="Q21" s="12">
        <f>IF(OR(O21="",P21=""),"",MIN(O21,P21)-N21)</f>
        <v/>
      </c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1">
        <f>IF(G22="","",G22*(1+H22/100))</f>
        <v/>
      </c>
      <c r="J22" s="10" t="n"/>
      <c r="K22" s="10" t="n"/>
      <c r="L22" s="10" t="n"/>
      <c r="M22" s="10" t="n"/>
      <c r="N22" s="10" t="n"/>
      <c r="O22" s="10" t="n"/>
      <c r="P22" s="10" t="n"/>
      <c r="Q22" s="12">
        <f>IF(OR(O22="",P22=""),"",MIN(O22,P22)-N22)</f>
        <v/>
      </c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1">
        <f>IF(G23="","",G23*(1+H23/100))</f>
        <v/>
      </c>
      <c r="J23" s="10" t="n"/>
      <c r="K23" s="10" t="n"/>
      <c r="L23" s="10" t="n"/>
      <c r="M23" s="10" t="n"/>
      <c r="N23" s="10" t="n"/>
      <c r="O23" s="10" t="n"/>
      <c r="P23" s="10" t="n"/>
      <c r="Q23" s="12">
        <f>IF(OR(O23="",P23=""),"",MIN(O23,P23)-N23)</f>
        <v/>
      </c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1">
        <f>IF(G24="","",G24*(1+H24/100))</f>
        <v/>
      </c>
      <c r="J24" s="10" t="n"/>
      <c r="K24" s="10" t="n"/>
      <c r="L24" s="10" t="n"/>
      <c r="M24" s="10" t="n"/>
      <c r="N24" s="10" t="n"/>
      <c r="O24" s="10" t="n"/>
      <c r="P24" s="10" t="n"/>
      <c r="Q24" s="12">
        <f>IF(OR(O24="",P24=""),"",MIN(O24,P24)-N24)</f>
        <v/>
      </c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1">
        <f>IF(G25="","",G25*(1+H25/100))</f>
        <v/>
      </c>
      <c r="J25" s="10" t="n"/>
      <c r="K25" s="10" t="n"/>
      <c r="L25" s="10" t="n"/>
      <c r="M25" s="10" t="n"/>
      <c r="N25" s="10" t="n"/>
      <c r="O25" s="10" t="n"/>
      <c r="P25" s="10" t="n"/>
      <c r="Q25" s="12">
        <f>IF(OR(O25="",P25=""),"",MIN(O25,P25)-N25)</f>
        <v/>
      </c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1">
        <f>IF(G26="","",G26*(1+H26/100))</f>
        <v/>
      </c>
      <c r="J26" s="10" t="n"/>
      <c r="K26" s="10" t="n"/>
      <c r="L26" s="10" t="n"/>
      <c r="M26" s="10" t="n"/>
      <c r="N26" s="10" t="n"/>
      <c r="O26" s="10" t="n"/>
      <c r="P26" s="10" t="n"/>
      <c r="Q26" s="12">
        <f>IF(OR(O26="",P26=""),"",MIN(O26,P26)-N26)</f>
        <v/>
      </c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1">
        <f>IF(G27="","",G27*(1+H27/100))</f>
        <v/>
      </c>
      <c r="J27" s="10" t="n"/>
      <c r="K27" s="10" t="n"/>
      <c r="L27" s="10" t="n"/>
      <c r="M27" s="10" t="n"/>
      <c r="N27" s="10" t="n"/>
      <c r="O27" s="10" t="n"/>
      <c r="P27" s="10" t="n"/>
      <c r="Q27" s="12">
        <f>IF(OR(O27="",P27=""),"",MIN(O27,P27)-N27)</f>
        <v/>
      </c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1">
        <f>IF(G28="","",G28*(1+H28/100))</f>
        <v/>
      </c>
      <c r="J28" s="10" t="n"/>
      <c r="K28" s="10" t="n"/>
      <c r="L28" s="10" t="n"/>
      <c r="M28" s="10" t="n"/>
      <c r="N28" s="10" t="n"/>
      <c r="O28" s="10" t="n"/>
      <c r="P28" s="10" t="n"/>
      <c r="Q28" s="12">
        <f>IF(OR(O28="",P28=""),"",MIN(O28,P28)-N28)</f>
        <v/>
      </c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30">
      <c r="A30" s="13" t="inlineStr">
        <is>
          <t>※ 파란 셀(실소요량, 절약금액)은 수식 자동계산</t>
        </is>
      </c>
    </row>
    <row r="31">
      <c r="A31" s="13" t="inlineStr">
        <is>
          <t>※ 빈 행에 자재 추가 → 수식 자동 적용</t>
        </is>
      </c>
    </row>
  </sheetData>
  <mergeCells count="9">
    <mergeCell ref="R3:U3"/>
    <mergeCell ref="A1:Z1"/>
    <mergeCell ref="J3:Q3"/>
    <mergeCell ref="Y3:Z3"/>
    <mergeCell ref="A31:Z31"/>
    <mergeCell ref="A3:I3"/>
    <mergeCell ref="A2:Z2"/>
    <mergeCell ref="V3:X3"/>
    <mergeCell ref="A30:Z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53E3E"/>
    <outlinePr summaryBelow="1" summaryRight="1"/>
    <pageSetUpPr/>
  </sheetPr>
  <dimension ref="A1:Z3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5" customWidth="1" min="26" max="26"/>
  </cols>
  <sheetData>
    <row r="1" ht="30" customHeight="1">
      <c r="A1" s="1" t="inlineStr">
        <is>
          <t>도배 자재</t>
        </is>
      </c>
    </row>
    <row r="2">
      <c r="A2" s="2" t="inlineStr">
        <is>
          <t>공정코드: PROC-11 | 자재 + 소요량 + 가격 + 배송 통합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</row>
    <row r="5">
      <c r="A5" s="6" t="inlineStr">
        <is>
          <t>WL-001</t>
        </is>
      </c>
      <c r="B5" s="6" t="inlineStr">
        <is>
          <t>합지벽지</t>
        </is>
      </c>
      <c r="C5" s="6" t="inlineStr">
        <is>
          <t>롤(16.5㎡)</t>
        </is>
      </c>
      <c r="D5" s="6" t="inlineStr">
        <is>
          <t>벽면 마감</t>
        </is>
      </c>
      <c r="E5" s="6" t="inlineStr">
        <is>
          <t>필수</t>
        </is>
      </c>
      <c r="F5" s="6" t="inlineStr">
        <is>
          <t>롤</t>
        </is>
      </c>
      <c r="G5" s="7" t="n">
        <v>0.07000000000000001</v>
      </c>
      <c r="H5" s="6" t="n">
        <v>10</v>
      </c>
      <c r="I5" s="8">
        <f>G5*(1+H5/100)</f>
        <v/>
      </c>
      <c r="J5" s="6" t="inlineStr">
        <is>
          <t>롤(1개)</t>
        </is>
      </c>
      <c r="K5" s="6" t="n">
        <v>1</v>
      </c>
      <c r="L5" s="9" t="n">
        <v>8000</v>
      </c>
      <c r="M5" s="9" t="n">
        <v>10000</v>
      </c>
      <c r="N5" s="9" t="n">
        <v>12000</v>
      </c>
      <c r="O5" s="9" t="n">
        <v>18000</v>
      </c>
      <c r="P5" s="9" t="n">
        <v>15000</v>
      </c>
      <c r="Q5" s="9">
        <f>IF(OR(O5="",P5=""),"",MIN(O5,P5)-N5)</f>
        <v/>
      </c>
      <c r="R5" s="6" t="n">
        <v>2</v>
      </c>
      <c r="S5" s="6" t="inlineStr">
        <is>
          <t>택배</t>
        </is>
      </c>
      <c r="T5" s="6" t="inlineStr">
        <is>
          <t>1~2일</t>
        </is>
      </c>
      <c r="U5" s="6" t="inlineStr">
        <is>
          <t>SUP-005</t>
        </is>
      </c>
      <c r="V5" s="6" t="inlineStr">
        <is>
          <t>Y</t>
        </is>
      </c>
      <c r="W5" s="6" t="inlineStr">
        <is>
          <t>A4</t>
        </is>
      </c>
      <c r="X5" s="6" t="inlineStr">
        <is>
          <t>무료</t>
        </is>
      </c>
      <c r="Y5" s="6" t="inlineStr">
        <is>
          <t>경제</t>
        </is>
      </c>
      <c r="Z5" s="6" t="inlineStr">
        <is>
          <t>경제적 합지벽지. 풀 도포 필요.</t>
        </is>
      </c>
    </row>
    <row r="6">
      <c r="A6" s="6" t="inlineStr">
        <is>
          <t>WL-002</t>
        </is>
      </c>
      <c r="B6" s="6" t="inlineStr">
        <is>
          <t>실크벽지</t>
        </is>
      </c>
      <c r="C6" s="6" t="inlineStr">
        <is>
          <t>롤(15.6㎡)</t>
        </is>
      </c>
      <c r="D6" s="6" t="inlineStr">
        <is>
          <t>벽면 마감</t>
        </is>
      </c>
      <c r="E6" s="6" t="inlineStr">
        <is>
          <t>필수</t>
        </is>
      </c>
      <c r="F6" s="6" t="inlineStr">
        <is>
          <t>롤</t>
        </is>
      </c>
      <c r="G6" s="7" t="n">
        <v>0.075</v>
      </c>
      <c r="H6" s="6" t="n">
        <v>10</v>
      </c>
      <c r="I6" s="8">
        <f>G6*(1+H6/100)</f>
        <v/>
      </c>
      <c r="J6" s="6" t="inlineStr">
        <is>
          <t>롤(1개)</t>
        </is>
      </c>
      <c r="K6" s="6" t="n">
        <v>1</v>
      </c>
      <c r="L6" s="9" t="n">
        <v>15000</v>
      </c>
      <c r="M6" s="9" t="n">
        <v>18000</v>
      </c>
      <c r="N6" s="9" t="n">
        <v>22000</v>
      </c>
      <c r="O6" s="9" t="n">
        <v>32000</v>
      </c>
      <c r="P6" s="9" t="n">
        <v>28000</v>
      </c>
      <c r="Q6" s="9">
        <f>IF(OR(O6="",P6=""),"",MIN(O6,P6)-N6)</f>
        <v/>
      </c>
      <c r="R6" s="6" t="n">
        <v>2.5</v>
      </c>
      <c r="S6" s="6" t="inlineStr">
        <is>
          <t>택배</t>
        </is>
      </c>
      <c r="T6" s="6" t="inlineStr">
        <is>
          <t>1~2일</t>
        </is>
      </c>
      <c r="U6" s="6" t="inlineStr">
        <is>
          <t>SUP-005</t>
        </is>
      </c>
      <c r="V6" s="6" t="inlineStr">
        <is>
          <t>Y</t>
        </is>
      </c>
      <c r="W6" s="6" t="inlineStr">
        <is>
          <t>A4</t>
        </is>
      </c>
      <c r="X6" s="6" t="inlineStr">
        <is>
          <t>무료</t>
        </is>
      </c>
      <c r="Y6" s="6" t="inlineStr">
        <is>
          <t>표준</t>
        </is>
      </c>
      <c r="Z6" s="6" t="inlineStr">
        <is>
          <t>PVC 코팅 실크벽지. 세척 가능.</t>
        </is>
      </c>
    </row>
    <row r="7">
      <c r="A7" s="6" t="inlineStr">
        <is>
          <t>WL-003</t>
        </is>
      </c>
      <c r="B7" s="6" t="inlineStr">
        <is>
          <t>벽지풀</t>
        </is>
      </c>
      <c r="C7" s="6" t="inlineStr">
        <is>
          <t>5kg</t>
        </is>
      </c>
      <c r="D7" s="6" t="inlineStr">
        <is>
          <t>접착</t>
        </is>
      </c>
      <c r="E7" s="6" t="inlineStr">
        <is>
          <t>필수</t>
        </is>
      </c>
      <c r="F7" s="6" t="inlineStr">
        <is>
          <t>kg</t>
        </is>
      </c>
      <c r="G7" s="7" t="n">
        <v>0.15</v>
      </c>
      <c r="H7" s="6" t="n">
        <v>5</v>
      </c>
      <c r="I7" s="8">
        <f>G7*(1+H7/100)</f>
        <v/>
      </c>
      <c r="J7" s="6" t="inlineStr">
        <is>
          <t>통(5kg)</t>
        </is>
      </c>
      <c r="K7" s="6" t="n">
        <v>5</v>
      </c>
      <c r="L7" s="9" t="n">
        <v>5000</v>
      </c>
      <c r="M7" s="9" t="n">
        <v>6000</v>
      </c>
      <c r="N7" s="9" t="n">
        <v>7000</v>
      </c>
      <c r="O7" s="9" t="n">
        <v>10000</v>
      </c>
      <c r="P7" s="9" t="n">
        <v>9000</v>
      </c>
      <c r="Q7" s="9">
        <f>IF(OR(O7="",P7=""),"",MIN(O7,P7)-N7)</f>
        <v/>
      </c>
      <c r="R7" s="6" t="n">
        <v>5</v>
      </c>
      <c r="S7" s="6" t="inlineStr">
        <is>
          <t>택배</t>
        </is>
      </c>
      <c r="T7" s="6" t="inlineStr">
        <is>
          <t>1~2일</t>
        </is>
      </c>
      <c r="U7" s="6" t="inlineStr">
        <is>
          <t>SUP-005</t>
        </is>
      </c>
      <c r="V7" s="6" t="inlineStr">
        <is>
          <t>N</t>
        </is>
      </c>
      <c r="W7" s="6" t="inlineStr">
        <is>
          <t>—</t>
        </is>
      </c>
      <c r="X7" s="6" t="inlineStr">
        <is>
          <t>—</t>
        </is>
      </c>
      <c r="Y7" s="6" t="inlineStr">
        <is>
          <t>표준</t>
        </is>
      </c>
      <c r="Z7" s="6" t="inlineStr">
        <is>
          <t>전분 기반 벽지풀.</t>
        </is>
      </c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1">
        <f>IF(G8="","",G8*(1+H8/100))</f>
        <v/>
      </c>
      <c r="J8" s="10" t="n"/>
      <c r="K8" s="10" t="n"/>
      <c r="L8" s="10" t="n"/>
      <c r="M8" s="10" t="n"/>
      <c r="N8" s="10" t="n"/>
      <c r="O8" s="10" t="n"/>
      <c r="P8" s="10" t="n"/>
      <c r="Q8" s="12">
        <f>IF(OR(O8="",P8=""),"",MIN(O8,P8)-N8)</f>
        <v/>
      </c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1">
        <f>IF(G9="","",G9*(1+H9/100))</f>
        <v/>
      </c>
      <c r="J9" s="10" t="n"/>
      <c r="K9" s="10" t="n"/>
      <c r="L9" s="10" t="n"/>
      <c r="M9" s="10" t="n"/>
      <c r="N9" s="10" t="n"/>
      <c r="O9" s="10" t="n"/>
      <c r="P9" s="10" t="n"/>
      <c r="Q9" s="12">
        <f>IF(OR(O9="",P9=""),"",MIN(O9,P9)-N9)</f>
        <v/>
      </c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1">
        <f>IF(G10="","",G10*(1+H10/100))</f>
        <v/>
      </c>
      <c r="J10" s="10" t="n"/>
      <c r="K10" s="10" t="n"/>
      <c r="L10" s="10" t="n"/>
      <c r="M10" s="10" t="n"/>
      <c r="N10" s="10" t="n"/>
      <c r="O10" s="10" t="n"/>
      <c r="P10" s="10" t="n"/>
      <c r="Q10" s="12">
        <f>IF(OR(O10="",P10=""),"",MIN(O10,P10)-N10)</f>
        <v/>
      </c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1">
        <f>IF(G11="","",G11*(1+H11/100))</f>
        <v/>
      </c>
      <c r="J11" s="10" t="n"/>
      <c r="K11" s="10" t="n"/>
      <c r="L11" s="10" t="n"/>
      <c r="M11" s="10" t="n"/>
      <c r="N11" s="10" t="n"/>
      <c r="O11" s="10" t="n"/>
      <c r="P11" s="10" t="n"/>
      <c r="Q11" s="12">
        <f>IF(OR(O11="",P11=""),"",MIN(O11,P11)-N11)</f>
        <v/>
      </c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1">
        <f>IF(G12="","",G12*(1+H12/100))</f>
        <v/>
      </c>
      <c r="J12" s="10" t="n"/>
      <c r="K12" s="10" t="n"/>
      <c r="L12" s="10" t="n"/>
      <c r="M12" s="10" t="n"/>
      <c r="N12" s="10" t="n"/>
      <c r="O12" s="10" t="n"/>
      <c r="P12" s="10" t="n"/>
      <c r="Q12" s="12">
        <f>IF(OR(O12="",P12=""),"",MIN(O12,P12)-N12)</f>
        <v/>
      </c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1">
        <f>IF(G13="","",G13*(1+H13/100))</f>
        <v/>
      </c>
      <c r="J13" s="10" t="n"/>
      <c r="K13" s="10" t="n"/>
      <c r="L13" s="10" t="n"/>
      <c r="M13" s="10" t="n"/>
      <c r="N13" s="10" t="n"/>
      <c r="O13" s="10" t="n"/>
      <c r="P13" s="10" t="n"/>
      <c r="Q13" s="12">
        <f>IF(OR(O13="",P13=""),"",MIN(O13,P13)-N13)</f>
        <v/>
      </c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1">
        <f>IF(G14="","",G14*(1+H14/100))</f>
        <v/>
      </c>
      <c r="J14" s="10" t="n"/>
      <c r="K14" s="10" t="n"/>
      <c r="L14" s="10" t="n"/>
      <c r="M14" s="10" t="n"/>
      <c r="N14" s="10" t="n"/>
      <c r="O14" s="10" t="n"/>
      <c r="P14" s="10" t="n"/>
      <c r="Q14" s="12">
        <f>IF(OR(O14="",P14=""),"",MIN(O14,P14)-N14)</f>
        <v/>
      </c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1">
        <f>IF(G15="","",G15*(1+H15/100))</f>
        <v/>
      </c>
      <c r="J15" s="10" t="n"/>
      <c r="K15" s="10" t="n"/>
      <c r="L15" s="10" t="n"/>
      <c r="M15" s="10" t="n"/>
      <c r="N15" s="10" t="n"/>
      <c r="O15" s="10" t="n"/>
      <c r="P15" s="10" t="n"/>
      <c r="Q15" s="12">
        <f>IF(OR(O15="",P15=""),"",MIN(O15,P15)-N15)</f>
        <v/>
      </c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1">
        <f>IF(G16="","",G16*(1+H16/100))</f>
        <v/>
      </c>
      <c r="J16" s="10" t="n"/>
      <c r="K16" s="10" t="n"/>
      <c r="L16" s="10" t="n"/>
      <c r="M16" s="10" t="n"/>
      <c r="N16" s="10" t="n"/>
      <c r="O16" s="10" t="n"/>
      <c r="P16" s="10" t="n"/>
      <c r="Q16" s="12">
        <f>IF(OR(O16="",P16=""),"",MIN(O16,P16)-N16)</f>
        <v/>
      </c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1">
        <f>IF(G17="","",G17*(1+H17/100))</f>
        <v/>
      </c>
      <c r="J17" s="10" t="n"/>
      <c r="K17" s="10" t="n"/>
      <c r="L17" s="10" t="n"/>
      <c r="M17" s="10" t="n"/>
      <c r="N17" s="10" t="n"/>
      <c r="O17" s="10" t="n"/>
      <c r="P17" s="10" t="n"/>
      <c r="Q17" s="12">
        <f>IF(OR(O17="",P17=""),"",MIN(O17,P17)-N17)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1">
        <f>IF(G18="","",G18*(1+H18/100))</f>
        <v/>
      </c>
      <c r="J18" s="10" t="n"/>
      <c r="K18" s="10" t="n"/>
      <c r="L18" s="10" t="n"/>
      <c r="M18" s="10" t="n"/>
      <c r="N18" s="10" t="n"/>
      <c r="O18" s="10" t="n"/>
      <c r="P18" s="10" t="n"/>
      <c r="Q18" s="12">
        <f>IF(OR(O18="",P18=""),"",MIN(O18,P18)-N18)</f>
        <v/>
      </c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1">
        <f>IF(G19="","",G19*(1+H19/100))</f>
        <v/>
      </c>
      <c r="J19" s="10" t="n"/>
      <c r="K19" s="10" t="n"/>
      <c r="L19" s="10" t="n"/>
      <c r="M19" s="10" t="n"/>
      <c r="N19" s="10" t="n"/>
      <c r="O19" s="10" t="n"/>
      <c r="P19" s="10" t="n"/>
      <c r="Q19" s="12">
        <f>IF(OR(O19="",P19=""),"",MIN(O19,P19)-N19)</f>
        <v/>
      </c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1">
        <f>IF(G20="","",G20*(1+H20/100))</f>
        <v/>
      </c>
      <c r="J20" s="10" t="n"/>
      <c r="K20" s="10" t="n"/>
      <c r="L20" s="10" t="n"/>
      <c r="M20" s="10" t="n"/>
      <c r="N20" s="10" t="n"/>
      <c r="O20" s="10" t="n"/>
      <c r="P20" s="10" t="n"/>
      <c r="Q20" s="12">
        <f>IF(OR(O20="",P20=""),"",MIN(O20,P20)-N20)</f>
        <v/>
      </c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1">
        <f>IF(G21="","",G21*(1+H21/100))</f>
        <v/>
      </c>
      <c r="J21" s="10" t="n"/>
      <c r="K21" s="10" t="n"/>
      <c r="L21" s="10" t="n"/>
      <c r="M21" s="10" t="n"/>
      <c r="N21" s="10" t="n"/>
      <c r="O21" s="10" t="n"/>
      <c r="P21" s="10" t="n"/>
      <c r="Q21" s="12">
        <f>IF(OR(O21="",P21=""),"",MIN(O21,P21)-N21)</f>
        <v/>
      </c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1">
        <f>IF(G22="","",G22*(1+H22/100))</f>
        <v/>
      </c>
      <c r="J22" s="10" t="n"/>
      <c r="K22" s="10" t="n"/>
      <c r="L22" s="10" t="n"/>
      <c r="M22" s="10" t="n"/>
      <c r="N22" s="10" t="n"/>
      <c r="O22" s="10" t="n"/>
      <c r="P22" s="10" t="n"/>
      <c r="Q22" s="12">
        <f>IF(OR(O22="",P22=""),"",MIN(O22,P22)-N22)</f>
        <v/>
      </c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1">
        <f>IF(G23="","",G23*(1+H23/100))</f>
        <v/>
      </c>
      <c r="J23" s="10" t="n"/>
      <c r="K23" s="10" t="n"/>
      <c r="L23" s="10" t="n"/>
      <c r="M23" s="10" t="n"/>
      <c r="N23" s="10" t="n"/>
      <c r="O23" s="10" t="n"/>
      <c r="P23" s="10" t="n"/>
      <c r="Q23" s="12">
        <f>IF(OR(O23="",P23=""),"",MIN(O23,P23)-N23)</f>
        <v/>
      </c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1">
        <f>IF(G24="","",G24*(1+H24/100))</f>
        <v/>
      </c>
      <c r="J24" s="10" t="n"/>
      <c r="K24" s="10" t="n"/>
      <c r="L24" s="10" t="n"/>
      <c r="M24" s="10" t="n"/>
      <c r="N24" s="10" t="n"/>
      <c r="O24" s="10" t="n"/>
      <c r="P24" s="10" t="n"/>
      <c r="Q24" s="12">
        <f>IF(OR(O24="",P24=""),"",MIN(O24,P24)-N24)</f>
        <v/>
      </c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1">
        <f>IF(G25="","",G25*(1+H25/100))</f>
        <v/>
      </c>
      <c r="J25" s="10" t="n"/>
      <c r="K25" s="10" t="n"/>
      <c r="L25" s="10" t="n"/>
      <c r="M25" s="10" t="n"/>
      <c r="N25" s="10" t="n"/>
      <c r="O25" s="10" t="n"/>
      <c r="P25" s="10" t="n"/>
      <c r="Q25" s="12">
        <f>IF(OR(O25="",P25=""),"",MIN(O25,P25)-N25)</f>
        <v/>
      </c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1">
        <f>IF(G26="","",G26*(1+H26/100))</f>
        <v/>
      </c>
      <c r="J26" s="10" t="n"/>
      <c r="K26" s="10" t="n"/>
      <c r="L26" s="10" t="n"/>
      <c r="M26" s="10" t="n"/>
      <c r="N26" s="10" t="n"/>
      <c r="O26" s="10" t="n"/>
      <c r="P26" s="10" t="n"/>
      <c r="Q26" s="12">
        <f>IF(OR(O26="",P26=""),"",MIN(O26,P26)-N26)</f>
        <v/>
      </c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1">
        <f>IF(G27="","",G27*(1+H27/100))</f>
        <v/>
      </c>
      <c r="J27" s="10" t="n"/>
      <c r="K27" s="10" t="n"/>
      <c r="L27" s="10" t="n"/>
      <c r="M27" s="10" t="n"/>
      <c r="N27" s="10" t="n"/>
      <c r="O27" s="10" t="n"/>
      <c r="P27" s="10" t="n"/>
      <c r="Q27" s="12">
        <f>IF(OR(O27="",P27=""),"",MIN(O27,P27)-N27)</f>
        <v/>
      </c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</row>
    <row r="29">
      <c r="A29" s="13" t="inlineStr">
        <is>
          <t>※ 파란 셀(실소요량, 절약금액)은 수식 자동계산</t>
        </is>
      </c>
    </row>
    <row r="30">
      <c r="A30" s="13" t="inlineStr">
        <is>
          <t>※ 빈 행에 자재 추가 → 수식 자동 적용</t>
        </is>
      </c>
    </row>
  </sheetData>
  <mergeCells count="9">
    <mergeCell ref="R3:U3"/>
    <mergeCell ref="A1:Z1"/>
    <mergeCell ref="J3:Q3"/>
    <mergeCell ref="Y3:Z3"/>
    <mergeCell ref="A3:I3"/>
    <mergeCell ref="A2:Z2"/>
    <mergeCell ref="V3:X3"/>
    <mergeCell ref="A29:Z29"/>
    <mergeCell ref="A30:Z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8936"/>
    <outlinePr summaryBelow="1" summaryRight="1"/>
    <pageSetUpPr/>
  </sheetPr>
  <dimension ref="A1:N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6" customWidth="1" min="3" max="3"/>
    <col width="10" customWidth="1" min="4" max="4"/>
    <col width="7" customWidth="1" min="5" max="5"/>
    <col width="7" customWidth="1" min="6" max="6"/>
    <col width="7" customWidth="1" min="7" max="7"/>
    <col width="11" customWidth="1" min="8" max="8"/>
    <col width="11" customWidth="1" min="9" max="9"/>
    <col width="12" customWidth="1" min="10" max="10"/>
    <col width="10" customWidth="1" min="11" max="11"/>
    <col width="9" customWidth="1" min="12" max="12"/>
    <col width="8" customWidth="1" min="13" max="13"/>
    <col width="10" customWidth="1" min="14" max="14"/>
  </cols>
  <sheetData>
    <row r="1">
      <c r="A1" s="1" t="inlineStr">
        <is>
          <t>공정 마스터</t>
        </is>
      </c>
    </row>
    <row r="2">
      <c r="A2" s="2" t="inlineStr">
        <is>
          <t>공정 1개 = 1행 | 순서·단가·가이드 통합</t>
        </is>
      </c>
    </row>
    <row r="3">
      <c r="A3" s="3" t="inlineStr">
        <is>
          <t>기본 + 순서</t>
        </is>
      </c>
      <c r="B3" s="4" t="n"/>
      <c r="C3" s="4" t="n"/>
      <c r="D3" s="4" t="n"/>
      <c r="E3" s="4" t="n"/>
      <c r="F3" s="4" t="n"/>
      <c r="G3" s="4" t="n"/>
      <c r="H3" s="3" t="inlineStr">
        <is>
          <t>적정 단가</t>
        </is>
      </c>
      <c r="I3" s="4" t="n"/>
      <c r="J3" s="4" t="n"/>
      <c r="K3" s="4" t="n"/>
      <c r="L3" s="4" t="n"/>
      <c r="M3" s="3" t="inlineStr">
        <is>
          <t>가이드</t>
        </is>
      </c>
      <c r="N3" s="4" t="n"/>
    </row>
    <row r="4">
      <c r="A4" s="5" t="inlineStr">
        <is>
          <t>공정코드</t>
        </is>
      </c>
      <c r="B4" s="5" t="inlineStr">
        <is>
          <t>공정명</t>
        </is>
      </c>
      <c r="C4" s="5" t="inlineStr">
        <is>
          <t>순서</t>
        </is>
      </c>
      <c r="D4" s="5" t="inlineStr">
        <is>
          <t>선행공정</t>
        </is>
      </c>
      <c r="E4" s="5" t="inlineStr">
        <is>
          <t>시공일</t>
        </is>
      </c>
      <c r="F4" s="5" t="inlineStr">
        <is>
          <t>양생일</t>
        </is>
      </c>
      <c r="G4" s="5" t="inlineStr">
        <is>
          <t>합계일</t>
        </is>
      </c>
      <c r="H4" s="5" t="inlineStr">
        <is>
          <t>자재비(㎡당)</t>
        </is>
      </c>
      <c r="I4" s="5" t="inlineStr">
        <is>
          <t>인건비(㎡당)</t>
        </is>
      </c>
      <c r="J4" s="5" t="inlineStr">
        <is>
          <t>적정합계</t>
        </is>
      </c>
      <c r="K4" s="5" t="inlineStr">
        <is>
          <t>기능공일당</t>
        </is>
      </c>
      <c r="L4" s="5" t="inlineStr">
        <is>
          <t>㎡당공수</t>
        </is>
      </c>
      <c r="M4" s="5" t="inlineStr">
        <is>
          <t>셀프난이도</t>
        </is>
      </c>
      <c r="N4" s="5" t="inlineStr">
        <is>
          <t>자재시트</t>
        </is>
      </c>
    </row>
    <row r="5">
      <c r="A5" s="6" t="inlineStr">
        <is>
          <t>PROC-01</t>
        </is>
      </c>
      <c r="B5" s="6" t="inlineStr">
        <is>
          <t>철거</t>
        </is>
      </c>
      <c r="C5" s="6" t="n">
        <v>1</v>
      </c>
      <c r="D5" s="6" t="inlineStr">
        <is>
          <t>—</t>
        </is>
      </c>
      <c r="E5" s="6" t="n">
        <v>2</v>
      </c>
      <c r="F5" s="6" t="n">
        <v>0</v>
      </c>
      <c r="G5" s="6">
        <f>E5+F5</f>
        <v/>
      </c>
      <c r="H5" s="6" t="inlineStr">
        <is>
          <t>—</t>
        </is>
      </c>
      <c r="I5" s="6" t="inlineStr">
        <is>
          <t>—</t>
        </is>
      </c>
      <c r="J5" s="6" t="inlineStr">
        <is>
          <t>20만/일</t>
        </is>
      </c>
      <c r="K5" s="6" t="n">
        <v>0</v>
      </c>
      <c r="L5" s="6" t="inlineStr">
        <is>
          <t>하</t>
        </is>
      </c>
      <c r="M5" s="6" t="inlineStr">
        <is>
          <t>—</t>
        </is>
      </c>
      <c r="N5" s="6" t="n"/>
    </row>
    <row r="6">
      <c r="A6" s="6" t="inlineStr">
        <is>
          <t>PROC-02</t>
        </is>
      </c>
      <c r="B6" s="6" t="inlineStr">
        <is>
          <t>설비(배관)</t>
        </is>
      </c>
      <c r="C6" s="6" t="n">
        <v>2</v>
      </c>
      <c r="D6" s="6" t="inlineStr">
        <is>
          <t>PROC-01</t>
        </is>
      </c>
      <c r="E6" s="6" t="n">
        <v>2</v>
      </c>
      <c r="F6" s="6" t="n">
        <v>0</v>
      </c>
      <c r="G6" s="6">
        <f>E6+F6</f>
        <v/>
      </c>
      <c r="H6" s="6" t="inlineStr">
        <is>
          <t>—</t>
        </is>
      </c>
      <c r="I6" s="6" t="inlineStr">
        <is>
          <t>—</t>
        </is>
      </c>
      <c r="J6" s="6" t="inlineStr">
        <is>
          <t>25만/일</t>
        </is>
      </c>
      <c r="K6" s="6" t="n">
        <v>0</v>
      </c>
      <c r="L6" s="6" t="inlineStr">
        <is>
          <t>상</t>
        </is>
      </c>
      <c r="M6" s="6" t="inlineStr">
        <is>
          <t>—</t>
        </is>
      </c>
      <c r="N6" s="6" t="n"/>
    </row>
    <row r="7">
      <c r="A7" s="6" t="inlineStr">
        <is>
          <t>PROC-03</t>
        </is>
      </c>
      <c r="B7" s="6" t="inlineStr">
        <is>
          <t>전기</t>
        </is>
      </c>
      <c r="C7" s="6" t="n">
        <v>3</v>
      </c>
      <c r="D7" s="6" t="inlineStr">
        <is>
          <t>PROC-01</t>
        </is>
      </c>
      <c r="E7" s="6" t="n">
        <v>1</v>
      </c>
      <c r="F7" s="6" t="n">
        <v>0</v>
      </c>
      <c r="G7" s="6">
        <f>E7+F7</f>
        <v/>
      </c>
      <c r="H7" s="6" t="inlineStr">
        <is>
          <t>—</t>
        </is>
      </c>
      <c r="I7" s="6" t="inlineStr">
        <is>
          <t>—</t>
        </is>
      </c>
      <c r="J7" s="6" t="inlineStr">
        <is>
          <t>25만/일</t>
        </is>
      </c>
      <c r="K7" s="6" t="n">
        <v>0</v>
      </c>
      <c r="L7" s="6" t="inlineStr">
        <is>
          <t>상</t>
        </is>
      </c>
      <c r="M7" s="6" t="inlineStr">
        <is>
          <t>—</t>
        </is>
      </c>
      <c r="N7" s="6" t="n"/>
    </row>
    <row r="8">
      <c r="A8" s="6" t="inlineStr">
        <is>
          <t>PROC-04</t>
        </is>
      </c>
      <c r="B8" s="6" t="inlineStr">
        <is>
          <t>방수</t>
        </is>
      </c>
      <c r="C8" s="6" t="n">
        <v>4</v>
      </c>
      <c r="D8" s="6" t="inlineStr">
        <is>
          <t>PROC-02</t>
        </is>
      </c>
      <c r="E8" s="6" t="n">
        <v>1</v>
      </c>
      <c r="F8" s="6" t="n">
        <v>2</v>
      </c>
      <c r="G8" s="6">
        <f>E8+F8</f>
        <v/>
      </c>
      <c r="H8" s="6" t="inlineStr">
        <is>
          <t>2~3만</t>
        </is>
      </c>
      <c r="I8" s="6" t="inlineStr">
        <is>
          <t>3~5만/㎡</t>
        </is>
      </c>
      <c r="J8" s="6" t="inlineStr">
        <is>
          <t>25만/일</t>
        </is>
      </c>
      <c r="K8" s="6" t="n">
        <v>0.1</v>
      </c>
      <c r="L8" s="6" t="inlineStr">
        <is>
          <t>중</t>
        </is>
      </c>
      <c r="M8" s="6" t="inlineStr">
        <is>
          <t>자재_방수</t>
        </is>
      </c>
      <c r="N8" s="6" t="n"/>
    </row>
    <row r="9">
      <c r="A9" s="6" t="inlineStr">
        <is>
          <t>PROC-05</t>
        </is>
      </c>
      <c r="B9" s="6" t="inlineStr">
        <is>
          <t>창호</t>
        </is>
      </c>
      <c r="C9" s="6" t="n">
        <v>5</v>
      </c>
      <c r="D9" s="6" t="inlineStr">
        <is>
          <t>PROC-01</t>
        </is>
      </c>
      <c r="E9" s="6" t="n">
        <v>1</v>
      </c>
      <c r="F9" s="6" t="n">
        <v>0</v>
      </c>
      <c r="G9" s="6">
        <f>E9+F9</f>
        <v/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n">
        <v>0</v>
      </c>
      <c r="L9" s="6" t="inlineStr">
        <is>
          <t>상</t>
        </is>
      </c>
      <c r="M9" s="6" t="inlineStr">
        <is>
          <t>—</t>
        </is>
      </c>
      <c r="N9" s="6" t="n"/>
    </row>
    <row r="10">
      <c r="A10" s="6" t="inlineStr">
        <is>
          <t>PROC-06</t>
        </is>
      </c>
      <c r="B10" s="6" t="inlineStr">
        <is>
          <t>목공</t>
        </is>
      </c>
      <c r="C10" s="6" t="n">
        <v>6</v>
      </c>
      <c r="D10" s="6" t="inlineStr">
        <is>
          <t>PROC-04</t>
        </is>
      </c>
      <c r="E10" s="6" t="n">
        <v>3</v>
      </c>
      <c r="F10" s="6" t="n">
        <v>1</v>
      </c>
      <c r="G10" s="6">
        <f>E10+F10</f>
        <v/>
      </c>
      <c r="H10" s="6" t="inlineStr">
        <is>
          <t>3~5만</t>
        </is>
      </c>
      <c r="I10" s="6" t="inlineStr">
        <is>
          <t>5~10만/㎡</t>
        </is>
      </c>
      <c r="J10" s="6" t="inlineStr">
        <is>
          <t>28만/일</t>
        </is>
      </c>
      <c r="K10" s="6" t="n">
        <v>0.12</v>
      </c>
      <c r="L10" s="6" t="inlineStr">
        <is>
          <t>상</t>
        </is>
      </c>
      <c r="M10" s="6" t="inlineStr">
        <is>
          <t>—</t>
        </is>
      </c>
      <c r="N10" s="6" t="n"/>
    </row>
    <row r="11">
      <c r="A11" s="6" t="inlineStr">
        <is>
          <t>PROC-07</t>
        </is>
      </c>
      <c r="B11" s="6" t="inlineStr">
        <is>
          <t>필름</t>
        </is>
      </c>
      <c r="C11" s="6" t="n">
        <v>7</v>
      </c>
      <c r="D11" s="6" t="inlineStr">
        <is>
          <t>PROC-06</t>
        </is>
      </c>
      <c r="E11" s="6" t="n">
        <v>1</v>
      </c>
      <c r="F11" s="6" t="n">
        <v>0</v>
      </c>
      <c r="G11" s="6">
        <f>E11+F11</f>
        <v/>
      </c>
      <c r="H11" s="6" t="inlineStr">
        <is>
          <t>1~2만</t>
        </is>
      </c>
      <c r="I11" s="6" t="inlineStr">
        <is>
          <t>2~5만/㎡</t>
        </is>
      </c>
      <c r="J11" s="6" t="inlineStr">
        <is>
          <t>20만/일</t>
        </is>
      </c>
      <c r="K11" s="6" t="n">
        <v>0.05</v>
      </c>
      <c r="L11" s="6" t="inlineStr">
        <is>
          <t>중</t>
        </is>
      </c>
      <c r="M11" s="6" t="inlineStr">
        <is>
          <t>—</t>
        </is>
      </c>
      <c r="N11" s="6" t="n"/>
    </row>
    <row r="12">
      <c r="A12" s="6" t="inlineStr">
        <is>
          <t>PROC-08</t>
        </is>
      </c>
      <c r="B12" s="6" t="inlineStr">
        <is>
          <t>타일</t>
        </is>
      </c>
      <c r="C12" s="6" t="n">
        <v>8</v>
      </c>
      <c r="D12" s="6" t="inlineStr">
        <is>
          <t>PROC-04</t>
        </is>
      </c>
      <c r="E12" s="6" t="n">
        <v>3</v>
      </c>
      <c r="F12" s="6" t="n">
        <v>1</v>
      </c>
      <c r="G12" s="6">
        <f>E12+F12</f>
        <v/>
      </c>
      <c r="H12" s="6" t="inlineStr">
        <is>
          <t>3~5만</t>
        </is>
      </c>
      <c r="I12" s="6" t="inlineStr">
        <is>
          <t>6~13만/㎡</t>
        </is>
      </c>
      <c r="J12" s="6" t="inlineStr">
        <is>
          <t>30만/일</t>
        </is>
      </c>
      <c r="K12" s="6" t="n">
        <v>0.15</v>
      </c>
      <c r="L12" s="6" t="inlineStr">
        <is>
          <t>상</t>
        </is>
      </c>
      <c r="M12" s="6" t="inlineStr">
        <is>
          <t>자재_타일</t>
        </is>
      </c>
      <c r="N12" s="6" t="n"/>
    </row>
    <row r="13">
      <c r="A13" s="6" t="inlineStr">
        <is>
          <t>PROC-09</t>
        </is>
      </c>
      <c r="B13" s="6" t="inlineStr">
        <is>
          <t>도장</t>
        </is>
      </c>
      <c r="C13" s="6" t="n">
        <v>9</v>
      </c>
      <c r="D13" s="6" t="inlineStr">
        <is>
          <t>PROC-06</t>
        </is>
      </c>
      <c r="E13" s="6" t="n">
        <v>2</v>
      </c>
      <c r="F13" s="6" t="n">
        <v>1</v>
      </c>
      <c r="G13" s="6">
        <f>E13+F13</f>
        <v/>
      </c>
      <c r="H13" s="6" t="inlineStr">
        <is>
          <t>0.5~1만</t>
        </is>
      </c>
      <c r="I13" s="6" t="inlineStr">
        <is>
          <t>1~2만/㎡</t>
        </is>
      </c>
      <c r="J13" s="6" t="inlineStr">
        <is>
          <t>20만/일</t>
        </is>
      </c>
      <c r="K13" s="6" t="n">
        <v>0.05</v>
      </c>
      <c r="L13" s="6" t="inlineStr">
        <is>
          <t>하</t>
        </is>
      </c>
      <c r="M13" s="6" t="inlineStr">
        <is>
          <t>자재_도장</t>
        </is>
      </c>
      <c r="N13" s="6" t="n"/>
    </row>
    <row r="14">
      <c r="A14" s="6" t="inlineStr">
        <is>
          <t>PROC-10</t>
        </is>
      </c>
      <c r="B14" s="6" t="inlineStr">
        <is>
          <t>마루/바닥</t>
        </is>
      </c>
      <c r="C14" s="6" t="n">
        <v>10</v>
      </c>
      <c r="D14" s="6" t="inlineStr">
        <is>
          <t>PROC-09</t>
        </is>
      </c>
      <c r="E14" s="6" t="n">
        <v>2</v>
      </c>
      <c r="F14" s="6" t="n">
        <v>0</v>
      </c>
      <c r="G14" s="6">
        <f>E14+F14</f>
        <v/>
      </c>
      <c r="H14" s="6" t="inlineStr">
        <is>
          <t>1~3만</t>
        </is>
      </c>
      <c r="I14" s="6" t="inlineStr">
        <is>
          <t>3~9만/㎡</t>
        </is>
      </c>
      <c r="J14" s="6" t="inlineStr">
        <is>
          <t>25만/일</t>
        </is>
      </c>
      <c r="K14" s="6" t="n">
        <v>0.08</v>
      </c>
      <c r="L14" s="6" t="inlineStr">
        <is>
          <t>중</t>
        </is>
      </c>
      <c r="M14" s="6" t="inlineStr">
        <is>
          <t>자재_마루</t>
        </is>
      </c>
      <c r="N14" s="6" t="n"/>
    </row>
    <row r="15">
      <c r="A15" s="6" t="inlineStr">
        <is>
          <t>PROC-11</t>
        </is>
      </c>
      <c r="B15" s="6" t="inlineStr">
        <is>
          <t>도배</t>
        </is>
      </c>
      <c r="C15" s="6" t="n">
        <v>11</v>
      </c>
      <c r="D15" s="6" t="inlineStr">
        <is>
          <t>PROC-09</t>
        </is>
      </c>
      <c r="E15" s="6" t="n">
        <v>2</v>
      </c>
      <c r="F15" s="6" t="n">
        <v>0</v>
      </c>
      <c r="G15" s="6">
        <f>E15+F15</f>
        <v/>
      </c>
      <c r="H15" s="6" t="inlineStr">
        <is>
          <t>0.5~1만</t>
        </is>
      </c>
      <c r="I15" s="6" t="inlineStr">
        <is>
          <t>1~3만/㎡</t>
        </is>
      </c>
      <c r="J15" s="6" t="inlineStr">
        <is>
          <t>22만/일</t>
        </is>
      </c>
      <c r="K15" s="6" t="n">
        <v>0.06</v>
      </c>
      <c r="L15" s="6" t="inlineStr">
        <is>
          <t>하</t>
        </is>
      </c>
      <c r="M15" s="6" t="inlineStr">
        <is>
          <t>자재_도배</t>
        </is>
      </c>
      <c r="N15" s="6" t="n"/>
    </row>
    <row r="16">
      <c r="A16" s="6" t="inlineStr">
        <is>
          <t>PROC-12</t>
        </is>
      </c>
      <c r="B16" s="6" t="inlineStr">
        <is>
          <t>가구/도기</t>
        </is>
      </c>
      <c r="C16" s="6" t="n">
        <v>12</v>
      </c>
      <c r="D16" s="6" t="inlineStr">
        <is>
          <t>PROC-11</t>
        </is>
      </c>
      <c r="E16" s="6" t="n">
        <v>2</v>
      </c>
      <c r="F16" s="6" t="n">
        <v>0</v>
      </c>
      <c r="G16" s="6">
        <f>E16+F16</f>
        <v/>
      </c>
      <c r="H16" s="6" t="inlineStr">
        <is>
          <t>—</t>
        </is>
      </c>
      <c r="I16" s="6" t="inlineStr">
        <is>
          <t>—</t>
        </is>
      </c>
      <c r="J16" s="6" t="inlineStr">
        <is>
          <t>—</t>
        </is>
      </c>
      <c r="K16" s="6" t="n">
        <v>0</v>
      </c>
      <c r="L16" s="6" t="inlineStr">
        <is>
          <t>중</t>
        </is>
      </c>
      <c r="M16" s="6" t="inlineStr">
        <is>
          <t>—</t>
        </is>
      </c>
      <c r="N16" s="6" t="n"/>
    </row>
    <row r="17">
      <c r="A17" s="6" t="inlineStr">
        <is>
          <t>PROC-13</t>
        </is>
      </c>
      <c r="B17" s="6" t="inlineStr">
        <is>
          <t>준공점검</t>
        </is>
      </c>
      <c r="C17" s="6" t="n">
        <v>13</v>
      </c>
      <c r="D17" s="6" t="inlineStr">
        <is>
          <t>PROC-12</t>
        </is>
      </c>
      <c r="E17" s="6" t="n">
        <v>1</v>
      </c>
      <c r="F17" s="6" t="n">
        <v>0</v>
      </c>
      <c r="G17" s="6">
        <f>E17+F17</f>
        <v/>
      </c>
      <c r="H17" s="6" t="inlineStr">
        <is>
          <t>—</t>
        </is>
      </c>
      <c r="I17" s="6" t="inlineStr">
        <is>
          <t>—</t>
        </is>
      </c>
      <c r="J17" s="6" t="inlineStr">
        <is>
          <t>—</t>
        </is>
      </c>
      <c r="K17" s="6" t="n">
        <v>0</v>
      </c>
      <c r="L17" s="6" t="inlineStr">
        <is>
          <t>하</t>
        </is>
      </c>
      <c r="M17" s="6" t="inlineStr">
        <is>
          <t>—</t>
        </is>
      </c>
      <c r="N17" s="6" t="n"/>
    </row>
    <row r="18">
      <c r="A18" s="13" t="inlineStr">
        <is>
          <t>※ 자재시트 열: 해당 공정의 자재 데이터가 있는 시트명. 클릭 시 이동 가능.</t>
        </is>
      </c>
    </row>
  </sheetData>
  <mergeCells count="6">
    <mergeCell ref="A18:N18"/>
    <mergeCell ref="H3:L3"/>
    <mergeCell ref="A3:G3"/>
    <mergeCell ref="A2:N2"/>
    <mergeCell ref="M3:N3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C8181"/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15" customWidth="1" min="4" max="4"/>
    <col width="8" customWidth="1" min="5" max="5"/>
    <col width="30" customWidth="1" min="6" max="6"/>
    <col width="18" customWidth="1" min="7" max="7"/>
  </cols>
  <sheetData>
    <row r="1">
      <c r="A1" s="1" t="inlineStr">
        <is>
          <t>자재 호환성</t>
        </is>
      </c>
    </row>
    <row r="2">
      <c r="A2" s="2" t="inlineStr">
        <is>
          <t>NG/조건부만 기록 (OK는 기록 안 함)</t>
        </is>
      </c>
    </row>
    <row r="4">
      <c r="A4" s="5" t="inlineStr">
        <is>
          <t>자재코드A</t>
        </is>
      </c>
      <c r="B4" s="5" t="inlineStr">
        <is>
          <t>자재명A</t>
        </is>
      </c>
      <c r="C4" s="5" t="inlineStr">
        <is>
          <t>자재코드B</t>
        </is>
      </c>
      <c r="D4" s="5" t="inlineStr">
        <is>
          <t>자재명B</t>
        </is>
      </c>
      <c r="E4" s="5" t="inlineStr">
        <is>
          <t>판정</t>
        </is>
      </c>
      <c r="F4" s="5" t="inlineStr">
        <is>
          <t>사유</t>
        </is>
      </c>
      <c r="G4" s="5" t="inlineStr">
        <is>
          <t>대체추천</t>
        </is>
      </c>
    </row>
    <row r="5">
      <c r="A5" s="6" t="inlineStr">
        <is>
          <t>WP-004</t>
        </is>
      </c>
      <c r="B5" s="6" t="inlineStr">
        <is>
          <t>우레탄 방수재</t>
        </is>
      </c>
      <c r="C5" s="6" t="inlineStr">
        <is>
          <t>BA-001</t>
        </is>
      </c>
      <c r="D5" s="6" t="inlineStr">
        <is>
          <t>타일 본드(시멘트)</t>
        </is>
      </c>
      <c r="E5" s="6" t="inlineStr">
        <is>
          <t>NG</t>
        </is>
      </c>
      <c r="F5" s="6" t="inlineStr">
        <is>
          <t>우레탄 위 시멘트 본드 부착력 없음</t>
        </is>
      </c>
      <c r="G5" s="6" t="inlineStr">
        <is>
          <t>에폭시 본드</t>
        </is>
      </c>
    </row>
    <row r="6">
      <c r="A6" s="6" t="inlineStr">
        <is>
          <t>WP-001</t>
        </is>
      </c>
      <c r="B6" s="6" t="inlineStr">
        <is>
          <t>수성 방수액</t>
        </is>
      </c>
      <c r="C6" s="6" t="inlineStr">
        <is>
          <t>TL-001</t>
        </is>
      </c>
      <c r="D6" s="6" t="inlineStr">
        <is>
          <t>포세린 타일</t>
        </is>
      </c>
      <c r="E6" s="6" t="inlineStr">
        <is>
          <t>조건부</t>
        </is>
      </c>
      <c r="F6" s="6" t="inlineStr">
        <is>
          <t>완전 경화(24~48h) 후에만 가능</t>
        </is>
      </c>
      <c r="G6" s="6" t="inlineStr">
        <is>
          <t>—</t>
        </is>
      </c>
    </row>
    <row r="7">
      <c r="A7" s="6" t="inlineStr">
        <is>
          <t>PT-001</t>
        </is>
      </c>
      <c r="B7" s="6" t="inlineStr">
        <is>
          <t>수성 페인트</t>
        </is>
      </c>
      <c r="C7" s="6" t="inlineStr">
        <is>
          <t>PT-002</t>
        </is>
      </c>
      <c r="D7" s="6" t="inlineStr">
        <is>
          <t>수성 페인트(컬러)</t>
        </is>
      </c>
      <c r="E7" s="6" t="inlineStr">
        <is>
          <t>조건부</t>
        </is>
      </c>
      <c r="F7" s="6" t="inlineStr">
        <is>
          <t>하도 건조 후 상도 가능. 동시 도포 불가</t>
        </is>
      </c>
      <c r="G7" s="6" t="inlineStr">
        <is>
          <t>—</t>
        </is>
      </c>
    </row>
  </sheetData>
  <mergeCells count="2">
    <mergeCell ref="A2:G2"/>
    <mergeCell ref="A1:G1"/>
  </mergeCells>
  <dataValidations count="1">
    <dataValidation sqref="E5:E100" showDropDown="0" showInputMessage="0" showErrorMessage="0" allowBlank="1" type="list">
      <formula1>"NG,조건부"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F7AEA"/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0" customWidth="1" min="4" max="4"/>
    <col width="10" customWidth="1" min="5" max="5"/>
    <col width="14" customWidth="1" min="6" max="6"/>
    <col width="10" customWidth="1" min="7" max="7"/>
    <col width="16" customWidth="1" min="8" max="8"/>
  </cols>
  <sheetData>
    <row r="1">
      <c r="A1" s="1" t="inlineStr">
        <is>
          <t>공급사 테이블</t>
        </is>
      </c>
    </row>
    <row r="2">
      <c r="A2" s="2" t="inlineStr">
        <is>
          <t>공급사 1개 = 1행 | 공정별 자재 시트에서 FK로 연결</t>
        </is>
      </c>
    </row>
    <row r="4">
      <c r="A4" s="5" t="inlineStr">
        <is>
          <t>공급사코드</t>
        </is>
      </c>
      <c r="B4" s="5" t="inlineStr">
        <is>
          <t>공급사명</t>
        </is>
      </c>
      <c r="C4" s="5" t="inlineStr">
        <is>
          <t>취급카테고리</t>
        </is>
      </c>
      <c r="D4" s="5" t="inlineStr">
        <is>
          <t>리드타임</t>
        </is>
      </c>
      <c r="E4" s="5" t="inlineStr">
        <is>
          <t>최소주문</t>
        </is>
      </c>
      <c r="F4" s="5" t="inlineStr">
        <is>
          <t>반품조건</t>
        </is>
      </c>
      <c r="G4" s="5" t="inlineStr">
        <is>
          <t>결제조건</t>
        </is>
      </c>
      <c r="H4" s="5" t="inlineStr">
        <is>
          <t>연락처</t>
        </is>
      </c>
    </row>
    <row r="5">
      <c r="A5" s="6" t="inlineStr">
        <is>
          <t>SUP-001</t>
        </is>
      </c>
      <c r="B5" s="6" t="inlineStr">
        <is>
          <t>OO건자재</t>
        </is>
      </c>
      <c r="C5" s="6" t="inlineStr">
        <is>
          <t>방수, 도장</t>
        </is>
      </c>
      <c r="D5" s="6" t="inlineStr">
        <is>
          <t>2영업일</t>
        </is>
      </c>
      <c r="E5" s="6" t="inlineStr">
        <is>
          <t>10만원</t>
        </is>
      </c>
      <c r="F5" s="6" t="inlineStr">
        <is>
          <t>미개봉 7일</t>
        </is>
      </c>
      <c r="G5" s="6" t="inlineStr">
        <is>
          <t>월말정산</t>
        </is>
      </c>
      <c r="H5" s="6" t="inlineStr">
        <is>
          <t>010-XXXX-XXXX</t>
        </is>
      </c>
    </row>
    <row r="6">
      <c r="A6" s="6" t="inlineStr">
        <is>
          <t>SUP-002</t>
        </is>
      </c>
      <c r="B6" s="6" t="inlineStr">
        <is>
          <t>XX세라믹</t>
        </is>
      </c>
      <c r="C6" s="6" t="inlineStr">
        <is>
          <t>타일</t>
        </is>
      </c>
      <c r="D6" s="6" t="inlineStr">
        <is>
          <t>3~5영업일</t>
        </is>
      </c>
      <c r="E6" s="6" t="inlineStr">
        <is>
          <t>30만원</t>
        </is>
      </c>
      <c r="F6" s="6" t="inlineStr">
        <is>
          <t>파손만 교환</t>
        </is>
      </c>
      <c r="G6" s="6" t="inlineStr">
        <is>
          <t>선결제</t>
        </is>
      </c>
      <c r="H6" s="6" t="inlineStr">
        <is>
          <t>010-XXXX-XXXX</t>
        </is>
      </c>
    </row>
    <row r="7">
      <c r="A7" s="6" t="inlineStr">
        <is>
          <t>SUP-003</t>
        </is>
      </c>
      <c r="B7" s="6" t="inlineStr">
        <is>
          <t>KCC대리점</t>
        </is>
      </c>
      <c r="C7" s="6" t="inlineStr">
        <is>
          <t>도장</t>
        </is>
      </c>
      <c r="D7" s="6" t="inlineStr">
        <is>
          <t>1~2영업일</t>
        </is>
      </c>
      <c r="E7" s="6" t="inlineStr">
        <is>
          <t>5만원</t>
        </is>
      </c>
      <c r="F7" s="6" t="inlineStr">
        <is>
          <t>미개봉 14일</t>
        </is>
      </c>
      <c r="G7" s="6" t="inlineStr">
        <is>
          <t>월말정산</t>
        </is>
      </c>
      <c r="H7" s="6" t="inlineStr">
        <is>
          <t>010-XXXX-XXXX</t>
        </is>
      </c>
    </row>
    <row r="8">
      <c r="A8" s="6" t="inlineStr">
        <is>
          <t>SUP-004</t>
        </is>
      </c>
      <c r="B8" s="6" t="inlineStr">
        <is>
          <t>한화마루</t>
        </is>
      </c>
      <c r="C8" s="6" t="inlineStr">
        <is>
          <t>마루</t>
        </is>
      </c>
      <c r="D8" s="6" t="inlineStr">
        <is>
          <t>3~5영업일</t>
        </is>
      </c>
      <c r="E8" s="6" t="inlineStr">
        <is>
          <t>20만원</t>
        </is>
      </c>
      <c r="F8" s="6" t="inlineStr">
        <is>
          <t>미개봉 7일</t>
        </is>
      </c>
      <c r="G8" s="6" t="inlineStr">
        <is>
          <t>선결제</t>
        </is>
      </c>
      <c r="H8" s="6" t="inlineStr">
        <is>
          <t>010-XXXX-XXXX</t>
        </is>
      </c>
    </row>
    <row r="9">
      <c r="A9" s="6" t="inlineStr">
        <is>
          <t>SUP-005</t>
        </is>
      </c>
      <c r="B9" s="6" t="inlineStr">
        <is>
          <t>OO벽지</t>
        </is>
      </c>
      <c r="C9" s="6" t="inlineStr">
        <is>
          <t>도배</t>
        </is>
      </c>
      <c r="D9" s="6" t="inlineStr">
        <is>
          <t>2~3영업일</t>
        </is>
      </c>
      <c r="E9" s="6" t="inlineStr">
        <is>
          <t>10만원</t>
        </is>
      </c>
      <c r="F9" s="6" t="inlineStr">
        <is>
          <t>미개봉 7일</t>
        </is>
      </c>
      <c r="G9" s="6" t="inlineStr">
        <is>
          <t>월말정산</t>
        </is>
      </c>
      <c r="H9" s="6" t="inlineStr">
        <is>
          <t>010-XXXX-XXXX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8B2AC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공간 유형별 표준 면적</t>
        </is>
      </c>
    </row>
    <row r="2">
      <c r="A2" s="2" t="inlineStr">
        <is>
          <t>견적 시뮬레이터 기본값 | 사용자 미입력 시 참조</t>
        </is>
      </c>
    </row>
    <row r="4">
      <c r="A4" s="5" t="inlineStr">
        <is>
          <t>평형대</t>
        </is>
      </c>
      <c r="B4" s="5" t="inlineStr">
        <is>
          <t>전용면적(㎡)</t>
        </is>
      </c>
      <c r="C4" s="5" t="inlineStr">
        <is>
          <t>욕실(㎡)</t>
        </is>
      </c>
      <c r="D4" s="5" t="inlineStr">
        <is>
          <t>주방(㎡)</t>
        </is>
      </c>
      <c r="E4" s="5" t="inlineStr">
        <is>
          <t>거실(㎡)</t>
        </is>
      </c>
      <c r="F4" s="5" t="inlineStr">
        <is>
          <t>안방(㎡)</t>
        </is>
      </c>
      <c r="G4" s="5" t="inlineStr">
        <is>
          <t>작은방(㎡)</t>
        </is>
      </c>
      <c r="H4" s="5" t="inlineStr">
        <is>
          <t>베란다(㎡)</t>
        </is>
      </c>
    </row>
    <row r="5">
      <c r="A5" s="6" t="inlineStr">
        <is>
          <t>18평</t>
        </is>
      </c>
      <c r="B5" s="6" t="n">
        <v>59</v>
      </c>
      <c r="C5" s="6" t="n">
        <v>3.5</v>
      </c>
      <c r="D5" s="6" t="n">
        <v>5</v>
      </c>
      <c r="E5" s="6" t="n">
        <v>14</v>
      </c>
      <c r="F5" s="6" t="n">
        <v>10</v>
      </c>
      <c r="G5" s="6" t="n">
        <v>7</v>
      </c>
      <c r="H5" s="6" t="n">
        <v>5</v>
      </c>
    </row>
    <row r="6">
      <c r="A6" s="6" t="inlineStr">
        <is>
          <t>25평</t>
        </is>
      </c>
      <c r="B6" s="6" t="n">
        <v>84</v>
      </c>
      <c r="C6" s="6" t="n">
        <v>4.5</v>
      </c>
      <c r="D6" s="6" t="n">
        <v>7</v>
      </c>
      <c r="E6" s="6" t="n">
        <v>20</v>
      </c>
      <c r="F6" s="6" t="n">
        <v>13</v>
      </c>
      <c r="G6" s="6" t="n">
        <v>9</v>
      </c>
      <c r="H6" s="6" t="n">
        <v>7</v>
      </c>
    </row>
    <row r="7">
      <c r="A7" s="6" t="inlineStr">
        <is>
          <t>32평</t>
        </is>
      </c>
      <c r="B7" s="6" t="n">
        <v>105</v>
      </c>
      <c r="C7" s="6" t="n">
        <v>5</v>
      </c>
      <c r="D7" s="6" t="n">
        <v>8</v>
      </c>
      <c r="E7" s="6" t="n">
        <v>25</v>
      </c>
      <c r="F7" s="6" t="n">
        <v>15</v>
      </c>
      <c r="G7" s="6" t="n">
        <v>10</v>
      </c>
      <c r="H7" s="6" t="n">
        <v>8</v>
      </c>
    </row>
    <row r="8">
      <c r="A8" s="6" t="inlineStr">
        <is>
          <t>34평</t>
        </is>
      </c>
      <c r="B8" s="6" t="n">
        <v>112</v>
      </c>
      <c r="C8" s="6" t="n">
        <v>5.5</v>
      </c>
      <c r="D8" s="6" t="n">
        <v>9</v>
      </c>
      <c r="E8" s="6" t="n">
        <v>28</v>
      </c>
      <c r="F8" s="6" t="n">
        <v>16</v>
      </c>
      <c r="G8" s="6" t="n">
        <v>11</v>
      </c>
      <c r="H8" s="6" t="n">
        <v>9</v>
      </c>
    </row>
    <row r="9">
      <c r="A9" s="6" t="inlineStr">
        <is>
          <t>43평</t>
        </is>
      </c>
      <c r="B9" s="6" t="n">
        <v>142</v>
      </c>
      <c r="C9" s="6" t="n">
        <v>6</v>
      </c>
      <c r="D9" s="6" t="n">
        <v>11</v>
      </c>
      <c r="E9" s="6" t="n">
        <v>35</v>
      </c>
      <c r="F9" s="6" t="n">
        <v>20</v>
      </c>
      <c r="G9" s="6" t="n">
        <v>13</v>
      </c>
      <c r="H9" s="6" t="n">
        <v>11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8BB78"/>
    <outlinePr summaryBelow="1" summaryRight="1"/>
    <pageSetUpPr/>
  </sheetPr>
  <dimension ref="A1:M52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6" customWidth="1" min="4" max="4"/>
    <col width="11" customWidth="1" min="5" max="5"/>
    <col width="10" customWidth="1" min="6" max="6"/>
    <col width="8" customWidth="1" min="7" max="7"/>
    <col width="10" customWidth="1" min="8" max="8"/>
    <col width="8" customWidth="1" min="9" max="9"/>
    <col width="9" customWidth="1" min="10" max="10"/>
    <col width="10" customWidth="1" min="11" max="11"/>
    <col width="14" customWidth="1" min="12" max="12"/>
    <col width="10" customWidth="1" min="13" max="13"/>
  </cols>
  <sheetData>
    <row r="1">
      <c r="A1" s="14" t="inlineStr">
        <is>
          <t>빌드어스 자동 견적 시뮬레이터</t>
        </is>
      </c>
    </row>
    <row r="2">
      <c r="A2" s="2" t="inlineStr">
        <is>
          <t>노란 셀에 면적 입력 → 각 공정 시트에서 자재 가져와 자동 계산</t>
        </is>
      </c>
    </row>
    <row r="4">
      <c r="A4" s="15" t="inlineStr">
        <is>
          <t>▼ 면적 입력 (노란 셀)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>
      <c r="A5" s="16" t="inlineStr">
        <is>
          <t>공간</t>
        </is>
      </c>
      <c r="B5" s="16" t="inlineStr">
        <is>
          <t>면적(㎡)</t>
        </is>
      </c>
    </row>
    <row r="6">
      <c r="A6" s="17" t="inlineStr">
        <is>
          <t>욕실 바닥</t>
        </is>
      </c>
      <c r="B6" s="18" t="n">
        <v>4.5</v>
      </c>
    </row>
    <row r="7">
      <c r="A7" s="17" t="inlineStr">
        <is>
          <t>욕실 벽</t>
        </is>
      </c>
      <c r="B7" s="18" t="n">
        <v>12</v>
      </c>
    </row>
    <row r="8">
      <c r="A8" s="17" t="inlineStr">
        <is>
          <t>주방</t>
        </is>
      </c>
      <c r="B8" s="18" t="n">
        <v>7</v>
      </c>
    </row>
    <row r="9">
      <c r="A9" s="17" t="inlineStr">
        <is>
          <t>거실</t>
        </is>
      </c>
      <c r="B9" s="18" t="n">
        <v>20</v>
      </c>
    </row>
    <row r="10">
      <c r="A10" s="17" t="inlineStr">
        <is>
          <t>안방</t>
        </is>
      </c>
      <c r="B10" s="18" t="n">
        <v>13</v>
      </c>
    </row>
    <row r="11">
      <c r="A11" s="17" t="inlineStr">
        <is>
          <t>작은방</t>
        </is>
      </c>
      <c r="B11" s="18" t="n">
        <v>9</v>
      </c>
    </row>
    <row r="12">
      <c r="A12" s="17" t="inlineStr">
        <is>
          <t>베란다</t>
        </is>
      </c>
      <c r="B12" s="18" t="n">
        <v>7</v>
      </c>
    </row>
    <row r="14">
      <c r="A14" s="15" t="inlineStr">
        <is>
          <t>▼ 견적 결과 — 자동 계산 (면적 변경 시 자동 업데이트)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>
      <c r="A15" s="5" t="inlineStr">
        <is>
          <t>공정</t>
        </is>
      </c>
      <c r="B15" s="5" t="inlineStr">
        <is>
          <t>자재명</t>
        </is>
      </c>
      <c r="C15" s="5" t="inlineStr">
        <is>
          <t>규격</t>
        </is>
      </c>
      <c r="D15" s="5" t="inlineStr">
        <is>
          <t>단위</t>
        </is>
      </c>
      <c r="E15" s="5" t="inlineStr">
        <is>
          <t>적용면적(㎡)</t>
        </is>
      </c>
      <c r="F15" s="5" t="inlineStr">
        <is>
          <t>1㎡당소요량</t>
        </is>
      </c>
      <c r="G15" s="5" t="inlineStr">
        <is>
          <t>로스율(%)</t>
        </is>
      </c>
      <c r="H15" s="5" t="inlineStr">
        <is>
          <t>실소요량(총)</t>
        </is>
      </c>
      <c r="I15" s="5" t="inlineStr">
        <is>
          <t>판매단위
수량</t>
        </is>
      </c>
      <c r="J15" s="5" t="inlineStr">
        <is>
          <t>필요수량
(올림)</t>
        </is>
      </c>
      <c r="K15" s="5" t="inlineStr">
        <is>
          <t>단가</t>
        </is>
      </c>
      <c r="L15" s="5" t="inlineStr">
        <is>
          <t>자재비</t>
        </is>
      </c>
      <c r="M15" s="5" t="inlineStr">
        <is>
          <t>시트참조</t>
        </is>
      </c>
    </row>
    <row r="16">
      <c r="A16" s="19" t="inlineStr">
        <is>
          <t>방수</t>
        </is>
      </c>
      <c r="B16" s="19" t="inlineStr">
        <is>
          <t>수성 방수액</t>
        </is>
      </c>
      <c r="C16" s="19" t="inlineStr">
        <is>
          <t>18L</t>
        </is>
      </c>
      <c r="D16" s="19" t="inlineStr">
        <is>
          <t>L</t>
        </is>
      </c>
      <c r="E16" s="20">
        <f>B6</f>
        <v/>
      </c>
      <c r="F16" s="21" t="n">
        <v>0.6</v>
      </c>
      <c r="G16" s="19" t="n">
        <v>10</v>
      </c>
      <c r="H16" s="22">
        <f>E16*F16*(1+G16/100)</f>
        <v/>
      </c>
      <c r="I16" s="19" t="n">
        <v>18</v>
      </c>
      <c r="J16" s="23">
        <f>CEILING(H16/I16,1)</f>
        <v/>
      </c>
      <c r="K16" s="24" t="n">
        <v>45000</v>
      </c>
      <c r="L16" s="25">
        <f>J16*K16</f>
        <v/>
      </c>
      <c r="M16" s="19" t="inlineStr">
        <is>
          <t>자재_방수</t>
        </is>
      </c>
    </row>
    <row r="17">
      <c r="A17" s="19" t="inlineStr">
        <is>
          <t>방수</t>
        </is>
      </c>
      <c r="B17" s="19" t="inlineStr">
        <is>
          <t>부직포</t>
        </is>
      </c>
      <c r="C17" s="19" t="inlineStr">
        <is>
          <t>1m×50m</t>
        </is>
      </c>
      <c r="D17" s="19" t="inlineStr">
        <is>
          <t>㎡</t>
        </is>
      </c>
      <c r="E17" s="20">
        <f>B6</f>
        <v/>
      </c>
      <c r="F17" s="21" t="n">
        <v>1.05</v>
      </c>
      <c r="G17" s="19" t="n">
        <v>5</v>
      </c>
      <c r="H17" s="22">
        <f>E17*F17*(1+G17/100)</f>
        <v/>
      </c>
      <c r="I17" s="19" t="n">
        <v>50</v>
      </c>
      <c r="J17" s="23">
        <f>CEILING(H17/I17,1)</f>
        <v/>
      </c>
      <c r="K17" s="24" t="n">
        <v>15000</v>
      </c>
      <c r="L17" s="25">
        <f>J17*K17</f>
        <v/>
      </c>
      <c r="M17" s="19" t="inlineStr">
        <is>
          <t>자재_방수</t>
        </is>
      </c>
    </row>
    <row r="18">
      <c r="A18" s="19" t="inlineStr">
        <is>
          <t>방수</t>
        </is>
      </c>
      <c r="B18" s="19" t="inlineStr">
        <is>
          <t>프라이머</t>
        </is>
      </c>
      <c r="C18" s="19" t="inlineStr">
        <is>
          <t>4L</t>
        </is>
      </c>
      <c r="D18" s="19" t="inlineStr">
        <is>
          <t>L</t>
        </is>
      </c>
      <c r="E18" s="20">
        <f>B6</f>
        <v/>
      </c>
      <c r="F18" s="21" t="n">
        <v>0.1</v>
      </c>
      <c r="G18" s="19" t="n">
        <v>5</v>
      </c>
      <c r="H18" s="22">
        <f>E18*F18*(1+G18/100)</f>
        <v/>
      </c>
      <c r="I18" s="19" t="n">
        <v>4</v>
      </c>
      <c r="J18" s="23">
        <f>CEILING(H18/I18,1)</f>
        <v/>
      </c>
      <c r="K18" s="24" t="n">
        <v>12000</v>
      </c>
      <c r="L18" s="25">
        <f>J18*K18</f>
        <v/>
      </c>
      <c r="M18" s="19" t="inlineStr">
        <is>
          <t>자재_방수</t>
        </is>
      </c>
    </row>
    <row r="19">
      <c r="A19" s="19" t="inlineStr">
        <is>
          <t>타일</t>
        </is>
      </c>
      <c r="B19" s="19" t="inlineStr">
        <is>
          <t>포세린 타일</t>
        </is>
      </c>
      <c r="C19" s="19" t="inlineStr">
        <is>
          <t>600×600</t>
        </is>
      </c>
      <c r="D19" s="19" t="inlineStr">
        <is>
          <t>장</t>
        </is>
      </c>
      <c r="E19" s="20">
        <f>B6+B7</f>
        <v/>
      </c>
      <c r="F19" s="21" t="n">
        <v>2.8</v>
      </c>
      <c r="G19" s="19" t="n">
        <v>10</v>
      </c>
      <c r="H19" s="22">
        <f>E19*F19*(1+G19/100)</f>
        <v/>
      </c>
      <c r="I19" s="19" t="n">
        <v>8</v>
      </c>
      <c r="J19" s="23">
        <f>CEILING(H19/I19,1)</f>
        <v/>
      </c>
      <c r="K19" s="24" t="n">
        <v>6200</v>
      </c>
      <c r="L19" s="25">
        <f>J19*K19</f>
        <v/>
      </c>
      <c r="M19" s="19" t="inlineStr">
        <is>
          <t>자재_타일</t>
        </is>
      </c>
    </row>
    <row r="20">
      <c r="A20" s="19" t="inlineStr">
        <is>
          <t>타일</t>
        </is>
      </c>
      <c r="B20" s="19" t="inlineStr">
        <is>
          <t>타일 본드</t>
        </is>
      </c>
      <c r="C20" s="19" t="inlineStr">
        <is>
          <t>20kg</t>
        </is>
      </c>
      <c r="D20" s="19" t="inlineStr">
        <is>
          <t>kg</t>
        </is>
      </c>
      <c r="E20" s="20">
        <f>B6+B7</f>
        <v/>
      </c>
      <c r="F20" s="21" t="n">
        <v>4.5</v>
      </c>
      <c r="G20" s="19" t="n">
        <v>5</v>
      </c>
      <c r="H20" s="22">
        <f>E20*F20*(1+G20/100)</f>
        <v/>
      </c>
      <c r="I20" s="19" t="n">
        <v>20</v>
      </c>
      <c r="J20" s="23">
        <f>CEILING(H20/I20,1)</f>
        <v/>
      </c>
      <c r="K20" s="24" t="n">
        <v>12000</v>
      </c>
      <c r="L20" s="25">
        <f>J20*K20</f>
        <v/>
      </c>
      <c r="M20" s="19" t="inlineStr">
        <is>
          <t>자재_타일</t>
        </is>
      </c>
    </row>
    <row r="21">
      <c r="A21" s="19" t="inlineStr">
        <is>
          <t>타일</t>
        </is>
      </c>
      <c r="B21" s="19" t="inlineStr">
        <is>
          <t>줄눈재</t>
        </is>
      </c>
      <c r="C21" s="19" t="inlineStr">
        <is>
          <t>5kg</t>
        </is>
      </c>
      <c r="D21" s="19" t="inlineStr">
        <is>
          <t>kg</t>
        </is>
      </c>
      <c r="E21" s="20">
        <f>B6+B7</f>
        <v/>
      </c>
      <c r="F21" s="21" t="n">
        <v>0.5</v>
      </c>
      <c r="G21" s="19" t="n">
        <v>10</v>
      </c>
      <c r="H21" s="22">
        <f>E21*F21*(1+G21/100)</f>
        <v/>
      </c>
      <c r="I21" s="19" t="n">
        <v>5</v>
      </c>
      <c r="J21" s="23">
        <f>CEILING(H21/I21,1)</f>
        <v/>
      </c>
      <c r="K21" s="24" t="n">
        <v>6000</v>
      </c>
      <c r="L21" s="25">
        <f>J21*K21</f>
        <v/>
      </c>
      <c r="M21" s="19" t="inlineStr">
        <is>
          <t>자재_타일</t>
        </is>
      </c>
    </row>
    <row r="22">
      <c r="A22" s="19" t="inlineStr">
        <is>
          <t>타일</t>
        </is>
      </c>
      <c r="B22" s="19" t="inlineStr">
        <is>
          <t>십자 스페이서</t>
        </is>
      </c>
      <c r="C22" s="19" t="inlineStr">
        <is>
          <t>2mm</t>
        </is>
      </c>
      <c r="D22" s="19" t="inlineStr">
        <is>
          <t>개</t>
        </is>
      </c>
      <c r="E22" s="20">
        <f>B6+B7</f>
        <v/>
      </c>
      <c r="F22" s="21" t="n">
        <v>8</v>
      </c>
      <c r="G22" s="19" t="n">
        <v>20</v>
      </c>
      <c r="H22" s="22">
        <f>E22*F22*(1+G22/100)</f>
        <v/>
      </c>
      <c r="I22" s="19" t="n">
        <v>100</v>
      </c>
      <c r="J22" s="23">
        <f>CEILING(H22/I22,1)</f>
        <v/>
      </c>
      <c r="K22" s="24" t="n">
        <v>2500</v>
      </c>
      <c r="L22" s="25">
        <f>J22*K22</f>
        <v/>
      </c>
      <c r="M22" s="19" t="inlineStr">
        <is>
          <t>자재_타일</t>
        </is>
      </c>
    </row>
    <row r="23">
      <c r="A23" s="19" t="inlineStr">
        <is>
          <t>도장</t>
        </is>
      </c>
      <c r="B23" s="19" t="inlineStr">
        <is>
          <t>수성 페인트</t>
        </is>
      </c>
      <c r="C23" s="19" t="inlineStr">
        <is>
          <t>18L</t>
        </is>
      </c>
      <c r="D23" s="19" t="inlineStr">
        <is>
          <t>L</t>
        </is>
      </c>
      <c r="E23" s="20">
        <f>B8+B9+B10</f>
        <v/>
      </c>
      <c r="F23" s="21" t="n">
        <v>0.15</v>
      </c>
      <c r="G23" s="19" t="n">
        <v>5</v>
      </c>
      <c r="H23" s="22">
        <f>E23*F23*(1+G23/100)</f>
        <v/>
      </c>
      <c r="I23" s="19" t="n">
        <v>18</v>
      </c>
      <c r="J23" s="23">
        <f>CEILING(H23/I23,1)</f>
        <v/>
      </c>
      <c r="K23" s="24" t="n">
        <v>62000</v>
      </c>
      <c r="L23" s="25">
        <f>J23*K23</f>
        <v/>
      </c>
      <c r="M23" s="19" t="inlineStr">
        <is>
          <t>자재_도장</t>
        </is>
      </c>
    </row>
    <row r="24">
      <c r="A24" s="19" t="inlineStr">
        <is>
          <t>도장</t>
        </is>
      </c>
      <c r="B24" s="19" t="inlineStr">
        <is>
          <t>퍼티</t>
        </is>
      </c>
      <c r="C24" s="19" t="inlineStr">
        <is>
          <t>10kg</t>
        </is>
      </c>
      <c r="D24" s="19" t="inlineStr">
        <is>
          <t>kg</t>
        </is>
      </c>
      <c r="E24" s="20">
        <f>B8+B9+B10</f>
        <v/>
      </c>
      <c r="F24" s="21" t="n">
        <v>0.3</v>
      </c>
      <c r="G24" s="19" t="n">
        <v>10</v>
      </c>
      <c r="H24" s="22">
        <f>E24*F24*(1+G24/100)</f>
        <v/>
      </c>
      <c r="I24" s="19" t="n">
        <v>10</v>
      </c>
      <c r="J24" s="23">
        <f>CEILING(H24/I24,1)</f>
        <v/>
      </c>
      <c r="K24" s="24" t="n">
        <v>10000</v>
      </c>
      <c r="L24" s="25">
        <f>J24*K24</f>
        <v/>
      </c>
      <c r="M24" s="19" t="inlineStr">
        <is>
          <t>자재_도장</t>
        </is>
      </c>
    </row>
    <row r="25">
      <c r="A25" s="19" t="inlineStr">
        <is>
          <t>도장</t>
        </is>
      </c>
      <c r="B25" s="19" t="inlineStr">
        <is>
          <t>사포</t>
        </is>
      </c>
      <c r="C25" s="19" t="inlineStr">
        <is>
          <t>P180</t>
        </is>
      </c>
      <c r="D25" s="19" t="inlineStr">
        <is>
          <t>장</t>
        </is>
      </c>
      <c r="E25" s="20">
        <f>B8+B9+B10</f>
        <v/>
      </c>
      <c r="F25" s="21" t="n">
        <v>0.3</v>
      </c>
      <c r="G25" s="19" t="n">
        <v>30</v>
      </c>
      <c r="H25" s="22">
        <f>E25*F25*(1+G25/100)</f>
        <v/>
      </c>
      <c r="I25" s="19" t="n">
        <v>50</v>
      </c>
      <c r="J25" s="23">
        <f>CEILING(H25/I25,1)</f>
        <v/>
      </c>
      <c r="K25" s="24" t="n">
        <v>200</v>
      </c>
      <c r="L25" s="25">
        <f>J25*K25</f>
        <v/>
      </c>
      <c r="M25" s="19" t="inlineStr">
        <is>
          <t>자재_도장</t>
        </is>
      </c>
    </row>
    <row r="26">
      <c r="A26" s="19" t="inlineStr">
        <is>
          <t>도장</t>
        </is>
      </c>
      <c r="B26" s="19" t="inlineStr">
        <is>
          <t>마스킹테이프</t>
        </is>
      </c>
      <c r="C26" s="19" t="inlineStr">
        <is>
          <t>24mm</t>
        </is>
      </c>
      <c r="D26" s="19" t="inlineStr">
        <is>
          <t>롤</t>
        </is>
      </c>
      <c r="E26" s="20">
        <f>B8+B9+B10</f>
        <v/>
      </c>
      <c r="F26" s="21" t="n">
        <v>0.1</v>
      </c>
      <c r="G26" s="19" t="n">
        <v>20</v>
      </c>
      <c r="H26" s="22">
        <f>E26*F26*(1+G26/100)</f>
        <v/>
      </c>
      <c r="I26" s="19" t="n">
        <v>1</v>
      </c>
      <c r="J26" s="23">
        <f>CEILING(H26/I26,1)</f>
        <v/>
      </c>
      <c r="K26" s="24" t="n">
        <v>2500</v>
      </c>
      <c r="L26" s="25">
        <f>J26*K26</f>
        <v/>
      </c>
      <c r="M26" s="19" t="inlineStr">
        <is>
          <t>자재_도장</t>
        </is>
      </c>
    </row>
    <row r="27">
      <c r="A27" s="19" t="inlineStr">
        <is>
          <t>마루</t>
        </is>
      </c>
      <c r="B27" s="19" t="inlineStr">
        <is>
          <t>강마루</t>
        </is>
      </c>
      <c r="C27" s="19" t="inlineStr">
        <is>
          <t>1210×193</t>
        </is>
      </c>
      <c r="D27" s="19" t="inlineStr">
        <is>
          <t>장</t>
        </is>
      </c>
      <c r="E27" s="20">
        <f>B8+B9+B10</f>
        <v/>
      </c>
      <c r="F27" s="21" t="n">
        <v>5.35</v>
      </c>
      <c r="G27" s="19" t="n">
        <v>5</v>
      </c>
      <c r="H27" s="22">
        <f>E27*F27*(1+G27/100)</f>
        <v/>
      </c>
      <c r="I27" s="19" t="n">
        <v>8</v>
      </c>
      <c r="J27" s="23">
        <f>CEILING(H27/I27,1)</f>
        <v/>
      </c>
      <c r="K27" s="24" t="n">
        <v>6200</v>
      </c>
      <c r="L27" s="25">
        <f>J27*K27</f>
        <v/>
      </c>
      <c r="M27" s="19" t="inlineStr">
        <is>
          <t>자재_마루</t>
        </is>
      </c>
    </row>
    <row r="28">
      <c r="A28" s="19" t="inlineStr">
        <is>
          <t>마루</t>
        </is>
      </c>
      <c r="B28" s="19" t="inlineStr">
        <is>
          <t>PE 폼 언더레이</t>
        </is>
      </c>
      <c r="C28" s="19" t="inlineStr">
        <is>
          <t>2mm</t>
        </is>
      </c>
      <c r="D28" s="19" t="inlineStr">
        <is>
          <t>㎡</t>
        </is>
      </c>
      <c r="E28" s="20">
        <f>B8+B9+B10</f>
        <v/>
      </c>
      <c r="F28" s="21" t="n">
        <v>1</v>
      </c>
      <c r="G28" s="19" t="n">
        <v>5</v>
      </c>
      <c r="H28" s="22">
        <f>E28*F28*(1+G28/100)</f>
        <v/>
      </c>
      <c r="I28" s="19" t="n">
        <v>50</v>
      </c>
      <c r="J28" s="23">
        <f>CEILING(H28/I28,1)</f>
        <v/>
      </c>
      <c r="K28" s="24" t="n">
        <v>1000</v>
      </c>
      <c r="L28" s="25">
        <f>J28*K28</f>
        <v/>
      </c>
      <c r="M28" s="19" t="inlineStr">
        <is>
          <t>자재_마루</t>
        </is>
      </c>
    </row>
    <row r="29">
      <c r="A29" s="19" t="inlineStr">
        <is>
          <t>마루</t>
        </is>
      </c>
      <c r="B29" s="19" t="inlineStr">
        <is>
          <t>걸레받이</t>
        </is>
      </c>
      <c r="C29" s="19" t="inlineStr">
        <is>
          <t>60mm</t>
        </is>
      </c>
      <c r="D29" s="19" t="inlineStr">
        <is>
          <t>m</t>
        </is>
      </c>
      <c r="E29" s="20">
        <f>B8+B9+B10</f>
        <v/>
      </c>
      <c r="F29" s="21" t="n">
        <v>0.4</v>
      </c>
      <c r="G29" s="19" t="n">
        <v>10</v>
      </c>
      <c r="H29" s="22">
        <f>E29*F29*(1+G29/100)</f>
        <v/>
      </c>
      <c r="I29" s="19" t="n">
        <v>1</v>
      </c>
      <c r="J29" s="23">
        <f>CEILING(H29/I29,1)</f>
        <v/>
      </c>
      <c r="K29" s="24" t="n">
        <v>3000</v>
      </c>
      <c r="L29" s="25">
        <f>J29*K29</f>
        <v/>
      </c>
      <c r="M29" s="19" t="inlineStr">
        <is>
          <t>자재_마루</t>
        </is>
      </c>
    </row>
    <row r="30">
      <c r="A30" s="19" t="inlineStr">
        <is>
          <t>도배</t>
        </is>
      </c>
      <c r="B30" s="19" t="inlineStr">
        <is>
          <t>합지벽지</t>
        </is>
      </c>
      <c r="C30" s="19" t="inlineStr">
        <is>
          <t>롤(16.5㎡)</t>
        </is>
      </c>
      <c r="D30" s="19" t="inlineStr">
        <is>
          <t>롤</t>
        </is>
      </c>
      <c r="E30" s="20">
        <f>B8+B9+B10</f>
        <v/>
      </c>
      <c r="F30" s="21" t="n">
        <v>0.07000000000000001</v>
      </c>
      <c r="G30" s="19" t="n">
        <v>10</v>
      </c>
      <c r="H30" s="22">
        <f>E30*F30*(1+G30/100)</f>
        <v/>
      </c>
      <c r="I30" s="19" t="n">
        <v>1</v>
      </c>
      <c r="J30" s="23">
        <f>CEILING(H30/I30,1)</f>
        <v/>
      </c>
      <c r="K30" s="24" t="n">
        <v>12000</v>
      </c>
      <c r="L30" s="25">
        <f>J30*K30</f>
        <v/>
      </c>
      <c r="M30" s="19" t="inlineStr">
        <is>
          <t>자재_도배</t>
        </is>
      </c>
    </row>
    <row r="31">
      <c r="A31" s="19" t="inlineStr">
        <is>
          <t>도배</t>
        </is>
      </c>
      <c r="B31" s="19" t="inlineStr">
        <is>
          <t>벽지풀</t>
        </is>
      </c>
      <c r="C31" s="19" t="inlineStr">
        <is>
          <t>5kg</t>
        </is>
      </c>
      <c r="D31" s="19" t="inlineStr">
        <is>
          <t>kg</t>
        </is>
      </c>
      <c r="E31" s="20">
        <f>B8+B9+B10</f>
        <v/>
      </c>
      <c r="F31" s="21" t="n">
        <v>0.15</v>
      </c>
      <c r="G31" s="19" t="n">
        <v>5</v>
      </c>
      <c r="H31" s="22">
        <f>E31*F31*(1+G31/100)</f>
        <v/>
      </c>
      <c r="I31" s="19" t="n">
        <v>5</v>
      </c>
      <c r="J31" s="23">
        <f>CEILING(H31/I31,1)</f>
        <v/>
      </c>
      <c r="K31" s="24" t="n">
        <v>7000</v>
      </c>
      <c r="L31" s="25">
        <f>J31*K31</f>
        <v/>
      </c>
      <c r="M31" s="19" t="inlineStr">
        <is>
          <t>자재_도배</t>
        </is>
      </c>
    </row>
    <row r="32">
      <c r="A32" s="26" t="inlineStr">
        <is>
          <t>합계</t>
        </is>
      </c>
      <c r="L32" s="27">
        <f>SUM(L16:L31)</f>
        <v/>
      </c>
    </row>
    <row r="34">
      <c r="A34" s="15" t="inlineStr">
        <is>
          <t>▼ 공정별 소계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>
      <c r="A35" s="28" t="inlineStr">
        <is>
          <t>방수</t>
        </is>
      </c>
      <c r="B35" s="29">
        <f>SUMIF(A16:A31,"방수",L16:L31)</f>
        <v/>
      </c>
    </row>
    <row r="36">
      <c r="A36" s="28" t="inlineStr">
        <is>
          <t>타일</t>
        </is>
      </c>
      <c r="B36" s="29">
        <f>SUMIF(A16:A31,"타일",L16:L31)</f>
        <v/>
      </c>
    </row>
    <row r="37">
      <c r="A37" s="28" t="inlineStr">
        <is>
          <t>도장</t>
        </is>
      </c>
      <c r="B37" s="29">
        <f>SUMIF(A16:A31,"도장",L16:L31)</f>
        <v/>
      </c>
    </row>
    <row r="38">
      <c r="A38" s="28" t="inlineStr">
        <is>
          <t>마루</t>
        </is>
      </c>
      <c r="B38" s="29">
        <f>SUMIF(A16:A31,"마루",L16:L31)</f>
        <v/>
      </c>
    </row>
    <row r="39">
      <c r="A39" s="28" t="inlineStr">
        <is>
          <t>도배</t>
        </is>
      </c>
      <c r="B39" s="29">
        <f>SUMIF(A16:A31,"도배",L16:L31)</f>
        <v/>
      </c>
    </row>
    <row r="41">
      <c r="A41" s="15" t="inlineStr">
        <is>
          <t>▼ 비용 비교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>
      <c r="A42" s="16" t="inlineStr">
        <is>
          <t>구분</t>
        </is>
      </c>
      <c r="B42" s="16" t="inlineStr">
        <is>
          <t>금액</t>
        </is>
      </c>
      <c r="C42" s="16" t="inlineStr">
        <is>
          <t>절약</t>
        </is>
      </c>
    </row>
    <row r="43">
      <c r="A43" s="19" t="inlineStr">
        <is>
          <t>빌드어스 (셀프 자재비)</t>
        </is>
      </c>
      <c r="B43" s="24">
        <f>L32</f>
        <v/>
      </c>
      <c r="C43" s="19" t="inlineStr">
        <is>
          <t>—</t>
        </is>
      </c>
    </row>
    <row r="44">
      <c r="A44" s="19" t="inlineStr">
        <is>
          <t>인터넷 구매 시 (추정 +15%)</t>
        </is>
      </c>
      <c r="B44" s="24">
        <f>L32*1.15</f>
        <v/>
      </c>
      <c r="C44" s="25">
        <f>B44-B43</f>
        <v/>
      </c>
    </row>
    <row r="45">
      <c r="A45" s="19" t="inlineStr">
        <is>
          <t>업체 의뢰 시 (자재+인건비)</t>
        </is>
      </c>
      <c r="B45" s="24">
        <f>L32*2.5</f>
        <v/>
      </c>
      <c r="C45" s="25">
        <f>B45-B43</f>
        <v/>
      </c>
    </row>
    <row r="47">
      <c r="A47" s="30" t="inlineStr">
        <is>
          <t>사용법</t>
        </is>
      </c>
    </row>
    <row r="48">
      <c r="A48" s="13" t="inlineStr">
        <is>
          <t>1. 노란 셀에 실제 면적(㎡)을 입력하세요 (기본값: 25평 기준)</t>
        </is>
      </c>
    </row>
    <row r="49">
      <c r="A49" s="13" t="inlineStr">
        <is>
          <t>2. 자재를 추가/삭제하려면 견적 결과 표에 행을 추가하고 수식을 복사하세요</t>
        </is>
      </c>
    </row>
    <row r="50">
      <c r="A50" s="13" t="inlineStr">
        <is>
          <t>3. 자재 단가를 변경하려면 해당 공정 시트(자재_방수 등)에서 수정하세요</t>
        </is>
      </c>
    </row>
    <row r="51">
      <c r="A51" s="13" t="inlineStr">
        <is>
          <t>4. 파란 셀 = 수식(자동계산) | 노란 셀 = 입력 | 초록 셀 = 결과</t>
        </is>
      </c>
    </row>
    <row r="52">
      <c r="A52" s="13" t="inlineStr">
        <is>
          <t>5. 시트참조 열: 해당 자재의 상세 정보가 있는 시트명</t>
        </is>
      </c>
    </row>
  </sheetData>
  <mergeCells count="12">
    <mergeCell ref="A14:M14"/>
    <mergeCell ref="A1:M1"/>
    <mergeCell ref="A34:M34"/>
    <mergeCell ref="A50:M50"/>
    <mergeCell ref="A4:M4"/>
    <mergeCell ref="A48:M48"/>
    <mergeCell ref="A51:M51"/>
    <mergeCell ref="A41:M41"/>
    <mergeCell ref="A2:M2"/>
    <mergeCell ref="A49:M49"/>
    <mergeCell ref="A52:M52"/>
    <mergeCell ref="A47:M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2026-03-30T07:56:01Z</dcterms:created>
  <dcterms:modified xmlns:dcterms="http://purl.org/dc/terms/" xmlns:xsi="http://www.w3.org/2001/XMLSchema-instance" xsi:type="dcterms:W3CDTF">2026-03-30T07:56:01Z</dcterms:modified>
</cp:coreProperties>
</file>