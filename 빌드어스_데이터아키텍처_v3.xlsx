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재_01_공사전" sheetId="1" state="visible" r:id="rId1"/>
    <sheet xmlns:r="http://schemas.openxmlformats.org/officeDocument/2006/relationships" name="자재_02_철거" sheetId="2" state="visible" r:id="rId2"/>
    <sheet xmlns:r="http://schemas.openxmlformats.org/officeDocument/2006/relationships" name="자재_03_설비" sheetId="3" state="visible" r:id="rId3"/>
    <sheet xmlns:r="http://schemas.openxmlformats.org/officeDocument/2006/relationships" name="자재_04_전기" sheetId="4" state="visible" r:id="rId4"/>
    <sheet xmlns:r="http://schemas.openxmlformats.org/officeDocument/2006/relationships" name="자재_05_방수" sheetId="5" state="visible" r:id="rId5"/>
    <sheet xmlns:r="http://schemas.openxmlformats.org/officeDocument/2006/relationships" name="자재_06_창호" sheetId="6" state="visible" r:id="rId6"/>
    <sheet xmlns:r="http://schemas.openxmlformats.org/officeDocument/2006/relationships" name="자재_07_목공" sheetId="7" state="visible" r:id="rId7"/>
    <sheet xmlns:r="http://schemas.openxmlformats.org/officeDocument/2006/relationships" name="자재_08_필름" sheetId="8" state="visible" r:id="rId8"/>
    <sheet xmlns:r="http://schemas.openxmlformats.org/officeDocument/2006/relationships" name="자재_09_타일" sheetId="9" state="visible" r:id="rId9"/>
    <sheet xmlns:r="http://schemas.openxmlformats.org/officeDocument/2006/relationships" name="자재_10_도장" sheetId="10" state="visible" r:id="rId10"/>
    <sheet xmlns:r="http://schemas.openxmlformats.org/officeDocument/2006/relationships" name="자재_11_마루" sheetId="11" state="visible" r:id="rId11"/>
    <sheet xmlns:r="http://schemas.openxmlformats.org/officeDocument/2006/relationships" name="자재_12_도배" sheetId="12" state="visible" r:id="rId12"/>
    <sheet xmlns:r="http://schemas.openxmlformats.org/officeDocument/2006/relationships" name="자재_13_가구" sheetId="13" state="visible" r:id="rId13"/>
    <sheet xmlns:r="http://schemas.openxmlformats.org/officeDocument/2006/relationships" name="자재_14_도기마감" sheetId="14" state="visible" r:id="rId14"/>
    <sheet xmlns:r="http://schemas.openxmlformats.org/officeDocument/2006/relationships" name="자재_15_준공" sheetId="15" state="visible" r:id="rId15"/>
    <sheet xmlns:r="http://schemas.openxmlformats.org/officeDocument/2006/relationships" name="공정마스터" sheetId="16" state="visible" r:id="rId16"/>
    <sheet xmlns:r="http://schemas.openxmlformats.org/officeDocument/2006/relationships" name="호환성" sheetId="17" state="visible" r:id="rId17"/>
    <sheet xmlns:r="http://schemas.openxmlformats.org/officeDocument/2006/relationships" name="공급사" sheetId="18" state="visible" r:id="rId18"/>
    <sheet xmlns:r="http://schemas.openxmlformats.org/officeDocument/2006/relationships" name="면적참조" sheetId="19" state="visible" r:id="rId19"/>
  </sheets>
  <definedNames>
    <definedName name="_xlnm._FilterDatabase" localSheetId="0" hidden="1">'자재_01_공사전'!$A$4:$Z$33</definedName>
    <definedName name="_xlnm._FilterDatabase" localSheetId="1" hidden="1">'자재_02_철거'!$A$4:$Z$26</definedName>
    <definedName name="_xlnm._FilterDatabase" localSheetId="2" hidden="1">'자재_03_설비'!$A$4:$Z$41</definedName>
    <definedName name="_xlnm._FilterDatabase" localSheetId="3" hidden="1">'자재_04_전기'!$A$4:$Z$40</definedName>
    <definedName name="_xlnm._FilterDatabase" localSheetId="4" hidden="1">'자재_05_방수'!$A$4:$Z$31</definedName>
    <definedName name="_xlnm._FilterDatabase" localSheetId="5" hidden="1">'자재_06_창호'!$A$4:$Z$34</definedName>
    <definedName name="_xlnm._FilterDatabase" localSheetId="6" hidden="1">'자재_07_목공'!$A$4:$Z$46</definedName>
    <definedName name="_xlnm._FilterDatabase" localSheetId="7" hidden="1">'자재_08_필름'!$A$4:$Z$23</definedName>
    <definedName name="_xlnm._FilterDatabase" localSheetId="8" hidden="1">'자재_09_타일'!$A$4:$Z$44</definedName>
    <definedName name="_xlnm._FilterDatabase" localSheetId="9" hidden="1">'자재_10_도장'!$A$4:$Z$33</definedName>
    <definedName name="_xlnm._FilterDatabase" localSheetId="10" hidden="1">'자재_11_마루'!$A$4:$Z$28</definedName>
    <definedName name="_xlnm._FilterDatabase" localSheetId="11" hidden="1">'자재_12_도배'!$A$4:$Z$41</definedName>
    <definedName name="_xlnm._FilterDatabase" localSheetId="12" hidden="1">'자재_13_가구'!$A$4:$Z$65</definedName>
    <definedName name="_xlnm._FilterDatabase" localSheetId="13" hidden="1">'자재_14_도기마감'!$A$4:$Z$44</definedName>
    <definedName name="_xlnm._FilterDatabase" localSheetId="14" hidden="1">'자재_15_준공'!$A$4:$Z$27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4299E1"/>
      <sz val="11"/>
    </font>
    <font>
      <name val="맑은 고딕"/>
      <b val="1"/>
      <color rgb="00FFFFFF"/>
      <sz val="10"/>
    </font>
    <font>
      <name val="맑은 고딕"/>
      <sz val="10"/>
    </font>
    <font>
      <name val="맑은 고딕"/>
      <i val="1"/>
      <color rgb="00718096"/>
      <sz val="9"/>
    </font>
    <font>
      <name val="맑은 고딕"/>
      <b val="1"/>
      <color rgb="00E53E3E"/>
      <sz val="10"/>
    </font>
    <font>
      <name val="맑은 고딕"/>
      <b val="1"/>
      <color rgb="00D69E2E"/>
      <sz val="10"/>
    </font>
  </fonts>
  <fills count="6">
    <fill>
      <patternFill/>
    </fill>
    <fill>
      <patternFill patternType="gray125"/>
    </fill>
    <fill>
      <patternFill patternType="solid">
        <fgColor rgb="004A5568"/>
        <bgColor rgb="004A5568"/>
      </patternFill>
    </fill>
    <fill>
      <patternFill patternType="solid">
        <fgColor rgb="002D3748"/>
        <bgColor rgb="002D3748"/>
      </patternFill>
    </fill>
    <fill>
      <patternFill patternType="solid">
        <fgColor rgb="00EBF8FF"/>
        <bgColor rgb="00EBF8FF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vertical="center" wrapText="1"/>
    </xf>
    <xf numFmtId="3" fontId="4" fillId="5" borderId="1" applyAlignment="1" pivotButton="0" quotePrefix="0" xfId="0">
      <alignment vertical="center" wrapText="1"/>
    </xf>
    <xf numFmtId="0" fontId="0" fillId="0" borderId="1" pivotButton="0" quotePrefix="0" xfId="0"/>
    <xf numFmtId="164" fontId="0" fillId="4" borderId="1" pivotButton="0" quotePrefix="0" xfId="0"/>
    <xf numFmtId="3" fontId="0" fillId="4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18096"/>
    <outlinePr summaryBelow="1" summaryRight="1"/>
    <pageSetUpPr/>
  </sheetPr>
  <dimension ref="A1:Z3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</cols>
  <sheetData>
    <row r="1" ht="30" customHeight="1">
      <c r="A1" s="1" t="inlineStr">
        <is>
          <t>공사전 준비 자재</t>
        </is>
      </c>
    </row>
    <row r="2">
      <c r="A2" s="2" t="inlineStr">
        <is>
          <t>공정코드: PRE | 체크리스트 기반 전체 자재 목록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</row>
    <row r="5">
      <c r="A5" s="6" t="inlineStr">
        <is>
          <t>PRE-001</t>
        </is>
      </c>
      <c r="B5" s="6" t="inlineStr">
        <is>
          <t>보양재</t>
        </is>
      </c>
      <c r="C5" s="6" t="inlineStr">
        <is>
          <t>롤/시트</t>
        </is>
      </c>
      <c r="D5" s="6" t="inlineStr">
        <is>
          <t>엘리베이터·공용부·에어컨·창호 보양</t>
        </is>
      </c>
      <c r="E5" s="6" t="inlineStr">
        <is>
          <t>필수</t>
        </is>
      </c>
      <c r="F5" s="6" t="inlineStr">
        <is>
          <t>롤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>
        <is>
          <t>현장 손상 방지. 공사 전 필수</t>
        </is>
      </c>
    </row>
    <row r="6">
      <c r="A6" s="6" t="inlineStr">
        <is>
          <t>PRE-002</t>
        </is>
      </c>
      <c r="B6" s="6" t="inlineStr">
        <is>
          <t>소화기</t>
        </is>
      </c>
      <c r="C6" s="6" t="inlineStr">
        <is>
          <t>ABC 3.3kg</t>
        </is>
      </c>
      <c r="D6" s="6" t="inlineStr">
        <is>
          <t>현장 비치</t>
        </is>
      </c>
      <c r="E6" s="6" t="inlineStr">
        <is>
          <t>필수</t>
        </is>
      </c>
      <c r="F6" s="6" t="inlineStr">
        <is>
          <t>개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>
        <is>
          <t>소방 안전</t>
        </is>
      </c>
    </row>
    <row r="7">
      <c r="A7" s="6" t="inlineStr">
        <is>
          <t>PRE-003</t>
        </is>
      </c>
      <c r="B7" s="6" t="inlineStr">
        <is>
          <t>안전수칙 안내문</t>
        </is>
      </c>
      <c r="C7" s="6" t="inlineStr">
        <is>
          <t>A3</t>
        </is>
      </c>
      <c r="D7" s="6" t="inlineStr">
        <is>
          <t>현장 부착</t>
        </is>
      </c>
      <c r="E7" s="6" t="inlineStr">
        <is>
          <t>필수</t>
        </is>
      </c>
      <c r="F7" s="6" t="inlineStr">
        <is>
          <t>장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</row>
    <row r="8">
      <c r="A8" s="6" t="inlineStr">
        <is>
          <t>PRE-004</t>
        </is>
      </c>
      <c r="B8" s="6" t="inlineStr">
        <is>
          <t>공사 안내문</t>
        </is>
      </c>
      <c r="C8" s="6" t="inlineStr">
        <is>
          <t>A4</t>
        </is>
      </c>
      <c r="D8" s="6" t="inlineStr">
        <is>
          <t>이웃 배포 (기간·소음·연락처)</t>
        </is>
      </c>
      <c r="E8" s="6" t="inlineStr">
        <is>
          <t>필수</t>
        </is>
      </c>
      <c r="F8" s="6" t="inlineStr">
        <is>
          <t>장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</row>
    <row r="9">
      <c r="A9" s="6" t="inlineStr">
        <is>
          <t>PRE-005</t>
        </is>
      </c>
      <c r="B9" s="6" t="inlineStr">
        <is>
          <t>마대자루</t>
        </is>
      </c>
      <c r="C9" s="6" t="inlineStr">
        <is>
          <t>PP</t>
        </is>
      </c>
      <c r="D9" s="6" t="inlineStr">
        <is>
          <t>폐기물 담기·현장 정리</t>
        </is>
      </c>
      <c r="E9" s="6" t="inlineStr">
        <is>
          <t>필수</t>
        </is>
      </c>
      <c r="F9" s="6" t="inlineStr">
        <is>
          <t>장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</row>
    <row r="10">
      <c r="A10" s="6" t="inlineStr">
        <is>
          <t>PRE-006</t>
        </is>
      </c>
      <c r="B10" s="6" t="inlineStr">
        <is>
          <t>줄자</t>
        </is>
      </c>
      <c r="C10" s="6" t="inlineStr">
        <is>
          <t>5m/7.5m</t>
        </is>
      </c>
      <c r="D10" s="6" t="inlineStr">
        <is>
          <t>실측용</t>
        </is>
      </c>
      <c r="E10" s="6" t="inlineStr">
        <is>
          <t>필수</t>
        </is>
      </c>
      <c r="F10" s="6" t="inlineStr">
        <is>
          <t>개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</row>
    <row r="11">
      <c r="A11" s="6" t="inlineStr">
        <is>
          <t>PRE-007</t>
        </is>
      </c>
      <c r="B11" s="6" t="inlineStr">
        <is>
          <t>레이저 줄자</t>
        </is>
      </c>
      <c r="C11" s="6" t="inlineStr">
        <is>
          <t>—</t>
        </is>
      </c>
      <c r="D11" s="6" t="inlineStr">
        <is>
          <t>정밀 실측</t>
        </is>
      </c>
      <c r="E11" s="6" t="inlineStr">
        <is>
          <t>선택</t>
        </is>
      </c>
      <c r="F11" s="6" t="inlineStr">
        <is>
          <t>개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</row>
    <row r="12">
      <c r="A12" s="6" t="inlineStr">
        <is>
          <t>PRE-008</t>
        </is>
      </c>
      <c r="B12" s="6" t="inlineStr">
        <is>
          <t>레벨기</t>
        </is>
      </c>
      <c r="C12" s="6" t="inlineStr">
        <is>
          <t>레이저</t>
        </is>
      </c>
      <c r="D12" s="6" t="inlineStr">
        <is>
          <t>수평·수직 확인</t>
        </is>
      </c>
      <c r="E12" s="6" t="inlineStr">
        <is>
          <t>필수</t>
        </is>
      </c>
      <c r="F12" s="6" t="inlineStr">
        <is>
          <t>개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</row>
    <row r="13">
      <c r="A13" s="6" t="inlineStr">
        <is>
          <t>PRE-009</t>
        </is>
      </c>
      <c r="B13" s="6" t="inlineStr">
        <is>
          <t>수평계</t>
        </is>
      </c>
      <c r="C13" s="6" t="inlineStr">
        <is>
          <t>자석형</t>
        </is>
      </c>
      <c r="D13" s="6" t="inlineStr">
        <is>
          <t>수평 확인</t>
        </is>
      </c>
      <c r="E13" s="6" t="inlineStr">
        <is>
          <t>필수</t>
        </is>
      </c>
      <c r="F13" s="6" t="inlineStr">
        <is>
          <t>개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</row>
    <row r="14">
      <c r="A14" s="6" t="inlineStr">
        <is>
          <t>PRE-010</t>
        </is>
      </c>
      <c r="B14" s="6" t="inlineStr">
        <is>
          <t>안전모</t>
        </is>
      </c>
      <c r="C14" s="6" t="inlineStr">
        <is>
          <t>—</t>
        </is>
      </c>
      <c r="D14" s="6" t="inlineStr">
        <is>
          <t>작업자 보호</t>
        </is>
      </c>
      <c r="E14" s="6" t="inlineStr">
        <is>
          <t>필수</t>
        </is>
      </c>
      <c r="F14" s="6" t="inlineStr">
        <is>
          <t>개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</row>
    <row r="15">
      <c r="A15" s="6" t="inlineStr">
        <is>
          <t>PRE-011</t>
        </is>
      </c>
      <c r="B15" s="6" t="inlineStr">
        <is>
          <t>안전화</t>
        </is>
      </c>
      <c r="C15" s="6" t="inlineStr">
        <is>
          <t>—</t>
        </is>
      </c>
      <c r="D15" s="6" t="inlineStr">
        <is>
          <t>작업자 보호</t>
        </is>
      </c>
      <c r="E15" s="6" t="inlineStr">
        <is>
          <t>필수</t>
        </is>
      </c>
      <c r="F15" s="6" t="inlineStr">
        <is>
          <t>켤레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</row>
    <row r="16">
      <c r="A16" s="6" t="inlineStr">
        <is>
          <t>PRE-012</t>
        </is>
      </c>
      <c r="B16" s="6" t="inlineStr">
        <is>
          <t>빗자루/쓰레받이</t>
        </is>
      </c>
      <c r="C16" s="6" t="inlineStr">
        <is>
          <t>—</t>
        </is>
      </c>
      <c r="D16" s="6" t="inlineStr">
        <is>
          <t>현장 청소</t>
        </is>
      </c>
      <c r="E16" s="6" t="inlineStr">
        <is>
          <t>필수</t>
        </is>
      </c>
      <c r="F16" s="6" t="inlineStr">
        <is>
          <t>세트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</row>
    <row r="17">
      <c r="A17" s="6" t="inlineStr">
        <is>
          <t>PRE-013</t>
        </is>
      </c>
      <c r="B17" s="6" t="inlineStr">
        <is>
          <t>사다리차</t>
        </is>
      </c>
      <c r="C17" s="6" t="inlineStr">
        <is>
          <t>—</t>
        </is>
      </c>
      <c r="D17" s="6" t="inlineStr">
        <is>
          <t>자재 양중</t>
        </is>
      </c>
      <c r="E17" s="6" t="inlineStr">
        <is>
          <t>필수</t>
        </is>
      </c>
      <c r="F17" s="6" t="inlineStr">
        <is>
          <t>회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>
        <is>
          <t>외주</t>
        </is>
      </c>
    </row>
    <row r="18">
      <c r="A18" s="6" t="inlineStr">
        <is>
          <t>PRE-014</t>
        </is>
      </c>
      <c r="B18" s="6" t="inlineStr">
        <is>
          <t>작업등</t>
        </is>
      </c>
      <c r="C18" s="6" t="inlineStr">
        <is>
          <t>LED</t>
        </is>
      </c>
      <c r="D18" s="6" t="inlineStr">
        <is>
          <t>공사 기간 조명</t>
        </is>
      </c>
      <c r="E18" s="6" t="inlineStr">
        <is>
          <t>필수</t>
        </is>
      </c>
      <c r="F18" s="6" t="inlineStr">
        <is>
          <t>개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10">
        <f>IF(G19="","",G19*(1+H19/100))</f>
        <v/>
      </c>
      <c r="J19" s="9" t="n"/>
      <c r="K19" s="9" t="n"/>
      <c r="L19" s="9" t="n"/>
      <c r="M19" s="9" t="n"/>
      <c r="N19" s="9" t="n"/>
      <c r="O19" s="9" t="n"/>
      <c r="P19" s="9" t="n"/>
      <c r="Q19" s="11">
        <f>IF(OR(O19="",P19=""),"",MIN(O19,P19)-N19)</f>
        <v/>
      </c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10">
        <f>IF(G20="","",G20*(1+H20/100))</f>
        <v/>
      </c>
      <c r="J20" s="9" t="n"/>
      <c r="K20" s="9" t="n"/>
      <c r="L20" s="9" t="n"/>
      <c r="M20" s="9" t="n"/>
      <c r="N20" s="9" t="n"/>
      <c r="O20" s="9" t="n"/>
      <c r="P20" s="9" t="n"/>
      <c r="Q20" s="11">
        <f>IF(OR(O20="",P20=""),"",MIN(O20,P20)-N20)</f>
        <v/>
      </c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10">
        <f>IF(G21="","",G21*(1+H21/100))</f>
        <v/>
      </c>
      <c r="J21" s="9" t="n"/>
      <c r="K21" s="9" t="n"/>
      <c r="L21" s="9" t="n"/>
      <c r="M21" s="9" t="n"/>
      <c r="N21" s="9" t="n"/>
      <c r="O21" s="9" t="n"/>
      <c r="P21" s="9" t="n"/>
      <c r="Q21" s="11">
        <f>IF(OR(O21="",P21=""),"",MIN(O21,P21)-N21)</f>
        <v/>
      </c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10">
        <f>IF(G22="","",G22*(1+H22/100))</f>
        <v/>
      </c>
      <c r="J22" s="9" t="n"/>
      <c r="K22" s="9" t="n"/>
      <c r="L22" s="9" t="n"/>
      <c r="M22" s="9" t="n"/>
      <c r="N22" s="9" t="n"/>
      <c r="O22" s="9" t="n"/>
      <c r="P22" s="9" t="n"/>
      <c r="Q22" s="11">
        <f>IF(OR(O22="",P22=""),"",MIN(O22,P22)-N22)</f>
        <v/>
      </c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10">
        <f>IF(G23="","",G23*(1+H23/100))</f>
        <v/>
      </c>
      <c r="J23" s="9" t="n"/>
      <c r="K23" s="9" t="n"/>
      <c r="L23" s="9" t="n"/>
      <c r="M23" s="9" t="n"/>
      <c r="N23" s="9" t="n"/>
      <c r="O23" s="9" t="n"/>
      <c r="P23" s="9" t="n"/>
      <c r="Q23" s="11">
        <f>IF(OR(O23="",P23=""),"",MIN(O23,P23)-N23)</f>
        <v/>
      </c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10">
        <f>IF(G24="","",G24*(1+H24/100))</f>
        <v/>
      </c>
      <c r="J24" s="9" t="n"/>
      <c r="K24" s="9" t="n"/>
      <c r="L24" s="9" t="n"/>
      <c r="M24" s="9" t="n"/>
      <c r="N24" s="9" t="n"/>
      <c r="O24" s="9" t="n"/>
      <c r="P24" s="9" t="n"/>
      <c r="Q24" s="11">
        <f>IF(OR(O24="",P24=""),"",MIN(O24,P24)-N24)</f>
        <v/>
      </c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10">
        <f>IF(G25="","",G25*(1+H25/100))</f>
        <v/>
      </c>
      <c r="J25" s="9" t="n"/>
      <c r="K25" s="9" t="n"/>
      <c r="L25" s="9" t="n"/>
      <c r="M25" s="9" t="n"/>
      <c r="N25" s="9" t="n"/>
      <c r="O25" s="9" t="n"/>
      <c r="P25" s="9" t="n"/>
      <c r="Q25" s="11">
        <f>IF(OR(O25="",P25=""),"",MIN(O25,P25)-N25)</f>
        <v/>
      </c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10">
        <f>IF(G26="","",G26*(1+H26/100))</f>
        <v/>
      </c>
      <c r="J26" s="9" t="n"/>
      <c r="K26" s="9" t="n"/>
      <c r="L26" s="9" t="n"/>
      <c r="M26" s="9" t="n"/>
      <c r="N26" s="9" t="n"/>
      <c r="O26" s="9" t="n"/>
      <c r="P26" s="9" t="n"/>
      <c r="Q26" s="11">
        <f>IF(OR(O26="",P26=""),"",MIN(O26,P26)-N26)</f>
        <v/>
      </c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10">
        <f>IF(G27="","",G27*(1+H27/100))</f>
        <v/>
      </c>
      <c r="J27" s="9" t="n"/>
      <c r="K27" s="9" t="n"/>
      <c r="L27" s="9" t="n"/>
      <c r="M27" s="9" t="n"/>
      <c r="N27" s="9" t="n"/>
      <c r="O27" s="9" t="n"/>
      <c r="P27" s="9" t="n"/>
      <c r="Q27" s="11">
        <f>IF(OR(O27="",P27=""),"",MIN(O27,P27)-N27)</f>
        <v/>
      </c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10">
        <f>IF(G28="","",G28*(1+H28/100))</f>
        <v/>
      </c>
      <c r="J28" s="9" t="n"/>
      <c r="K28" s="9" t="n"/>
      <c r="L28" s="9" t="n"/>
      <c r="M28" s="9" t="n"/>
      <c r="N28" s="9" t="n"/>
      <c r="O28" s="9" t="n"/>
      <c r="P28" s="9" t="n"/>
      <c r="Q28" s="11">
        <f>IF(OR(O28="",P28=""),"",MIN(O28,P28)-N28)</f>
        <v/>
      </c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10">
        <f>IF(G29="","",G29*(1+H29/100))</f>
        <v/>
      </c>
      <c r="J29" s="9" t="n"/>
      <c r="K29" s="9" t="n"/>
      <c r="L29" s="9" t="n"/>
      <c r="M29" s="9" t="n"/>
      <c r="N29" s="9" t="n"/>
      <c r="O29" s="9" t="n"/>
      <c r="P29" s="9" t="n"/>
      <c r="Q29" s="11">
        <f>IF(OR(O29="",P29=""),"",MIN(O29,P29)-N29)</f>
        <v/>
      </c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10">
        <f>IF(G30="","",G30*(1+H30/100))</f>
        <v/>
      </c>
      <c r="J30" s="9" t="n"/>
      <c r="K30" s="9" t="n"/>
      <c r="L30" s="9" t="n"/>
      <c r="M30" s="9" t="n"/>
      <c r="N30" s="9" t="n"/>
      <c r="O30" s="9" t="n"/>
      <c r="P30" s="9" t="n"/>
      <c r="Q30" s="11">
        <f>IF(OR(O30="",P30=""),"",MIN(O30,P30)-N30)</f>
        <v/>
      </c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10">
        <f>IF(G31="","",G31*(1+H31/100))</f>
        <v/>
      </c>
      <c r="J31" s="9" t="n"/>
      <c r="K31" s="9" t="n"/>
      <c r="L31" s="9" t="n"/>
      <c r="M31" s="9" t="n"/>
      <c r="N31" s="9" t="n"/>
      <c r="O31" s="9" t="n"/>
      <c r="P31" s="9" t="n"/>
      <c r="Q31" s="11">
        <f>IF(OR(O31="",P31=""),"",MIN(O31,P31)-N31)</f>
        <v/>
      </c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10">
        <f>IF(G32="","",G32*(1+H32/100))</f>
        <v/>
      </c>
      <c r="J32" s="9" t="n"/>
      <c r="K32" s="9" t="n"/>
      <c r="L32" s="9" t="n"/>
      <c r="M32" s="9" t="n"/>
      <c r="N32" s="9" t="n"/>
      <c r="O32" s="9" t="n"/>
      <c r="P32" s="9" t="n"/>
      <c r="Q32" s="11">
        <f>IF(OR(O32="",P32=""),"",MIN(O32,P32)-N32)</f>
        <v/>
      </c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10">
        <f>IF(G33="","",G33*(1+H33/100))</f>
        <v/>
      </c>
      <c r="J33" s="9" t="n"/>
      <c r="K33" s="9" t="n"/>
      <c r="L33" s="9" t="n"/>
      <c r="M33" s="9" t="n"/>
      <c r="N33" s="9" t="n"/>
      <c r="O33" s="9" t="n"/>
      <c r="P33" s="9" t="n"/>
      <c r="Q33" s="11">
        <f>IF(OR(O33="",P33=""),"",MIN(O33,P33)-N33)</f>
        <v/>
      </c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5">
      <c r="A35" s="12" t="inlineStr">
        <is>
          <t>※ 파란 셀 = 수식 자동계산 | 소요량·로스율은 대표 확인 필요 | 가격은 유통 확인 필요</t>
        </is>
      </c>
    </row>
  </sheetData>
  <autoFilter ref="A4:Z33"/>
  <mergeCells count="8">
    <mergeCell ref="R3:U3"/>
    <mergeCell ref="A1:Z1"/>
    <mergeCell ref="J3:Q3"/>
    <mergeCell ref="Y3:Z3"/>
    <mergeCell ref="A35:Z35"/>
    <mergeCell ref="A3:I3"/>
    <mergeCell ref="A2:Z2"/>
    <mergeCell ref="V3:X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0AEC0"/>
    <outlinePr summaryBelow="1" summaryRight="1"/>
    <pageSetUpPr/>
  </sheetPr>
  <dimension ref="A1:Z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</cols>
  <sheetData>
    <row r="1" ht="30" customHeight="1">
      <c r="A1" s="1" t="inlineStr">
        <is>
          <t>철거 자재</t>
        </is>
      </c>
    </row>
    <row r="2">
      <c r="A2" s="2" t="inlineStr">
        <is>
          <t>공정코드: DM | 체크리스트 기반 전체 자재 목록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</row>
    <row r="5">
      <c r="A5" s="6" t="inlineStr">
        <is>
          <t>DM-001</t>
        </is>
      </c>
      <c r="B5" s="6" t="inlineStr">
        <is>
          <t>뿌레카(전동해머)</t>
        </is>
      </c>
      <c r="C5" s="6" t="inlineStr">
        <is>
          <t>—</t>
        </is>
      </c>
      <c r="D5" s="6" t="inlineStr">
        <is>
          <t>콘크리트·타일 파쇄</t>
        </is>
      </c>
      <c r="E5" s="6" t="inlineStr">
        <is>
          <t>필수</t>
        </is>
      </c>
      <c r="F5" s="6" t="inlineStr">
        <is>
          <t>대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</row>
    <row r="6">
      <c r="A6" s="6" t="inlineStr">
        <is>
          <t>DM-002</t>
        </is>
      </c>
      <c r="B6" s="6" t="inlineStr">
        <is>
          <t>그라인더</t>
        </is>
      </c>
      <c r="C6" s="6" t="inlineStr">
        <is>
          <t>4인치</t>
        </is>
      </c>
      <c r="D6" s="6" t="inlineStr">
        <is>
          <t>절단·연삭</t>
        </is>
      </c>
      <c r="E6" s="6" t="inlineStr">
        <is>
          <t>필수</t>
        </is>
      </c>
      <c r="F6" s="6" t="inlineStr">
        <is>
          <t>대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</row>
    <row r="7">
      <c r="A7" s="6" t="inlineStr">
        <is>
          <t>DM-003</t>
        </is>
      </c>
      <c r="B7" s="6" t="inlineStr">
        <is>
          <t>매직</t>
        </is>
      </c>
      <c r="C7" s="6" t="inlineStr">
        <is>
          <t>유성</t>
        </is>
      </c>
      <c r="D7" s="6" t="inlineStr">
        <is>
          <t>철거 범위 현장 표시</t>
        </is>
      </c>
      <c r="E7" s="6" t="inlineStr">
        <is>
          <t>필수</t>
        </is>
      </c>
      <c r="F7" s="6" t="inlineStr">
        <is>
          <t>개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</row>
    <row r="8">
      <c r="A8" s="6" t="inlineStr">
        <is>
          <t>DM-004</t>
        </is>
      </c>
      <c r="B8" s="6" t="inlineStr">
        <is>
          <t>보양재</t>
        </is>
      </c>
      <c r="C8" s="6" t="inlineStr">
        <is>
          <t>롤/시트</t>
        </is>
      </c>
      <c r="D8" s="6" t="inlineStr">
        <is>
          <t>파쇄 후 즉시 보양</t>
        </is>
      </c>
      <c r="E8" s="6" t="inlineStr">
        <is>
          <t>필수</t>
        </is>
      </c>
      <c r="F8" s="6" t="inlineStr">
        <is>
          <t>롤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</row>
    <row r="9">
      <c r="A9" s="6" t="inlineStr">
        <is>
          <t>DM-005</t>
        </is>
      </c>
      <c r="B9" s="6" t="inlineStr">
        <is>
          <t>레미탈</t>
        </is>
      </c>
      <c r="C9" s="6" t="inlineStr">
        <is>
          <t>40kg</t>
        </is>
      </c>
      <c r="D9" s="6" t="inlineStr">
        <is>
          <t>습식 자재 (철거 후 발주)</t>
        </is>
      </c>
      <c r="E9" s="6" t="inlineStr">
        <is>
          <t>필수</t>
        </is>
      </c>
      <c r="F9" s="6" t="inlineStr">
        <is>
          <t>포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</row>
    <row r="10">
      <c r="A10" s="6" t="inlineStr">
        <is>
          <t>DM-006</t>
        </is>
      </c>
      <c r="B10" s="6" t="inlineStr">
        <is>
          <t>벽돌</t>
        </is>
      </c>
      <c r="C10" s="6" t="inlineStr">
        <is>
          <t>시멘트벽돌</t>
        </is>
      </c>
      <c r="D10" s="6" t="inlineStr">
        <is>
          <t>조적 공사</t>
        </is>
      </c>
      <c r="E10" s="6" t="inlineStr">
        <is>
          <t>선택</t>
        </is>
      </c>
      <c r="F10" s="6" t="inlineStr">
        <is>
          <t>장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</row>
    <row r="11">
      <c r="A11" s="6" t="inlineStr">
        <is>
          <t>DM-007</t>
        </is>
      </c>
      <c r="B11" s="6" t="inlineStr">
        <is>
          <t>단열재</t>
        </is>
      </c>
      <c r="C11" s="6" t="inlineStr">
        <is>
          <t>아이소핑크</t>
        </is>
      </c>
      <c r="D11" s="6" t="inlineStr">
        <is>
          <t>확장부 철거 단면</t>
        </is>
      </c>
      <c r="E11" s="6" t="inlineStr">
        <is>
          <t>선택</t>
        </is>
      </c>
      <c r="F11" s="6" t="inlineStr">
        <is>
          <t>장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10">
        <f>IF(G12="","",G12*(1+H12/100))</f>
        <v/>
      </c>
      <c r="J12" s="9" t="n"/>
      <c r="K12" s="9" t="n"/>
      <c r="L12" s="9" t="n"/>
      <c r="M12" s="9" t="n"/>
      <c r="N12" s="9" t="n"/>
      <c r="O12" s="9" t="n"/>
      <c r="P12" s="9" t="n"/>
      <c r="Q12" s="11">
        <f>IF(OR(O12="",P12=""),"",MIN(O12,P12)-N12)</f>
        <v/>
      </c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10">
        <f>IF(G13="","",G13*(1+H13/100))</f>
        <v/>
      </c>
      <c r="J13" s="9" t="n"/>
      <c r="K13" s="9" t="n"/>
      <c r="L13" s="9" t="n"/>
      <c r="M13" s="9" t="n"/>
      <c r="N13" s="9" t="n"/>
      <c r="O13" s="9" t="n"/>
      <c r="P13" s="9" t="n"/>
      <c r="Q13" s="11">
        <f>IF(OR(O13="",P13=""),"",MIN(O13,P13)-N13)</f>
        <v/>
      </c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10">
        <f>IF(G14="","",G14*(1+H14/100))</f>
        <v/>
      </c>
      <c r="J14" s="9" t="n"/>
      <c r="K14" s="9" t="n"/>
      <c r="L14" s="9" t="n"/>
      <c r="M14" s="9" t="n"/>
      <c r="N14" s="9" t="n"/>
      <c r="O14" s="9" t="n"/>
      <c r="P14" s="9" t="n"/>
      <c r="Q14" s="11">
        <f>IF(OR(O14="",P14=""),"",MIN(O14,P14)-N14)</f>
        <v/>
      </c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10">
        <f>IF(G15="","",G15*(1+H15/100))</f>
        <v/>
      </c>
      <c r="J15" s="9" t="n"/>
      <c r="K15" s="9" t="n"/>
      <c r="L15" s="9" t="n"/>
      <c r="M15" s="9" t="n"/>
      <c r="N15" s="9" t="n"/>
      <c r="O15" s="9" t="n"/>
      <c r="P15" s="9" t="n"/>
      <c r="Q15" s="11">
        <f>IF(OR(O15="",P15=""),"",MIN(O15,P15)-N15)</f>
        <v/>
      </c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10">
        <f>IF(G16="","",G16*(1+H16/100))</f>
        <v/>
      </c>
      <c r="J16" s="9" t="n"/>
      <c r="K16" s="9" t="n"/>
      <c r="L16" s="9" t="n"/>
      <c r="M16" s="9" t="n"/>
      <c r="N16" s="9" t="n"/>
      <c r="O16" s="9" t="n"/>
      <c r="P16" s="9" t="n"/>
      <c r="Q16" s="11">
        <f>IF(OR(O16="",P16=""),"",MIN(O16,P16)-N16)</f>
        <v/>
      </c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10">
        <f>IF(G17="","",G17*(1+H17/100))</f>
        <v/>
      </c>
      <c r="J17" s="9" t="n"/>
      <c r="K17" s="9" t="n"/>
      <c r="L17" s="9" t="n"/>
      <c r="M17" s="9" t="n"/>
      <c r="N17" s="9" t="n"/>
      <c r="O17" s="9" t="n"/>
      <c r="P17" s="9" t="n"/>
      <c r="Q17" s="11">
        <f>IF(OR(O17="",P17=""),"",MIN(O17,P17)-N17)</f>
        <v/>
      </c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10">
        <f>IF(G18="","",G18*(1+H18/100))</f>
        <v/>
      </c>
      <c r="J18" s="9" t="n"/>
      <c r="K18" s="9" t="n"/>
      <c r="L18" s="9" t="n"/>
      <c r="M18" s="9" t="n"/>
      <c r="N18" s="9" t="n"/>
      <c r="O18" s="9" t="n"/>
      <c r="P18" s="9" t="n"/>
      <c r="Q18" s="11">
        <f>IF(OR(O18="",P18=""),"",MIN(O18,P18)-N18)</f>
        <v/>
      </c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10">
        <f>IF(G19="","",G19*(1+H19/100))</f>
        <v/>
      </c>
      <c r="J19" s="9" t="n"/>
      <c r="K19" s="9" t="n"/>
      <c r="L19" s="9" t="n"/>
      <c r="M19" s="9" t="n"/>
      <c r="N19" s="9" t="n"/>
      <c r="O19" s="9" t="n"/>
      <c r="P19" s="9" t="n"/>
      <c r="Q19" s="11">
        <f>IF(OR(O19="",P19=""),"",MIN(O19,P19)-N19)</f>
        <v/>
      </c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10">
        <f>IF(G20="","",G20*(1+H20/100))</f>
        <v/>
      </c>
      <c r="J20" s="9" t="n"/>
      <c r="K20" s="9" t="n"/>
      <c r="L20" s="9" t="n"/>
      <c r="M20" s="9" t="n"/>
      <c r="N20" s="9" t="n"/>
      <c r="O20" s="9" t="n"/>
      <c r="P20" s="9" t="n"/>
      <c r="Q20" s="11">
        <f>IF(OR(O20="",P20=""),"",MIN(O20,P20)-N20)</f>
        <v/>
      </c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10">
        <f>IF(G21="","",G21*(1+H21/100))</f>
        <v/>
      </c>
      <c r="J21" s="9" t="n"/>
      <c r="K21" s="9" t="n"/>
      <c r="L21" s="9" t="n"/>
      <c r="M21" s="9" t="n"/>
      <c r="N21" s="9" t="n"/>
      <c r="O21" s="9" t="n"/>
      <c r="P21" s="9" t="n"/>
      <c r="Q21" s="11">
        <f>IF(OR(O21="",P21=""),"",MIN(O21,P21)-N21)</f>
        <v/>
      </c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10">
        <f>IF(G22="","",G22*(1+H22/100))</f>
        <v/>
      </c>
      <c r="J22" s="9" t="n"/>
      <c r="K22" s="9" t="n"/>
      <c r="L22" s="9" t="n"/>
      <c r="M22" s="9" t="n"/>
      <c r="N22" s="9" t="n"/>
      <c r="O22" s="9" t="n"/>
      <c r="P22" s="9" t="n"/>
      <c r="Q22" s="11">
        <f>IF(OR(O22="",P22=""),"",MIN(O22,P22)-N22)</f>
        <v/>
      </c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10">
        <f>IF(G23="","",G23*(1+H23/100))</f>
        <v/>
      </c>
      <c r="J23" s="9" t="n"/>
      <c r="K23" s="9" t="n"/>
      <c r="L23" s="9" t="n"/>
      <c r="M23" s="9" t="n"/>
      <c r="N23" s="9" t="n"/>
      <c r="O23" s="9" t="n"/>
      <c r="P23" s="9" t="n"/>
      <c r="Q23" s="11">
        <f>IF(OR(O23="",P23=""),"",MIN(O23,P23)-N23)</f>
        <v/>
      </c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10">
        <f>IF(G24="","",G24*(1+H24/100))</f>
        <v/>
      </c>
      <c r="J24" s="9" t="n"/>
      <c r="K24" s="9" t="n"/>
      <c r="L24" s="9" t="n"/>
      <c r="M24" s="9" t="n"/>
      <c r="N24" s="9" t="n"/>
      <c r="O24" s="9" t="n"/>
      <c r="P24" s="9" t="n"/>
      <c r="Q24" s="11">
        <f>IF(OR(O24="",P24=""),"",MIN(O24,P24)-N24)</f>
        <v/>
      </c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10">
        <f>IF(G25="","",G25*(1+H25/100))</f>
        <v/>
      </c>
      <c r="J25" s="9" t="n"/>
      <c r="K25" s="9" t="n"/>
      <c r="L25" s="9" t="n"/>
      <c r="M25" s="9" t="n"/>
      <c r="N25" s="9" t="n"/>
      <c r="O25" s="9" t="n"/>
      <c r="P25" s="9" t="n"/>
      <c r="Q25" s="11">
        <f>IF(OR(O25="",P25=""),"",MIN(O25,P25)-N25)</f>
        <v/>
      </c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10">
        <f>IF(G26="","",G26*(1+H26/100))</f>
        <v/>
      </c>
      <c r="J26" s="9" t="n"/>
      <c r="K26" s="9" t="n"/>
      <c r="L26" s="9" t="n"/>
      <c r="M26" s="9" t="n"/>
      <c r="N26" s="9" t="n"/>
      <c r="O26" s="9" t="n"/>
      <c r="P26" s="9" t="n"/>
      <c r="Q26" s="11">
        <f>IF(OR(O26="",P26=""),"",MIN(O26,P26)-N26)</f>
        <v/>
      </c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8">
      <c r="A28" s="12" t="inlineStr">
        <is>
          <t>※ 파란 셀 = 수식 자동계산 | 소요량·로스율은 대표 확인 필요 | 가격은 유통 확인 필요</t>
        </is>
      </c>
    </row>
  </sheetData>
  <autoFilter ref="A4:Z26"/>
  <mergeCells count="8">
    <mergeCell ref="R3:U3"/>
    <mergeCell ref="A28:Z28"/>
    <mergeCell ref="A1:Z1"/>
    <mergeCell ref="J3:Q3"/>
    <mergeCell ref="Y3:Z3"/>
    <mergeCell ref="A3:I3"/>
    <mergeCell ref="A2:Z2"/>
    <mergeCell ref="V3:X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299E1"/>
    <outlinePr summaryBelow="1" summaryRight="1"/>
    <pageSetUpPr/>
  </sheetPr>
  <dimension ref="A1:Z4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</cols>
  <sheetData>
    <row r="1" ht="30" customHeight="1">
      <c r="A1" s="1" t="inlineStr">
        <is>
          <t>설비(배관) 자재</t>
        </is>
      </c>
    </row>
    <row r="2">
      <c r="A2" s="2" t="inlineStr">
        <is>
          <t>공정코드: PL | 체크리스트 기반 전체 자재 목록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</row>
    <row r="5">
      <c r="A5" s="6" t="inlineStr">
        <is>
          <t>PL-001</t>
        </is>
      </c>
      <c r="B5" s="6" t="inlineStr">
        <is>
          <t>급수관</t>
        </is>
      </c>
      <c r="C5" s="6" t="inlineStr">
        <is>
          <t>PPC/엑셀</t>
        </is>
      </c>
      <c r="D5" s="6" t="inlineStr">
        <is>
          <t>수도 급수 배관</t>
        </is>
      </c>
      <c r="E5" s="6" t="inlineStr">
        <is>
          <t>필수</t>
        </is>
      </c>
      <c r="F5" s="6" t="inlineStr">
        <is>
          <t>m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</row>
    <row r="6">
      <c r="A6" s="6" t="inlineStr">
        <is>
          <t>PL-002</t>
        </is>
      </c>
      <c r="B6" s="6" t="inlineStr">
        <is>
          <t>배수관</t>
        </is>
      </c>
      <c r="C6" s="6" t="inlineStr">
        <is>
          <t>PVC</t>
        </is>
      </c>
      <c r="D6" s="6" t="inlineStr">
        <is>
          <t>배수용 (구배 확인)</t>
        </is>
      </c>
      <c r="E6" s="6" t="inlineStr">
        <is>
          <t>필수</t>
        </is>
      </c>
      <c r="F6" s="6" t="inlineStr">
        <is>
          <t>m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</row>
    <row r="7">
      <c r="A7" s="6" t="inlineStr">
        <is>
          <t>PL-003</t>
        </is>
      </c>
      <c r="B7" s="6" t="inlineStr">
        <is>
          <t>난방 배관</t>
        </is>
      </c>
      <c r="C7" s="6" t="inlineStr">
        <is>
          <t>엑셀파이프</t>
        </is>
      </c>
      <c r="D7" s="6" t="inlineStr">
        <is>
          <t>확장 구간 바닥</t>
        </is>
      </c>
      <c r="E7" s="6" t="inlineStr">
        <is>
          <t>필수</t>
        </is>
      </c>
      <c r="F7" s="6" t="inlineStr">
        <is>
          <t>m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</row>
    <row r="8">
      <c r="A8" s="6" t="inlineStr">
        <is>
          <t>PL-004</t>
        </is>
      </c>
      <c r="B8" s="6" t="inlineStr">
        <is>
          <t>동배관</t>
        </is>
      </c>
      <c r="C8" s="6" t="inlineStr">
        <is>
          <t>15A/20A</t>
        </is>
      </c>
      <c r="D8" s="6" t="inlineStr">
        <is>
          <t>노후 아파트 급수·난방</t>
        </is>
      </c>
      <c r="E8" s="6" t="inlineStr">
        <is>
          <t>선택</t>
        </is>
      </c>
      <c r="F8" s="6" t="inlineStr">
        <is>
          <t>m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>
        <is>
          <t>파손 위험 고지</t>
        </is>
      </c>
    </row>
    <row r="9">
      <c r="A9" s="6" t="inlineStr">
        <is>
          <t>PL-005</t>
        </is>
      </c>
      <c r="B9" s="6" t="inlineStr">
        <is>
          <t>에어컨 냉매배관</t>
        </is>
      </c>
      <c r="C9" s="6" t="inlineStr">
        <is>
          <t>동관</t>
        </is>
      </c>
      <c r="D9" s="6" t="inlineStr">
        <is>
          <t>선배관 작업</t>
        </is>
      </c>
      <c r="E9" s="6" t="inlineStr">
        <is>
          <t>필수</t>
        </is>
      </c>
      <c r="F9" s="6" t="inlineStr">
        <is>
          <t>m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</row>
    <row r="10">
      <c r="A10" s="6" t="inlineStr">
        <is>
          <t>PL-006</t>
        </is>
      </c>
      <c r="B10" s="6" t="inlineStr">
        <is>
          <t>에어컨 드레인 배관</t>
        </is>
      </c>
      <c r="C10" s="6" t="inlineStr">
        <is>
          <t>PVC</t>
        </is>
      </c>
      <c r="D10" s="6" t="inlineStr">
        <is>
          <t>배수 경로</t>
        </is>
      </c>
      <c r="E10" s="6" t="inlineStr">
        <is>
          <t>필수</t>
        </is>
      </c>
      <c r="F10" s="6" t="inlineStr">
        <is>
          <t>m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</row>
    <row r="11">
      <c r="A11" s="6" t="inlineStr">
        <is>
          <t>PL-007</t>
        </is>
      </c>
      <c r="B11" s="6" t="inlineStr">
        <is>
          <t>가스 배관</t>
        </is>
      </c>
      <c r="C11" s="6" t="inlineStr">
        <is>
          <t>—</t>
        </is>
      </c>
      <c r="D11" s="6" t="inlineStr">
        <is>
          <t>주방 이설/폐전</t>
        </is>
      </c>
      <c r="E11" s="6" t="inlineStr">
        <is>
          <t>선택</t>
        </is>
      </c>
      <c r="F11" s="6" t="inlineStr">
        <is>
          <t>m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</row>
    <row r="12">
      <c r="A12" s="6" t="inlineStr">
        <is>
          <t>PL-008</t>
        </is>
      </c>
      <c r="B12" s="6" t="inlineStr">
        <is>
          <t>자바라</t>
        </is>
      </c>
      <c r="C12" s="6" t="inlineStr">
        <is>
          <t>알루미늄</t>
        </is>
      </c>
      <c r="D12" s="6" t="inlineStr">
        <is>
          <t>주방 후드 배관 연장</t>
        </is>
      </c>
      <c r="E12" s="6" t="inlineStr">
        <is>
          <t>필수</t>
        </is>
      </c>
      <c r="F12" s="6" t="inlineStr">
        <is>
          <t>m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</row>
    <row r="13">
      <c r="A13" s="6" t="inlineStr">
        <is>
          <t>PL-009</t>
        </is>
      </c>
      <c r="B13" s="6" t="inlineStr">
        <is>
          <t>분배기</t>
        </is>
      </c>
      <c r="C13" s="6" t="inlineStr">
        <is>
          <t>난방</t>
        </is>
      </c>
      <c r="D13" s="6" t="inlineStr">
        <is>
          <t>이설 위치 확인</t>
        </is>
      </c>
      <c r="E13" s="6" t="inlineStr">
        <is>
          <t>필수</t>
        </is>
      </c>
      <c r="F13" s="6" t="inlineStr">
        <is>
          <t>개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</row>
    <row r="14">
      <c r="A14" s="6" t="inlineStr">
        <is>
          <t>PL-010</t>
        </is>
      </c>
      <c r="B14" s="6" t="inlineStr">
        <is>
          <t>매립 수전</t>
        </is>
      </c>
      <c r="C14" s="6" t="inlineStr">
        <is>
          <t>벽매립형</t>
        </is>
      </c>
      <c r="D14" s="6" t="inlineStr">
        <is>
          <t>종류·높이 확인</t>
        </is>
      </c>
      <c r="E14" s="6" t="inlineStr">
        <is>
          <t>필수</t>
        </is>
      </c>
      <c r="F14" s="6" t="inlineStr">
        <is>
          <t>개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>
        <is>
          <t>수직/수평 설치</t>
        </is>
      </c>
    </row>
    <row r="15">
      <c r="A15" s="6" t="inlineStr">
        <is>
          <t>PL-011</t>
        </is>
      </c>
      <c r="B15" s="6" t="inlineStr">
        <is>
          <t>트렌치 유가</t>
        </is>
      </c>
      <c r="C15" s="6" t="inlineStr">
        <is>
          <t>선배수</t>
        </is>
      </c>
      <c r="D15" s="6" t="inlineStr">
        <is>
          <t>욕실 바닥 배수</t>
        </is>
      </c>
      <c r="E15" s="6" t="inlineStr">
        <is>
          <t>필수</t>
        </is>
      </c>
      <c r="F15" s="6" t="inlineStr">
        <is>
          <t>개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</row>
    <row r="16">
      <c r="A16" s="6" t="inlineStr">
        <is>
          <t>PL-012</t>
        </is>
      </c>
      <c r="B16" s="6" t="inlineStr">
        <is>
          <t>이경 엘보</t>
        </is>
      </c>
      <c r="C16" s="6" t="inlineStr">
        <is>
          <t>—</t>
        </is>
      </c>
      <c r="D16" s="6" t="inlineStr">
        <is>
          <t>트렌치 유가 부속</t>
        </is>
      </c>
      <c r="E16" s="6" t="inlineStr">
        <is>
          <t>필수</t>
        </is>
      </c>
      <c r="F16" s="6" t="inlineStr">
        <is>
          <t>개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</row>
    <row r="17">
      <c r="A17" s="6" t="inlineStr">
        <is>
          <t>PL-013</t>
        </is>
      </c>
      <c r="B17" s="6" t="inlineStr">
        <is>
          <t>서비스 니플</t>
        </is>
      </c>
      <c r="C17" s="6" t="inlineStr">
        <is>
          <t>—</t>
        </is>
      </c>
      <c r="D17" s="6" t="inlineStr">
        <is>
          <t>매립 깊이 부족 시</t>
        </is>
      </c>
      <c r="E17" s="6" t="inlineStr">
        <is>
          <t>선택</t>
        </is>
      </c>
      <c r="F17" s="6" t="inlineStr">
        <is>
          <t>개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</row>
    <row r="18">
      <c r="A18" s="6" t="inlineStr">
        <is>
          <t>PL-014</t>
        </is>
      </c>
      <c r="B18" s="6" t="inlineStr">
        <is>
          <t>배수구 유가</t>
        </is>
      </c>
      <c r="C18" s="6" t="inlineStr">
        <is>
          <t>편심/정심</t>
        </is>
      </c>
      <c r="D18" s="6" t="inlineStr">
        <is>
          <t>교체 여부 확인</t>
        </is>
      </c>
      <c r="E18" s="6" t="inlineStr">
        <is>
          <t>필수</t>
        </is>
      </c>
      <c r="F18" s="6" t="inlineStr">
        <is>
          <t>개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</row>
    <row r="19">
      <c r="A19" s="6" t="inlineStr">
        <is>
          <t>PL-015</t>
        </is>
      </c>
      <c r="B19" s="6" t="inlineStr">
        <is>
          <t>세면대</t>
        </is>
      </c>
      <c r="C19" s="6" t="inlineStr">
        <is>
          <t>—</t>
        </is>
      </c>
      <c r="D19" s="6" t="inlineStr">
        <is>
          <t>급·배수 이설</t>
        </is>
      </c>
      <c r="E19" s="6" t="inlineStr">
        <is>
          <t>필수</t>
        </is>
      </c>
      <c r="F19" s="6" t="inlineStr">
        <is>
          <t>개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</row>
    <row r="20">
      <c r="A20" s="6" t="inlineStr">
        <is>
          <t>PL-016</t>
        </is>
      </c>
      <c r="B20" s="6" t="inlineStr">
        <is>
          <t>양변기</t>
        </is>
      </c>
      <c r="C20" s="6" t="inlineStr">
        <is>
          <t>—</t>
        </is>
      </c>
      <c r="D20" s="6" t="inlineStr">
        <is>
          <t>위치 확인</t>
        </is>
      </c>
      <c r="E20" s="6" t="inlineStr">
        <is>
          <t>필수</t>
        </is>
      </c>
      <c r="F20" s="6" t="inlineStr">
        <is>
          <t>개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/>
    </row>
    <row r="21">
      <c r="A21" s="6" t="inlineStr">
        <is>
          <t>PL-017</t>
        </is>
      </c>
      <c r="B21" s="6" t="inlineStr">
        <is>
          <t>욕조</t>
        </is>
      </c>
      <c r="C21" s="6" t="inlineStr">
        <is>
          <t>—</t>
        </is>
      </c>
      <c r="D21" s="6" t="inlineStr">
        <is>
          <t>발주·배송일 확인</t>
        </is>
      </c>
      <c r="E21" s="6" t="inlineStr">
        <is>
          <t>선택</t>
        </is>
      </c>
      <c r="F21" s="6" t="inlineStr">
        <is>
          <t>개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/>
    </row>
    <row r="22">
      <c r="A22" s="6" t="inlineStr">
        <is>
          <t>PL-018</t>
        </is>
      </c>
      <c r="B22" s="6" t="inlineStr">
        <is>
          <t>확산형 소화기</t>
        </is>
      </c>
      <c r="C22" s="6" t="inlineStr">
        <is>
          <t>—</t>
        </is>
      </c>
      <c r="D22" s="6" t="inlineStr">
        <is>
          <t>보일러실 천장</t>
        </is>
      </c>
      <c r="E22" s="6" t="inlineStr">
        <is>
          <t>필수</t>
        </is>
      </c>
      <c r="F22" s="6" t="inlineStr">
        <is>
          <t>개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/>
    </row>
    <row r="23">
      <c r="A23" s="6" t="inlineStr">
        <is>
          <t>PL-019</t>
        </is>
      </c>
      <c r="B23" s="6" t="inlineStr">
        <is>
          <t>스프링클러</t>
        </is>
      </c>
      <c r="C23" s="6" t="inlineStr">
        <is>
          <t>—</t>
        </is>
      </c>
      <c r="D23" s="6" t="inlineStr">
        <is>
          <t>신설·이설</t>
        </is>
      </c>
      <c r="E23" s="6" t="inlineStr">
        <is>
          <t>필수</t>
        </is>
      </c>
      <c r="F23" s="6" t="inlineStr">
        <is>
          <t>개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/>
    </row>
    <row r="24">
      <c r="A24" s="6" t="inlineStr">
        <is>
          <t>PL-020</t>
        </is>
      </c>
      <c r="B24" s="6" t="inlineStr">
        <is>
          <t>비디오폰</t>
        </is>
      </c>
      <c r="C24" s="6" t="inlineStr">
        <is>
          <t>—</t>
        </is>
      </c>
      <c r="D24" s="6" t="inlineStr">
        <is>
          <t>위치 이동 후 테스트</t>
        </is>
      </c>
      <c r="E24" s="6" t="inlineStr">
        <is>
          <t>선택</t>
        </is>
      </c>
      <c r="F24" s="6" t="inlineStr">
        <is>
          <t>개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/>
    </row>
    <row r="25">
      <c r="A25" s="6" t="inlineStr">
        <is>
          <t>PL-021</t>
        </is>
      </c>
      <c r="B25" s="6" t="inlineStr">
        <is>
          <t>라디에이터</t>
        </is>
      </c>
      <c r="C25" s="6" t="inlineStr">
        <is>
          <t>—</t>
        </is>
      </c>
      <c r="D25" s="6" t="inlineStr">
        <is>
          <t>철거 후 배관 연결</t>
        </is>
      </c>
      <c r="E25" s="6" t="inlineStr">
        <is>
          <t>선택</t>
        </is>
      </c>
      <c r="F25" s="6" t="inlineStr">
        <is>
          <t>개</t>
        </is>
      </c>
      <c r="G25" s="6" t="n"/>
      <c r="H25" s="6" t="n"/>
      <c r="I25" s="7">
        <f>IF(G25="","",G25*(1+H25/100))</f>
        <v/>
      </c>
      <c r="J25" s="6" t="n"/>
      <c r="K25" s="6" t="n"/>
      <c r="L25" s="8" t="n"/>
      <c r="M25" s="8" t="n"/>
      <c r="N25" s="8" t="n"/>
      <c r="O25" s="8" t="n"/>
      <c r="P25" s="8" t="n"/>
      <c r="Q25" s="8">
        <f>IF(OR(O25="",P25=""),"",MIN(O25,P25)-N25)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inlineStr"/>
    </row>
    <row r="26">
      <c r="A26" s="6" t="inlineStr">
        <is>
          <t>PL-022</t>
        </is>
      </c>
      <c r="B26" s="6" t="inlineStr">
        <is>
          <t>단열재</t>
        </is>
      </c>
      <c r="C26" s="6" t="inlineStr">
        <is>
          <t>아이소핑크</t>
        </is>
      </c>
      <c r="D26" s="6" t="inlineStr">
        <is>
          <t>확장 바닥 난방 전 선행</t>
        </is>
      </c>
      <c r="E26" s="6" t="inlineStr">
        <is>
          <t>필수</t>
        </is>
      </c>
      <c r="F26" s="6" t="inlineStr">
        <is>
          <t>장</t>
        </is>
      </c>
      <c r="G26" s="6" t="n"/>
      <c r="H26" s="6" t="n"/>
      <c r="I26" s="7">
        <f>IF(G26="","",G26*(1+H26/100))</f>
        <v/>
      </c>
      <c r="J26" s="6" t="n"/>
      <c r="K26" s="6" t="n"/>
      <c r="L26" s="8" t="n"/>
      <c r="M26" s="8" t="n"/>
      <c r="N26" s="8" t="n"/>
      <c r="O26" s="8" t="n"/>
      <c r="P26" s="8" t="n"/>
      <c r="Q26" s="8">
        <f>IF(OR(O26="",P26=""),"",MIN(O26,P26)-N26)</f>
        <v/>
      </c>
      <c r="R26" s="6" t="n"/>
      <c r="S26" s="6" t="n"/>
      <c r="T26" s="6" t="n"/>
      <c r="U26" s="6" t="n"/>
      <c r="V26" s="6" t="n"/>
      <c r="W26" s="6" t="n"/>
      <c r="X26" s="6" t="n"/>
      <c r="Y26" s="6" t="n"/>
      <c r="Z26" s="6" t="inlineStr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10">
        <f>IF(G27="","",G27*(1+H27/100))</f>
        <v/>
      </c>
      <c r="J27" s="9" t="n"/>
      <c r="K27" s="9" t="n"/>
      <c r="L27" s="9" t="n"/>
      <c r="M27" s="9" t="n"/>
      <c r="N27" s="9" t="n"/>
      <c r="O27" s="9" t="n"/>
      <c r="P27" s="9" t="n"/>
      <c r="Q27" s="11">
        <f>IF(OR(O27="",P27=""),"",MIN(O27,P27)-N27)</f>
        <v/>
      </c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10">
        <f>IF(G28="","",G28*(1+H28/100))</f>
        <v/>
      </c>
      <c r="J28" s="9" t="n"/>
      <c r="K28" s="9" t="n"/>
      <c r="L28" s="9" t="n"/>
      <c r="M28" s="9" t="n"/>
      <c r="N28" s="9" t="n"/>
      <c r="O28" s="9" t="n"/>
      <c r="P28" s="9" t="n"/>
      <c r="Q28" s="11">
        <f>IF(OR(O28="",P28=""),"",MIN(O28,P28)-N28)</f>
        <v/>
      </c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10">
        <f>IF(G29="","",G29*(1+H29/100))</f>
        <v/>
      </c>
      <c r="J29" s="9" t="n"/>
      <c r="K29" s="9" t="n"/>
      <c r="L29" s="9" t="n"/>
      <c r="M29" s="9" t="n"/>
      <c r="N29" s="9" t="n"/>
      <c r="O29" s="9" t="n"/>
      <c r="P29" s="9" t="n"/>
      <c r="Q29" s="11">
        <f>IF(OR(O29="",P29=""),"",MIN(O29,P29)-N29)</f>
        <v/>
      </c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10">
        <f>IF(G30="","",G30*(1+H30/100))</f>
        <v/>
      </c>
      <c r="J30" s="9" t="n"/>
      <c r="K30" s="9" t="n"/>
      <c r="L30" s="9" t="n"/>
      <c r="M30" s="9" t="n"/>
      <c r="N30" s="9" t="n"/>
      <c r="O30" s="9" t="n"/>
      <c r="P30" s="9" t="n"/>
      <c r="Q30" s="11">
        <f>IF(OR(O30="",P30=""),"",MIN(O30,P30)-N30)</f>
        <v/>
      </c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10">
        <f>IF(G31="","",G31*(1+H31/100))</f>
        <v/>
      </c>
      <c r="J31" s="9" t="n"/>
      <c r="K31" s="9" t="n"/>
      <c r="L31" s="9" t="n"/>
      <c r="M31" s="9" t="n"/>
      <c r="N31" s="9" t="n"/>
      <c r="O31" s="9" t="n"/>
      <c r="P31" s="9" t="n"/>
      <c r="Q31" s="11">
        <f>IF(OR(O31="",P31=""),"",MIN(O31,P31)-N31)</f>
        <v/>
      </c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10">
        <f>IF(G32="","",G32*(1+H32/100))</f>
        <v/>
      </c>
      <c r="J32" s="9" t="n"/>
      <c r="K32" s="9" t="n"/>
      <c r="L32" s="9" t="n"/>
      <c r="M32" s="9" t="n"/>
      <c r="N32" s="9" t="n"/>
      <c r="O32" s="9" t="n"/>
      <c r="P32" s="9" t="n"/>
      <c r="Q32" s="11">
        <f>IF(OR(O32="",P32=""),"",MIN(O32,P32)-N32)</f>
        <v/>
      </c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10">
        <f>IF(G33="","",G33*(1+H33/100))</f>
        <v/>
      </c>
      <c r="J33" s="9" t="n"/>
      <c r="K33" s="9" t="n"/>
      <c r="L33" s="9" t="n"/>
      <c r="M33" s="9" t="n"/>
      <c r="N33" s="9" t="n"/>
      <c r="O33" s="9" t="n"/>
      <c r="P33" s="9" t="n"/>
      <c r="Q33" s="11">
        <f>IF(OR(O33="",P33=""),"",MIN(O33,P33)-N33)</f>
        <v/>
      </c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10">
        <f>IF(G34="","",G34*(1+H34/100))</f>
        <v/>
      </c>
      <c r="J34" s="9" t="n"/>
      <c r="K34" s="9" t="n"/>
      <c r="L34" s="9" t="n"/>
      <c r="M34" s="9" t="n"/>
      <c r="N34" s="9" t="n"/>
      <c r="O34" s="9" t="n"/>
      <c r="P34" s="9" t="n"/>
      <c r="Q34" s="11">
        <f>IF(OR(O34="",P34=""),"",MIN(O34,P34)-N34)</f>
        <v/>
      </c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10">
        <f>IF(G35="","",G35*(1+H35/100))</f>
        <v/>
      </c>
      <c r="J35" s="9" t="n"/>
      <c r="K35" s="9" t="n"/>
      <c r="L35" s="9" t="n"/>
      <c r="M35" s="9" t="n"/>
      <c r="N35" s="9" t="n"/>
      <c r="O35" s="9" t="n"/>
      <c r="P35" s="9" t="n"/>
      <c r="Q35" s="11">
        <f>IF(OR(O35="",P35=""),"",MIN(O35,P35)-N35)</f>
        <v/>
      </c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10">
        <f>IF(G36="","",G36*(1+H36/100))</f>
        <v/>
      </c>
      <c r="J36" s="9" t="n"/>
      <c r="K36" s="9" t="n"/>
      <c r="L36" s="9" t="n"/>
      <c r="M36" s="9" t="n"/>
      <c r="N36" s="9" t="n"/>
      <c r="O36" s="9" t="n"/>
      <c r="P36" s="9" t="n"/>
      <c r="Q36" s="11">
        <f>IF(OR(O36="",P36=""),"",MIN(O36,P36)-N36)</f>
        <v/>
      </c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10">
        <f>IF(G37="","",G37*(1+H37/100))</f>
        <v/>
      </c>
      <c r="J37" s="9" t="n"/>
      <c r="K37" s="9" t="n"/>
      <c r="L37" s="9" t="n"/>
      <c r="M37" s="9" t="n"/>
      <c r="N37" s="9" t="n"/>
      <c r="O37" s="9" t="n"/>
      <c r="P37" s="9" t="n"/>
      <c r="Q37" s="11">
        <f>IF(OR(O37="",P37=""),"",MIN(O37,P37)-N37)</f>
        <v/>
      </c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10">
        <f>IF(G38="","",G38*(1+H38/100))</f>
        <v/>
      </c>
      <c r="J38" s="9" t="n"/>
      <c r="K38" s="9" t="n"/>
      <c r="L38" s="9" t="n"/>
      <c r="M38" s="9" t="n"/>
      <c r="N38" s="9" t="n"/>
      <c r="O38" s="9" t="n"/>
      <c r="P38" s="9" t="n"/>
      <c r="Q38" s="11">
        <f>IF(OR(O38="",P38=""),"",MIN(O38,P38)-N38)</f>
        <v/>
      </c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10">
        <f>IF(G39="","",G39*(1+H39/100))</f>
        <v/>
      </c>
      <c r="J39" s="9" t="n"/>
      <c r="K39" s="9" t="n"/>
      <c r="L39" s="9" t="n"/>
      <c r="M39" s="9" t="n"/>
      <c r="N39" s="9" t="n"/>
      <c r="O39" s="9" t="n"/>
      <c r="P39" s="9" t="n"/>
      <c r="Q39" s="11">
        <f>IF(OR(O39="",P39=""),"",MIN(O39,P39)-N39)</f>
        <v/>
      </c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10">
        <f>IF(G40="","",G40*(1+H40/100))</f>
        <v/>
      </c>
      <c r="J40" s="9" t="n"/>
      <c r="K40" s="9" t="n"/>
      <c r="L40" s="9" t="n"/>
      <c r="M40" s="9" t="n"/>
      <c r="N40" s="9" t="n"/>
      <c r="O40" s="9" t="n"/>
      <c r="P40" s="9" t="n"/>
      <c r="Q40" s="11">
        <f>IF(OR(O40="",P40=""),"",MIN(O40,P40)-N40)</f>
        <v/>
      </c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10">
        <f>IF(G41="","",G41*(1+H41/100))</f>
        <v/>
      </c>
      <c r="J41" s="9" t="n"/>
      <c r="K41" s="9" t="n"/>
      <c r="L41" s="9" t="n"/>
      <c r="M41" s="9" t="n"/>
      <c r="N41" s="9" t="n"/>
      <c r="O41" s="9" t="n"/>
      <c r="P41" s="9" t="n"/>
      <c r="Q41" s="11">
        <f>IF(OR(O41="",P41=""),"",MIN(O41,P41)-N41)</f>
        <v/>
      </c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3">
      <c r="A43" s="12" t="inlineStr">
        <is>
          <t>※ 파란 셀 = 수식 자동계산 | 소요량·로스율은 대표 확인 필요 | 가격은 유통 확인 필요</t>
        </is>
      </c>
    </row>
  </sheetData>
  <autoFilter ref="A4:Z41"/>
  <mergeCells count="8">
    <mergeCell ref="R3:U3"/>
    <mergeCell ref="A1:Z1"/>
    <mergeCell ref="J3:Q3"/>
    <mergeCell ref="Y3:Z3"/>
    <mergeCell ref="A3:I3"/>
    <mergeCell ref="A2:Z2"/>
    <mergeCell ref="V3:X3"/>
    <mergeCell ref="A43:Z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CC94B"/>
    <outlinePr summaryBelow="1" summaryRight="1"/>
    <pageSetUpPr/>
  </sheetPr>
  <dimension ref="A1:Z4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</cols>
  <sheetData>
    <row r="1" ht="30" customHeight="1">
      <c r="A1" s="1" t="inlineStr">
        <is>
          <t>전기 자재</t>
        </is>
      </c>
    </row>
    <row r="2">
      <c r="A2" s="2" t="inlineStr">
        <is>
          <t>공정코드: EL | 체크리스트 기반 전체 자재 목록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</row>
    <row r="5">
      <c r="A5" s="6" t="inlineStr">
        <is>
          <t>EL-001</t>
        </is>
      </c>
      <c r="B5" s="6" t="inlineStr">
        <is>
          <t>분전반/차단기함</t>
        </is>
      </c>
      <c r="C5" s="6" t="inlineStr">
        <is>
          <t>—</t>
        </is>
      </c>
      <c r="D5" s="6" t="inlineStr">
        <is>
          <t>재사용 여부·용량 확인</t>
        </is>
      </c>
      <c r="E5" s="6" t="inlineStr">
        <is>
          <t>필수</t>
        </is>
      </c>
      <c r="F5" s="6" t="inlineStr">
        <is>
          <t>개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</row>
    <row r="6">
      <c r="A6" s="6" t="inlineStr">
        <is>
          <t>EL-002</t>
        </is>
      </c>
      <c r="B6" s="6" t="inlineStr">
        <is>
          <t>차단기</t>
        </is>
      </c>
      <c r="C6" s="6" t="inlineStr">
        <is>
          <t>단극/양극</t>
        </is>
      </c>
      <c r="D6" s="6" t="inlineStr">
        <is>
          <t>에어컨·인덕션 전용 회로</t>
        </is>
      </c>
      <c r="E6" s="6" t="inlineStr">
        <is>
          <t>필수</t>
        </is>
      </c>
      <c r="F6" s="6" t="inlineStr">
        <is>
          <t>개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</row>
    <row r="7">
      <c r="A7" s="6" t="inlineStr">
        <is>
          <t>EL-003</t>
        </is>
      </c>
      <c r="B7" s="6" t="inlineStr">
        <is>
          <t>전선</t>
        </is>
      </c>
      <c r="C7" s="6" t="inlineStr">
        <is>
          <t>HIV 2.5㎟</t>
        </is>
      </c>
      <c r="D7" s="6" t="inlineStr">
        <is>
          <t>매입 배선</t>
        </is>
      </c>
      <c r="E7" s="6" t="inlineStr">
        <is>
          <t>필수</t>
        </is>
      </c>
      <c r="F7" s="6" t="inlineStr">
        <is>
          <t>m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>
        <is>
          <t>까대기 방식</t>
        </is>
      </c>
    </row>
    <row r="8">
      <c r="A8" s="6" t="inlineStr">
        <is>
          <t>EL-004</t>
        </is>
      </c>
      <c r="B8" s="6" t="inlineStr">
        <is>
          <t>전용선(인덕션)</t>
        </is>
      </c>
      <c r="C8" s="6" t="inlineStr">
        <is>
          <t>HIV 6㎟</t>
        </is>
      </c>
      <c r="D8" s="6" t="inlineStr">
        <is>
          <t>인덕션 전용 배선</t>
        </is>
      </c>
      <c r="E8" s="6" t="inlineStr">
        <is>
          <t>필수</t>
        </is>
      </c>
      <c r="F8" s="6" t="inlineStr">
        <is>
          <t>m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>
        <is>
          <t>전용 차단기 필요</t>
        </is>
      </c>
    </row>
    <row r="9">
      <c r="A9" s="6" t="inlineStr">
        <is>
          <t>EL-005</t>
        </is>
      </c>
      <c r="B9" s="6" t="inlineStr">
        <is>
          <t>콘센트</t>
        </is>
      </c>
      <c r="C9" s="6" t="inlineStr">
        <is>
          <t>매입형</t>
        </is>
      </c>
      <c r="D9" s="6" t="inlineStr">
        <is>
          <t>추가·삭제·신설</t>
        </is>
      </c>
      <c r="E9" s="6" t="inlineStr">
        <is>
          <t>필수</t>
        </is>
      </c>
      <c r="F9" s="6" t="inlineStr">
        <is>
          <t>개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>
        <is>
          <t>주방 미드웨이 포함</t>
        </is>
      </c>
    </row>
    <row r="10">
      <c r="A10" s="6" t="inlineStr">
        <is>
          <t>EL-006</t>
        </is>
      </c>
      <c r="B10" s="6" t="inlineStr">
        <is>
          <t>스위치</t>
        </is>
      </c>
      <c r="C10" s="6" t="inlineStr">
        <is>
          <t>매입형</t>
        </is>
      </c>
      <c r="D10" s="6" t="inlineStr">
        <is>
          <t>추가·삭제</t>
        </is>
      </c>
      <c r="E10" s="6" t="inlineStr">
        <is>
          <t>필수</t>
        </is>
      </c>
      <c r="F10" s="6" t="inlineStr">
        <is>
          <t>개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</row>
    <row r="11">
      <c r="A11" s="6" t="inlineStr">
        <is>
          <t>EL-007</t>
        </is>
      </c>
      <c r="B11" s="6" t="inlineStr">
        <is>
          <t>일괄소등 스위치</t>
        </is>
      </c>
      <c r="C11" s="6" t="inlineStr">
        <is>
          <t>—</t>
        </is>
      </c>
      <c r="D11" s="6" t="inlineStr">
        <is>
          <t>설치 유무·위치</t>
        </is>
      </c>
      <c r="E11" s="6" t="inlineStr">
        <is>
          <t>선택</t>
        </is>
      </c>
      <c r="F11" s="6" t="inlineStr">
        <is>
          <t>개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</row>
    <row r="12">
      <c r="A12" s="6" t="inlineStr">
        <is>
          <t>EL-008</t>
        </is>
      </c>
      <c r="B12" s="6" t="inlineStr">
        <is>
          <t>3로 스위치</t>
        </is>
      </c>
      <c r="C12" s="6" t="inlineStr">
        <is>
          <t>—</t>
        </is>
      </c>
      <c r="D12" s="6" t="inlineStr">
        <is>
          <t>복도·계단 양방향 점등</t>
        </is>
      </c>
      <c r="E12" s="6" t="inlineStr">
        <is>
          <t>선택</t>
        </is>
      </c>
      <c r="F12" s="6" t="inlineStr">
        <is>
          <t>개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</row>
    <row r="13">
      <c r="A13" s="6" t="inlineStr">
        <is>
          <t>EL-009</t>
        </is>
      </c>
      <c r="B13" s="6" t="inlineStr">
        <is>
          <t>히든센서</t>
        </is>
      </c>
      <c r="C13" s="6" t="inlineStr">
        <is>
          <t>동작감지</t>
        </is>
      </c>
      <c r="D13" s="6" t="inlineStr">
        <is>
          <t>현관·복도 센서</t>
        </is>
      </c>
      <c r="E13" s="6" t="inlineStr">
        <is>
          <t>선택</t>
        </is>
      </c>
      <c r="F13" s="6" t="inlineStr">
        <is>
          <t>개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</row>
    <row r="14">
      <c r="A14" s="6" t="inlineStr">
        <is>
          <t>EL-010</t>
        </is>
      </c>
      <c r="B14" s="6" t="inlineStr">
        <is>
          <t>비상등</t>
        </is>
      </c>
      <c r="C14" s="6" t="inlineStr">
        <is>
          <t>—</t>
        </is>
      </c>
      <c r="D14" s="6" t="inlineStr">
        <is>
          <t>정전 시 점등</t>
        </is>
      </c>
      <c r="E14" s="6" t="inlineStr">
        <is>
          <t>선택</t>
        </is>
      </c>
      <c r="F14" s="6" t="inlineStr">
        <is>
          <t>개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</row>
    <row r="15">
      <c r="A15" s="6" t="inlineStr">
        <is>
          <t>EL-011</t>
        </is>
      </c>
      <c r="B15" s="6" t="inlineStr">
        <is>
          <t>인터폰</t>
        </is>
      </c>
      <c r="C15" s="6" t="inlineStr">
        <is>
          <t>—</t>
        </is>
      </c>
      <c r="D15" s="6" t="inlineStr">
        <is>
          <t>외부 인터폰 (복도식)</t>
        </is>
      </c>
      <c r="E15" s="6" t="inlineStr">
        <is>
          <t>선택</t>
        </is>
      </c>
      <c r="F15" s="6" t="inlineStr">
        <is>
          <t>개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</row>
    <row r="16">
      <c r="A16" s="6" t="inlineStr">
        <is>
          <t>EL-012</t>
        </is>
      </c>
      <c r="B16" s="6" t="inlineStr">
        <is>
          <t>UTP 랜선</t>
        </is>
      </c>
      <c r="C16" s="6" t="inlineStr">
        <is>
          <t>CAT.5e/6</t>
        </is>
      </c>
      <c r="D16" s="6" t="inlineStr">
        <is>
          <t>교체 검토</t>
        </is>
      </c>
      <c r="E16" s="6" t="inlineStr">
        <is>
          <t>선택</t>
        </is>
      </c>
      <c r="F16" s="6" t="inlineStr">
        <is>
          <t>m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</row>
    <row r="17">
      <c r="A17" s="6" t="inlineStr">
        <is>
          <t>EL-013</t>
        </is>
      </c>
      <c r="B17" s="6" t="inlineStr">
        <is>
          <t>광랜</t>
        </is>
      </c>
      <c r="C17" s="6" t="inlineStr">
        <is>
          <t>—</t>
        </is>
      </c>
      <c r="D17" s="6" t="inlineStr">
        <is>
          <t>아트월 인입</t>
        </is>
      </c>
      <c r="E17" s="6" t="inlineStr">
        <is>
          <t>선택</t>
        </is>
      </c>
      <c r="F17" s="6" t="inlineStr">
        <is>
          <t>m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</row>
    <row r="18">
      <c r="A18" s="6" t="inlineStr">
        <is>
          <t>EL-014</t>
        </is>
      </c>
      <c r="B18" s="6" t="inlineStr">
        <is>
          <t>동축케이블(TV선)</t>
        </is>
      </c>
      <c r="C18" s="6" t="inlineStr">
        <is>
          <t>—</t>
        </is>
      </c>
      <c r="D18" s="6" t="inlineStr">
        <is>
          <t>사용 유무 확인</t>
        </is>
      </c>
      <c r="E18" s="6" t="inlineStr">
        <is>
          <t>선택</t>
        </is>
      </c>
      <c r="F18" s="6" t="inlineStr">
        <is>
          <t>m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</row>
    <row r="19">
      <c r="A19" s="6" t="inlineStr">
        <is>
          <t>EL-015</t>
        </is>
      </c>
      <c r="B19" s="6" t="inlineStr">
        <is>
          <t>복스(매입박스)</t>
        </is>
      </c>
      <c r="C19" s="6" t="inlineStr">
        <is>
          <t>—</t>
        </is>
      </c>
      <c r="D19" s="6" t="inlineStr">
        <is>
          <t>매입 깊이 전달</t>
        </is>
      </c>
      <c r="E19" s="6" t="inlineStr">
        <is>
          <t>필수</t>
        </is>
      </c>
      <c r="F19" s="6" t="inlineStr">
        <is>
          <t>개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</row>
    <row r="20">
      <c r="A20" s="6" t="inlineStr">
        <is>
          <t>EL-016</t>
        </is>
      </c>
      <c r="B20" s="6" t="inlineStr">
        <is>
          <t>차단기 라벨</t>
        </is>
      </c>
      <c r="C20" s="6" t="inlineStr">
        <is>
          <t>—</t>
        </is>
      </c>
      <c r="D20" s="6" t="inlineStr">
        <is>
          <t>회로 구분 라벨링</t>
        </is>
      </c>
      <c r="E20" s="6" t="inlineStr">
        <is>
          <t>필수</t>
        </is>
      </c>
      <c r="F20" s="6" t="inlineStr">
        <is>
          <t>세트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/>
    </row>
    <row r="21">
      <c r="A21" s="6" t="inlineStr">
        <is>
          <t>EL-017</t>
        </is>
      </c>
      <c r="B21" s="6" t="inlineStr">
        <is>
          <t>화재감지기</t>
        </is>
      </c>
      <c r="C21" s="6" t="inlineStr">
        <is>
          <t>—</t>
        </is>
      </c>
      <c r="D21" s="6" t="inlineStr">
        <is>
          <t>위치·종류·이설</t>
        </is>
      </c>
      <c r="E21" s="6" t="inlineStr">
        <is>
          <t>필수</t>
        </is>
      </c>
      <c r="F21" s="6" t="inlineStr">
        <is>
          <t>개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/>
    </row>
    <row r="22">
      <c r="A22" s="6" t="inlineStr">
        <is>
          <t>EL-018</t>
        </is>
      </c>
      <c r="B22" s="6" t="inlineStr">
        <is>
          <t>간접 조명</t>
        </is>
      </c>
      <c r="C22" s="6" t="inlineStr">
        <is>
          <t>LED</t>
        </is>
      </c>
      <c r="D22" s="6" t="inlineStr">
        <is>
          <t>욕실·현관·주방 상부장</t>
        </is>
      </c>
      <c r="E22" s="6" t="inlineStr">
        <is>
          <t>선택</t>
        </is>
      </c>
      <c r="F22" s="6" t="inlineStr">
        <is>
          <t>m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/>
    </row>
    <row r="23">
      <c r="A23" s="6" t="inlineStr">
        <is>
          <t>EL-019</t>
        </is>
      </c>
      <c r="B23" s="6" t="inlineStr">
        <is>
          <t>라인조명</t>
        </is>
      </c>
      <c r="C23" s="6" t="inlineStr">
        <is>
          <t>LED</t>
        </is>
      </c>
      <c r="D23" s="6" t="inlineStr">
        <is>
          <t>설치 위치 확인</t>
        </is>
      </c>
      <c r="E23" s="6" t="inlineStr">
        <is>
          <t>선택</t>
        </is>
      </c>
      <c r="F23" s="6" t="inlineStr">
        <is>
          <t>m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/>
    </row>
    <row r="24">
      <c r="A24" s="6" t="inlineStr">
        <is>
          <t>EL-020</t>
        </is>
      </c>
      <c r="B24" s="6" t="inlineStr">
        <is>
          <t>마그네틱 조명</t>
        </is>
      </c>
      <c r="C24" s="6" t="inlineStr">
        <is>
          <t>—</t>
        </is>
      </c>
      <c r="D24" s="6" t="inlineStr">
        <is>
          <t>설치 위치 확인</t>
        </is>
      </c>
      <c r="E24" s="6" t="inlineStr">
        <is>
          <t>선택</t>
        </is>
      </c>
      <c r="F24" s="6" t="inlineStr">
        <is>
          <t>개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/>
    </row>
    <row r="25">
      <c r="A25" s="6" t="inlineStr">
        <is>
          <t>EL-021</t>
        </is>
      </c>
      <c r="B25" s="6" t="inlineStr">
        <is>
          <t>조명 기구</t>
        </is>
      </c>
      <c r="C25" s="6" t="inlineStr">
        <is>
          <t>다운라이트 등</t>
        </is>
      </c>
      <c r="D25" s="6" t="inlineStr">
        <is>
          <t>타공 사이즈·발주</t>
        </is>
      </c>
      <c r="E25" s="6" t="inlineStr">
        <is>
          <t>필수</t>
        </is>
      </c>
      <c r="F25" s="6" t="inlineStr">
        <is>
          <t>개</t>
        </is>
      </c>
      <c r="G25" s="6" t="n"/>
      <c r="H25" s="6" t="n"/>
      <c r="I25" s="7">
        <f>IF(G25="","",G25*(1+H25/100))</f>
        <v/>
      </c>
      <c r="J25" s="6" t="n"/>
      <c r="K25" s="6" t="n"/>
      <c r="L25" s="8" t="n"/>
      <c r="M25" s="8" t="n"/>
      <c r="N25" s="8" t="n"/>
      <c r="O25" s="8" t="n"/>
      <c r="P25" s="8" t="n"/>
      <c r="Q25" s="8">
        <f>IF(OR(O25="",P25=""),"",MIN(O25,P25)-N25)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inlineStr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10">
        <f>IF(G26="","",G26*(1+H26/100))</f>
        <v/>
      </c>
      <c r="J26" s="9" t="n"/>
      <c r="K26" s="9" t="n"/>
      <c r="L26" s="9" t="n"/>
      <c r="M26" s="9" t="n"/>
      <c r="N26" s="9" t="n"/>
      <c r="O26" s="9" t="n"/>
      <c r="P26" s="9" t="n"/>
      <c r="Q26" s="11">
        <f>IF(OR(O26="",P26=""),"",MIN(O26,P26)-N26)</f>
        <v/>
      </c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10">
        <f>IF(G27="","",G27*(1+H27/100))</f>
        <v/>
      </c>
      <c r="J27" s="9" t="n"/>
      <c r="K27" s="9" t="n"/>
      <c r="L27" s="9" t="n"/>
      <c r="M27" s="9" t="n"/>
      <c r="N27" s="9" t="n"/>
      <c r="O27" s="9" t="n"/>
      <c r="P27" s="9" t="n"/>
      <c r="Q27" s="11">
        <f>IF(OR(O27="",P27=""),"",MIN(O27,P27)-N27)</f>
        <v/>
      </c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10">
        <f>IF(G28="","",G28*(1+H28/100))</f>
        <v/>
      </c>
      <c r="J28" s="9" t="n"/>
      <c r="K28" s="9" t="n"/>
      <c r="L28" s="9" t="n"/>
      <c r="M28" s="9" t="n"/>
      <c r="N28" s="9" t="n"/>
      <c r="O28" s="9" t="n"/>
      <c r="P28" s="9" t="n"/>
      <c r="Q28" s="11">
        <f>IF(OR(O28="",P28=""),"",MIN(O28,P28)-N28)</f>
        <v/>
      </c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10">
        <f>IF(G29="","",G29*(1+H29/100))</f>
        <v/>
      </c>
      <c r="J29" s="9" t="n"/>
      <c r="K29" s="9" t="n"/>
      <c r="L29" s="9" t="n"/>
      <c r="M29" s="9" t="n"/>
      <c r="N29" s="9" t="n"/>
      <c r="O29" s="9" t="n"/>
      <c r="P29" s="9" t="n"/>
      <c r="Q29" s="11">
        <f>IF(OR(O29="",P29=""),"",MIN(O29,P29)-N29)</f>
        <v/>
      </c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10">
        <f>IF(G30="","",G30*(1+H30/100))</f>
        <v/>
      </c>
      <c r="J30" s="9" t="n"/>
      <c r="K30" s="9" t="n"/>
      <c r="L30" s="9" t="n"/>
      <c r="M30" s="9" t="n"/>
      <c r="N30" s="9" t="n"/>
      <c r="O30" s="9" t="n"/>
      <c r="P30" s="9" t="n"/>
      <c r="Q30" s="11">
        <f>IF(OR(O30="",P30=""),"",MIN(O30,P30)-N30)</f>
        <v/>
      </c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10">
        <f>IF(G31="","",G31*(1+H31/100))</f>
        <v/>
      </c>
      <c r="J31" s="9" t="n"/>
      <c r="K31" s="9" t="n"/>
      <c r="L31" s="9" t="n"/>
      <c r="M31" s="9" t="n"/>
      <c r="N31" s="9" t="n"/>
      <c r="O31" s="9" t="n"/>
      <c r="P31" s="9" t="n"/>
      <c r="Q31" s="11">
        <f>IF(OR(O31="",P31=""),"",MIN(O31,P31)-N31)</f>
        <v/>
      </c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10">
        <f>IF(G32="","",G32*(1+H32/100))</f>
        <v/>
      </c>
      <c r="J32" s="9" t="n"/>
      <c r="K32" s="9" t="n"/>
      <c r="L32" s="9" t="n"/>
      <c r="M32" s="9" t="n"/>
      <c r="N32" s="9" t="n"/>
      <c r="O32" s="9" t="n"/>
      <c r="P32" s="9" t="n"/>
      <c r="Q32" s="11">
        <f>IF(OR(O32="",P32=""),"",MIN(O32,P32)-N32)</f>
        <v/>
      </c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10">
        <f>IF(G33="","",G33*(1+H33/100))</f>
        <v/>
      </c>
      <c r="J33" s="9" t="n"/>
      <c r="K33" s="9" t="n"/>
      <c r="L33" s="9" t="n"/>
      <c r="M33" s="9" t="n"/>
      <c r="N33" s="9" t="n"/>
      <c r="O33" s="9" t="n"/>
      <c r="P33" s="9" t="n"/>
      <c r="Q33" s="11">
        <f>IF(OR(O33="",P33=""),"",MIN(O33,P33)-N33)</f>
        <v/>
      </c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10">
        <f>IF(G34="","",G34*(1+H34/100))</f>
        <v/>
      </c>
      <c r="J34" s="9" t="n"/>
      <c r="K34" s="9" t="n"/>
      <c r="L34" s="9" t="n"/>
      <c r="M34" s="9" t="n"/>
      <c r="N34" s="9" t="n"/>
      <c r="O34" s="9" t="n"/>
      <c r="P34" s="9" t="n"/>
      <c r="Q34" s="11">
        <f>IF(OR(O34="",P34=""),"",MIN(O34,P34)-N34)</f>
        <v/>
      </c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10">
        <f>IF(G35="","",G35*(1+H35/100))</f>
        <v/>
      </c>
      <c r="J35" s="9" t="n"/>
      <c r="K35" s="9" t="n"/>
      <c r="L35" s="9" t="n"/>
      <c r="M35" s="9" t="n"/>
      <c r="N35" s="9" t="n"/>
      <c r="O35" s="9" t="n"/>
      <c r="P35" s="9" t="n"/>
      <c r="Q35" s="11">
        <f>IF(OR(O35="",P35=""),"",MIN(O35,P35)-N35)</f>
        <v/>
      </c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10">
        <f>IF(G36="","",G36*(1+H36/100))</f>
        <v/>
      </c>
      <c r="J36" s="9" t="n"/>
      <c r="K36" s="9" t="n"/>
      <c r="L36" s="9" t="n"/>
      <c r="M36" s="9" t="n"/>
      <c r="N36" s="9" t="n"/>
      <c r="O36" s="9" t="n"/>
      <c r="P36" s="9" t="n"/>
      <c r="Q36" s="11">
        <f>IF(OR(O36="",P36=""),"",MIN(O36,P36)-N36)</f>
        <v/>
      </c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10">
        <f>IF(G37="","",G37*(1+H37/100))</f>
        <v/>
      </c>
      <c r="J37" s="9" t="n"/>
      <c r="K37" s="9" t="n"/>
      <c r="L37" s="9" t="n"/>
      <c r="M37" s="9" t="n"/>
      <c r="N37" s="9" t="n"/>
      <c r="O37" s="9" t="n"/>
      <c r="P37" s="9" t="n"/>
      <c r="Q37" s="11">
        <f>IF(OR(O37="",P37=""),"",MIN(O37,P37)-N37)</f>
        <v/>
      </c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10">
        <f>IF(G38="","",G38*(1+H38/100))</f>
        <v/>
      </c>
      <c r="J38" s="9" t="n"/>
      <c r="K38" s="9" t="n"/>
      <c r="L38" s="9" t="n"/>
      <c r="M38" s="9" t="n"/>
      <c r="N38" s="9" t="n"/>
      <c r="O38" s="9" t="n"/>
      <c r="P38" s="9" t="n"/>
      <c r="Q38" s="11">
        <f>IF(OR(O38="",P38=""),"",MIN(O38,P38)-N38)</f>
        <v/>
      </c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10">
        <f>IF(G39="","",G39*(1+H39/100))</f>
        <v/>
      </c>
      <c r="J39" s="9" t="n"/>
      <c r="K39" s="9" t="n"/>
      <c r="L39" s="9" t="n"/>
      <c r="M39" s="9" t="n"/>
      <c r="N39" s="9" t="n"/>
      <c r="O39" s="9" t="n"/>
      <c r="P39" s="9" t="n"/>
      <c r="Q39" s="11">
        <f>IF(OR(O39="",P39=""),"",MIN(O39,P39)-N39)</f>
        <v/>
      </c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10">
        <f>IF(G40="","",G40*(1+H40/100))</f>
        <v/>
      </c>
      <c r="J40" s="9" t="n"/>
      <c r="K40" s="9" t="n"/>
      <c r="L40" s="9" t="n"/>
      <c r="M40" s="9" t="n"/>
      <c r="N40" s="9" t="n"/>
      <c r="O40" s="9" t="n"/>
      <c r="P40" s="9" t="n"/>
      <c r="Q40" s="11">
        <f>IF(OR(O40="",P40=""),"",MIN(O40,P40)-N40)</f>
        <v/>
      </c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2">
      <c r="A42" s="12" t="inlineStr">
        <is>
          <t>※ 파란 셀 = 수식 자동계산 | 소요량·로스율은 대표 확인 필요 | 가격은 유통 확인 필요</t>
        </is>
      </c>
    </row>
  </sheetData>
  <autoFilter ref="A4:Z40"/>
  <mergeCells count="8">
    <mergeCell ref="R3:U3"/>
    <mergeCell ref="A42:Z42"/>
    <mergeCell ref="A1:Z1"/>
    <mergeCell ref="J3:Q3"/>
    <mergeCell ref="Y3:Z3"/>
    <mergeCell ref="A3:I3"/>
    <mergeCell ref="A2:Z2"/>
    <mergeCell ref="V3:X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299E1"/>
    <outlinePr summaryBelow="1" summaryRight="1"/>
    <pageSetUpPr/>
  </sheetPr>
  <dimension ref="A1:Z3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</cols>
  <sheetData>
    <row r="1" ht="30" customHeight="1">
      <c r="A1" s="1" t="inlineStr">
        <is>
          <t>습식/방수 자재</t>
        </is>
      </c>
    </row>
    <row r="2">
      <c r="A2" s="2" t="inlineStr">
        <is>
          <t>공정코드: WP | 체크리스트 기반 전체 자재 목록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</row>
    <row r="5">
      <c r="A5" s="6" t="inlineStr">
        <is>
          <t>WP-001</t>
        </is>
      </c>
      <c r="B5" s="6" t="inlineStr">
        <is>
          <t>수성 방수액</t>
        </is>
      </c>
      <c r="C5" s="6" t="inlineStr">
        <is>
          <t>18L</t>
        </is>
      </c>
      <c r="D5" s="6" t="inlineStr">
        <is>
          <t>방수층 형성 (2회 도포)</t>
        </is>
      </c>
      <c r="E5" s="6" t="inlineStr">
        <is>
          <t>필수</t>
        </is>
      </c>
      <c r="F5" s="6" t="inlineStr">
        <is>
          <t>L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</row>
    <row r="6">
      <c r="A6" s="6" t="inlineStr">
        <is>
          <t>WP-002</t>
        </is>
      </c>
      <c r="B6" s="6" t="inlineStr">
        <is>
          <t>부직포</t>
        </is>
      </c>
      <c r="C6" s="6" t="inlineStr">
        <is>
          <t>1m×50m</t>
        </is>
      </c>
      <c r="D6" s="6" t="inlineStr">
        <is>
          <t>방수 보강재 (겹침 5cm)</t>
        </is>
      </c>
      <c r="E6" s="6" t="inlineStr">
        <is>
          <t>필수</t>
        </is>
      </c>
      <c r="F6" s="6" t="inlineStr">
        <is>
          <t>㎡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</row>
    <row r="7">
      <c r="A7" s="6" t="inlineStr">
        <is>
          <t>WP-003</t>
        </is>
      </c>
      <c r="B7" s="6" t="inlineStr">
        <is>
          <t>프라이머</t>
        </is>
      </c>
      <c r="C7" s="6" t="inlineStr">
        <is>
          <t>4L</t>
        </is>
      </c>
      <c r="D7" s="6" t="inlineStr">
        <is>
          <t>바탕 처리 (구축 바닥)</t>
        </is>
      </c>
      <c r="E7" s="6" t="inlineStr">
        <is>
          <t>선택</t>
        </is>
      </c>
      <c r="F7" s="6" t="inlineStr">
        <is>
          <t>L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</row>
    <row r="8">
      <c r="A8" s="6" t="inlineStr">
        <is>
          <t>WP-004</t>
        </is>
      </c>
      <c r="B8" s="6" t="inlineStr">
        <is>
          <t>우레탄 방수재</t>
        </is>
      </c>
      <c r="C8" s="6" t="inlineStr">
        <is>
          <t>18L</t>
        </is>
      </c>
      <c r="D8" s="6" t="inlineStr">
        <is>
          <t>고내구성 (옥상·베란다)</t>
        </is>
      </c>
      <c r="E8" s="6" t="inlineStr">
        <is>
          <t>선택</t>
        </is>
      </c>
      <c r="F8" s="6" t="inlineStr">
        <is>
          <t>L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</row>
    <row r="9">
      <c r="A9" s="6" t="inlineStr">
        <is>
          <t>WP-005</t>
        </is>
      </c>
      <c r="B9" s="6" t="inlineStr">
        <is>
          <t>시멘트</t>
        </is>
      </c>
      <c r="C9" s="6" t="inlineStr">
        <is>
          <t>40kg</t>
        </is>
      </c>
      <c r="D9" s="6" t="inlineStr">
        <is>
          <t>미장·조적 기본 재료</t>
        </is>
      </c>
      <c r="E9" s="6" t="inlineStr">
        <is>
          <t>필수</t>
        </is>
      </c>
      <c r="F9" s="6" t="inlineStr">
        <is>
          <t>포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</row>
    <row r="10">
      <c r="A10" s="6" t="inlineStr">
        <is>
          <t>WP-006</t>
        </is>
      </c>
      <c r="B10" s="6" t="inlineStr">
        <is>
          <t>모래</t>
        </is>
      </c>
      <c r="C10" s="6" t="inlineStr">
        <is>
          <t>25kg</t>
        </is>
      </c>
      <c r="D10" s="6" t="inlineStr">
        <is>
          <t>시멘트 혼합</t>
        </is>
      </c>
      <c r="E10" s="6" t="inlineStr">
        <is>
          <t>필수</t>
        </is>
      </c>
      <c r="F10" s="6" t="inlineStr">
        <is>
          <t>포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</row>
    <row r="11">
      <c r="A11" s="6" t="inlineStr">
        <is>
          <t>WP-007</t>
        </is>
      </c>
      <c r="B11" s="6" t="inlineStr">
        <is>
          <t>방수액(혼합용)</t>
        </is>
      </c>
      <c r="C11" s="6" t="inlineStr">
        <is>
          <t>시멘트 혼합</t>
        </is>
      </c>
      <c r="D11" s="6" t="inlineStr">
        <is>
          <t>시멘트에 혼합하여 방수</t>
        </is>
      </c>
      <c r="E11" s="6" t="inlineStr">
        <is>
          <t>필수</t>
        </is>
      </c>
      <c r="F11" s="6" t="inlineStr">
        <is>
          <t>L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</row>
    <row r="12">
      <c r="A12" s="6" t="inlineStr">
        <is>
          <t>WP-008</t>
        </is>
      </c>
      <c r="B12" s="6" t="inlineStr">
        <is>
          <t>셀프레벨링(자동수평몰탈)</t>
        </is>
      </c>
      <c r="C12" s="6" t="inlineStr">
        <is>
          <t>25kg</t>
        </is>
      </c>
      <c r="D12" s="6" t="inlineStr">
        <is>
          <t>바닥 레벨링</t>
        </is>
      </c>
      <c r="E12" s="6" t="inlineStr">
        <is>
          <t>선택</t>
        </is>
      </c>
      <c r="F12" s="6" t="inlineStr">
        <is>
          <t>포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</row>
    <row r="13">
      <c r="A13" s="6" t="inlineStr">
        <is>
          <t>WP-009</t>
        </is>
      </c>
      <c r="B13" s="6" t="inlineStr">
        <is>
          <t>방열판</t>
        </is>
      </c>
      <c r="C13" s="6" t="inlineStr">
        <is>
          <t>—</t>
        </is>
      </c>
      <c r="D13" s="6" t="inlineStr">
        <is>
          <t>확장 바닥 난방</t>
        </is>
      </c>
      <c r="E13" s="6" t="inlineStr">
        <is>
          <t>선택</t>
        </is>
      </c>
      <c r="F13" s="6" t="inlineStr">
        <is>
          <t>㎡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</row>
    <row r="14">
      <c r="A14" s="6" t="inlineStr">
        <is>
          <t>WP-010</t>
        </is>
      </c>
      <c r="B14" s="6" t="inlineStr">
        <is>
          <t>벽돌</t>
        </is>
      </c>
      <c r="C14" s="6" t="inlineStr">
        <is>
          <t>시멘트벽돌</t>
        </is>
      </c>
      <c r="D14" s="6" t="inlineStr">
        <is>
          <t>욕조 주변 조적</t>
        </is>
      </c>
      <c r="E14" s="6" t="inlineStr">
        <is>
          <t>선택</t>
        </is>
      </c>
      <c r="F14" s="6" t="inlineStr">
        <is>
          <t>장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</row>
    <row r="15">
      <c r="A15" s="6" t="inlineStr">
        <is>
          <t>WP-011</t>
        </is>
      </c>
      <c r="B15" s="6" t="inlineStr">
        <is>
          <t>난로/열풍기</t>
        </is>
      </c>
      <c r="C15" s="6" t="inlineStr">
        <is>
          <t>—</t>
        </is>
      </c>
      <c r="D15" s="6" t="inlineStr">
        <is>
          <t>겨울철 양생</t>
        </is>
      </c>
      <c r="E15" s="6" t="inlineStr">
        <is>
          <t>선택</t>
        </is>
      </c>
      <c r="F15" s="6" t="inlineStr">
        <is>
          <t>대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</row>
    <row r="16">
      <c r="A16" s="6" t="inlineStr">
        <is>
          <t>WP-012</t>
        </is>
      </c>
      <c r="B16" s="6" t="inlineStr">
        <is>
          <t>방수턱</t>
        </is>
      </c>
      <c r="C16" s="6" t="inlineStr">
        <is>
          <t>—</t>
        </is>
      </c>
      <c r="D16" s="6" t="inlineStr">
        <is>
          <t>터닝도어 하단</t>
        </is>
      </c>
      <c r="E16" s="6" t="inlineStr">
        <is>
          <t>필수</t>
        </is>
      </c>
      <c r="F16" s="6" t="inlineStr">
        <is>
          <t>m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10">
        <f>IF(G17="","",G17*(1+H17/100))</f>
        <v/>
      </c>
      <c r="J17" s="9" t="n"/>
      <c r="K17" s="9" t="n"/>
      <c r="L17" s="9" t="n"/>
      <c r="M17" s="9" t="n"/>
      <c r="N17" s="9" t="n"/>
      <c r="O17" s="9" t="n"/>
      <c r="P17" s="9" t="n"/>
      <c r="Q17" s="11">
        <f>IF(OR(O17="",P17=""),"",MIN(O17,P17)-N17)</f>
        <v/>
      </c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10">
        <f>IF(G18="","",G18*(1+H18/100))</f>
        <v/>
      </c>
      <c r="J18" s="9" t="n"/>
      <c r="K18" s="9" t="n"/>
      <c r="L18" s="9" t="n"/>
      <c r="M18" s="9" t="n"/>
      <c r="N18" s="9" t="n"/>
      <c r="O18" s="9" t="n"/>
      <c r="P18" s="9" t="n"/>
      <c r="Q18" s="11">
        <f>IF(OR(O18="",P18=""),"",MIN(O18,P18)-N18)</f>
        <v/>
      </c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10">
        <f>IF(G19="","",G19*(1+H19/100))</f>
        <v/>
      </c>
      <c r="J19" s="9" t="n"/>
      <c r="K19" s="9" t="n"/>
      <c r="L19" s="9" t="n"/>
      <c r="M19" s="9" t="n"/>
      <c r="N19" s="9" t="n"/>
      <c r="O19" s="9" t="n"/>
      <c r="P19" s="9" t="n"/>
      <c r="Q19" s="11">
        <f>IF(OR(O19="",P19=""),"",MIN(O19,P19)-N19)</f>
        <v/>
      </c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10">
        <f>IF(G20="","",G20*(1+H20/100))</f>
        <v/>
      </c>
      <c r="J20" s="9" t="n"/>
      <c r="K20" s="9" t="n"/>
      <c r="L20" s="9" t="n"/>
      <c r="M20" s="9" t="n"/>
      <c r="N20" s="9" t="n"/>
      <c r="O20" s="9" t="n"/>
      <c r="P20" s="9" t="n"/>
      <c r="Q20" s="11">
        <f>IF(OR(O20="",P20=""),"",MIN(O20,P20)-N20)</f>
        <v/>
      </c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10">
        <f>IF(G21="","",G21*(1+H21/100))</f>
        <v/>
      </c>
      <c r="J21" s="9" t="n"/>
      <c r="K21" s="9" t="n"/>
      <c r="L21" s="9" t="n"/>
      <c r="M21" s="9" t="n"/>
      <c r="N21" s="9" t="n"/>
      <c r="O21" s="9" t="n"/>
      <c r="P21" s="9" t="n"/>
      <c r="Q21" s="11">
        <f>IF(OR(O21="",P21=""),"",MIN(O21,P21)-N21)</f>
        <v/>
      </c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10">
        <f>IF(G22="","",G22*(1+H22/100))</f>
        <v/>
      </c>
      <c r="J22" s="9" t="n"/>
      <c r="K22" s="9" t="n"/>
      <c r="L22" s="9" t="n"/>
      <c r="M22" s="9" t="n"/>
      <c r="N22" s="9" t="n"/>
      <c r="O22" s="9" t="n"/>
      <c r="P22" s="9" t="n"/>
      <c r="Q22" s="11">
        <f>IF(OR(O22="",P22=""),"",MIN(O22,P22)-N22)</f>
        <v/>
      </c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10">
        <f>IF(G23="","",G23*(1+H23/100))</f>
        <v/>
      </c>
      <c r="J23" s="9" t="n"/>
      <c r="K23" s="9" t="n"/>
      <c r="L23" s="9" t="n"/>
      <c r="M23" s="9" t="n"/>
      <c r="N23" s="9" t="n"/>
      <c r="O23" s="9" t="n"/>
      <c r="P23" s="9" t="n"/>
      <c r="Q23" s="11">
        <f>IF(OR(O23="",P23=""),"",MIN(O23,P23)-N23)</f>
        <v/>
      </c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10">
        <f>IF(G24="","",G24*(1+H24/100))</f>
        <v/>
      </c>
      <c r="J24" s="9" t="n"/>
      <c r="K24" s="9" t="n"/>
      <c r="L24" s="9" t="n"/>
      <c r="M24" s="9" t="n"/>
      <c r="N24" s="9" t="n"/>
      <c r="O24" s="9" t="n"/>
      <c r="P24" s="9" t="n"/>
      <c r="Q24" s="11">
        <f>IF(OR(O24="",P24=""),"",MIN(O24,P24)-N24)</f>
        <v/>
      </c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10">
        <f>IF(G25="","",G25*(1+H25/100))</f>
        <v/>
      </c>
      <c r="J25" s="9" t="n"/>
      <c r="K25" s="9" t="n"/>
      <c r="L25" s="9" t="n"/>
      <c r="M25" s="9" t="n"/>
      <c r="N25" s="9" t="n"/>
      <c r="O25" s="9" t="n"/>
      <c r="P25" s="9" t="n"/>
      <c r="Q25" s="11">
        <f>IF(OR(O25="",P25=""),"",MIN(O25,P25)-N25)</f>
        <v/>
      </c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10">
        <f>IF(G26="","",G26*(1+H26/100))</f>
        <v/>
      </c>
      <c r="J26" s="9" t="n"/>
      <c r="K26" s="9" t="n"/>
      <c r="L26" s="9" t="n"/>
      <c r="M26" s="9" t="n"/>
      <c r="N26" s="9" t="n"/>
      <c r="O26" s="9" t="n"/>
      <c r="P26" s="9" t="n"/>
      <c r="Q26" s="11">
        <f>IF(OR(O26="",P26=""),"",MIN(O26,P26)-N26)</f>
        <v/>
      </c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10">
        <f>IF(G27="","",G27*(1+H27/100))</f>
        <v/>
      </c>
      <c r="J27" s="9" t="n"/>
      <c r="K27" s="9" t="n"/>
      <c r="L27" s="9" t="n"/>
      <c r="M27" s="9" t="n"/>
      <c r="N27" s="9" t="n"/>
      <c r="O27" s="9" t="n"/>
      <c r="P27" s="9" t="n"/>
      <c r="Q27" s="11">
        <f>IF(OR(O27="",P27=""),"",MIN(O27,P27)-N27)</f>
        <v/>
      </c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10">
        <f>IF(G28="","",G28*(1+H28/100))</f>
        <v/>
      </c>
      <c r="J28" s="9" t="n"/>
      <c r="K28" s="9" t="n"/>
      <c r="L28" s="9" t="n"/>
      <c r="M28" s="9" t="n"/>
      <c r="N28" s="9" t="n"/>
      <c r="O28" s="9" t="n"/>
      <c r="P28" s="9" t="n"/>
      <c r="Q28" s="11">
        <f>IF(OR(O28="",P28=""),"",MIN(O28,P28)-N28)</f>
        <v/>
      </c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10">
        <f>IF(G29="","",G29*(1+H29/100))</f>
        <v/>
      </c>
      <c r="J29" s="9" t="n"/>
      <c r="K29" s="9" t="n"/>
      <c r="L29" s="9" t="n"/>
      <c r="M29" s="9" t="n"/>
      <c r="N29" s="9" t="n"/>
      <c r="O29" s="9" t="n"/>
      <c r="P29" s="9" t="n"/>
      <c r="Q29" s="11">
        <f>IF(OR(O29="",P29=""),"",MIN(O29,P29)-N29)</f>
        <v/>
      </c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10">
        <f>IF(G30="","",G30*(1+H30/100))</f>
        <v/>
      </c>
      <c r="J30" s="9" t="n"/>
      <c r="K30" s="9" t="n"/>
      <c r="L30" s="9" t="n"/>
      <c r="M30" s="9" t="n"/>
      <c r="N30" s="9" t="n"/>
      <c r="O30" s="9" t="n"/>
      <c r="P30" s="9" t="n"/>
      <c r="Q30" s="11">
        <f>IF(OR(O30="",P30=""),"",MIN(O30,P30)-N30)</f>
        <v/>
      </c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10">
        <f>IF(G31="","",G31*(1+H31/100))</f>
        <v/>
      </c>
      <c r="J31" s="9" t="n"/>
      <c r="K31" s="9" t="n"/>
      <c r="L31" s="9" t="n"/>
      <c r="M31" s="9" t="n"/>
      <c r="N31" s="9" t="n"/>
      <c r="O31" s="9" t="n"/>
      <c r="P31" s="9" t="n"/>
      <c r="Q31" s="11">
        <f>IF(OR(O31="",P31=""),"",MIN(O31,P31)-N31)</f>
        <v/>
      </c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3">
      <c r="A33" s="12" t="inlineStr">
        <is>
          <t>※ 파란 셀 = 수식 자동계산 | 소요량·로스율은 대표 확인 필요 | 가격은 유통 확인 필요</t>
        </is>
      </c>
    </row>
  </sheetData>
  <autoFilter ref="A4:Z31"/>
  <mergeCells count="8">
    <mergeCell ref="R3:U3"/>
    <mergeCell ref="A1:Z1"/>
    <mergeCell ref="J3:Q3"/>
    <mergeCell ref="Y3:Z3"/>
    <mergeCell ref="A3:I3"/>
    <mergeCell ref="A2:Z2"/>
    <mergeCell ref="V3:X3"/>
    <mergeCell ref="A33:Z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8B2AC"/>
    <outlinePr summaryBelow="1" summaryRight="1"/>
    <pageSetUpPr/>
  </sheetPr>
  <dimension ref="A1:Z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</cols>
  <sheetData>
    <row r="1" ht="30" customHeight="1">
      <c r="A1" s="1" t="inlineStr">
        <is>
          <t>창호 자재</t>
        </is>
      </c>
    </row>
    <row r="2">
      <c r="A2" s="2" t="inlineStr">
        <is>
          <t>공정코드: WN | 체크리스트 기반 전체 자재 목록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</row>
    <row r="5">
      <c r="A5" s="6" t="inlineStr">
        <is>
          <t>WN-001</t>
        </is>
      </c>
      <c r="B5" s="6" t="inlineStr">
        <is>
          <t>창호(창틀+유리)</t>
        </is>
      </c>
      <c r="C5" s="6" t="inlineStr">
        <is>
          <t>시스템창호</t>
        </is>
      </c>
      <c r="D5" s="6" t="inlineStr">
        <is>
          <t>교체 설치</t>
        </is>
      </c>
      <c r="E5" s="6" t="inlineStr">
        <is>
          <t>필수</t>
        </is>
      </c>
      <c r="F5" s="6" t="inlineStr">
        <is>
          <t>세트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</row>
    <row r="6">
      <c r="A6" s="6" t="inlineStr">
        <is>
          <t>WN-002</t>
        </is>
      </c>
      <c r="B6" s="6" t="inlineStr">
        <is>
          <t>복층(페어)유리</t>
        </is>
      </c>
      <c r="C6" s="6" t="inlineStr">
        <is>
          <t>24mm</t>
        </is>
      </c>
      <c r="D6" s="6" t="inlineStr">
        <is>
          <t>이중 유리</t>
        </is>
      </c>
      <c r="E6" s="6" t="inlineStr">
        <is>
          <t>필수</t>
        </is>
      </c>
      <c r="F6" s="6" t="inlineStr">
        <is>
          <t>㎡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</row>
    <row r="7">
      <c r="A7" s="6" t="inlineStr">
        <is>
          <t>WN-003</t>
        </is>
      </c>
      <c r="B7" s="6" t="inlineStr">
        <is>
          <t>터닝도어</t>
        </is>
      </c>
      <c r="C7" s="6" t="inlineStr">
        <is>
          <t>—</t>
        </is>
      </c>
      <c r="D7" s="6" t="inlineStr">
        <is>
          <t>회전 개폐 도어</t>
        </is>
      </c>
      <c r="E7" s="6" t="inlineStr">
        <is>
          <t>선택</t>
        </is>
      </c>
      <c r="F7" s="6" t="inlineStr">
        <is>
          <t>세트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</row>
    <row r="8">
      <c r="A8" s="6" t="inlineStr">
        <is>
          <t>WN-004</t>
        </is>
      </c>
      <c r="B8" s="6" t="inlineStr">
        <is>
          <t>분합창</t>
        </is>
      </c>
      <c r="C8" s="6" t="inlineStr">
        <is>
          <t>미닫이</t>
        </is>
      </c>
      <c r="D8" s="6" t="inlineStr">
        <is>
          <t>미닫이 방식 창</t>
        </is>
      </c>
      <c r="E8" s="6" t="inlineStr">
        <is>
          <t>선택</t>
        </is>
      </c>
      <c r="F8" s="6" t="inlineStr">
        <is>
          <t>세트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</row>
    <row r="9">
      <c r="A9" s="6" t="inlineStr">
        <is>
          <t>WN-005</t>
        </is>
      </c>
      <c r="B9" s="6" t="inlineStr">
        <is>
          <t>공틀</t>
        </is>
      </c>
      <c r="C9" s="6" t="inlineStr">
        <is>
          <t>—</t>
        </is>
      </c>
      <c r="D9" s="6" t="inlineStr">
        <is>
          <t>단열용 틀</t>
        </is>
      </c>
      <c r="E9" s="6" t="inlineStr">
        <is>
          <t>필수</t>
        </is>
      </c>
      <c r="F9" s="6" t="inlineStr">
        <is>
          <t>m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</row>
    <row r="10">
      <c r="A10" s="6" t="inlineStr">
        <is>
          <t>WN-006</t>
        </is>
      </c>
      <c r="B10" s="6" t="inlineStr">
        <is>
          <t>단열재</t>
        </is>
      </c>
      <c r="C10" s="6" t="inlineStr">
        <is>
          <t>아이소핑크</t>
        </is>
      </c>
      <c r="D10" s="6" t="inlineStr">
        <is>
          <t>발코니 외벽 단열</t>
        </is>
      </c>
      <c r="E10" s="6" t="inlineStr">
        <is>
          <t>필수</t>
        </is>
      </c>
      <c r="F10" s="6" t="inlineStr">
        <is>
          <t>장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</row>
    <row r="11">
      <c r="A11" s="6" t="inlineStr">
        <is>
          <t>WN-007</t>
        </is>
      </c>
      <c r="B11" s="6" t="inlineStr">
        <is>
          <t>방충망</t>
        </is>
      </c>
      <c r="C11" s="6" t="inlineStr">
        <is>
          <t>—</t>
        </is>
      </c>
      <c r="D11" s="6" t="inlineStr">
        <is>
          <t>재사용 또는 신규</t>
        </is>
      </c>
      <c r="E11" s="6" t="inlineStr">
        <is>
          <t>필수</t>
        </is>
      </c>
      <c r="F11" s="6" t="inlineStr">
        <is>
          <t>장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</row>
    <row r="12">
      <c r="A12" s="6" t="inlineStr">
        <is>
          <t>WN-008</t>
        </is>
      </c>
      <c r="B12" s="6" t="inlineStr">
        <is>
          <t>코킹재/실리콘</t>
        </is>
      </c>
      <c r="C12" s="6" t="inlineStr">
        <is>
          <t>외부용</t>
        </is>
      </c>
      <c r="D12" s="6" t="inlineStr">
        <is>
          <t>외부 코킹 시공</t>
        </is>
      </c>
      <c r="E12" s="6" t="inlineStr">
        <is>
          <t>필수</t>
        </is>
      </c>
      <c r="F12" s="6" t="inlineStr">
        <is>
          <t>개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</row>
    <row r="13">
      <c r="A13" s="6" t="inlineStr">
        <is>
          <t>WN-009</t>
        </is>
      </c>
      <c r="B13" s="6" t="inlineStr">
        <is>
          <t>폼 충진재</t>
        </is>
      </c>
      <c r="C13" s="6" t="inlineStr">
        <is>
          <t>우레탄폼</t>
        </is>
      </c>
      <c r="D13" s="6" t="inlineStr">
        <is>
          <t>창호 주변 틈새 메움</t>
        </is>
      </c>
      <c r="E13" s="6" t="inlineStr">
        <is>
          <t>필수</t>
        </is>
      </c>
      <c r="F13" s="6" t="inlineStr">
        <is>
          <t>개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</row>
    <row r="14">
      <c r="A14" s="6" t="inlineStr">
        <is>
          <t>WN-010</t>
        </is>
      </c>
      <c r="B14" s="6" t="inlineStr">
        <is>
          <t>방수액</t>
        </is>
      </c>
      <c r="C14" s="6" t="inlineStr">
        <is>
          <t>—</t>
        </is>
      </c>
      <c r="D14" s="6" t="inlineStr">
        <is>
          <t>외부 창틀 주변 도포</t>
        </is>
      </c>
      <c r="E14" s="6" t="inlineStr">
        <is>
          <t>필수</t>
        </is>
      </c>
      <c r="F14" s="6" t="inlineStr">
        <is>
          <t>L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</row>
    <row r="15">
      <c r="A15" s="6" t="inlineStr">
        <is>
          <t>WN-011</t>
        </is>
      </c>
      <c r="B15" s="6" t="inlineStr">
        <is>
          <t>쐐기/버팀목</t>
        </is>
      </c>
      <c r="C15" s="6" t="inlineStr">
        <is>
          <t>—</t>
        </is>
      </c>
      <c r="D15" s="6" t="inlineStr">
        <is>
          <t>큰 창 하부 처짐 방지</t>
        </is>
      </c>
      <c r="E15" s="6" t="inlineStr">
        <is>
          <t>필수</t>
        </is>
      </c>
      <c r="F15" s="6" t="inlineStr">
        <is>
          <t>개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</row>
    <row r="16">
      <c r="A16" s="6" t="inlineStr">
        <is>
          <t>WN-012</t>
        </is>
      </c>
      <c r="B16" s="6" t="inlineStr">
        <is>
          <t>사춤재</t>
        </is>
      </c>
      <c r="C16" s="6" t="inlineStr">
        <is>
          <t>—</t>
        </is>
      </c>
      <c r="D16" s="6" t="inlineStr">
        <is>
          <t>벽체 미장 손상 채움</t>
        </is>
      </c>
      <c r="E16" s="6" t="inlineStr">
        <is>
          <t>필수</t>
        </is>
      </c>
      <c r="F16" s="6" t="inlineStr">
        <is>
          <t>kg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</row>
    <row r="17">
      <c r="A17" s="6" t="inlineStr">
        <is>
          <t>WN-013</t>
        </is>
      </c>
      <c r="B17" s="6" t="inlineStr">
        <is>
          <t>창호 손잡이</t>
        </is>
      </c>
      <c r="C17" s="6" t="inlineStr">
        <is>
          <t>—</t>
        </is>
      </c>
      <c r="D17" s="6" t="inlineStr">
        <is>
          <t>재사용 또는 교체</t>
        </is>
      </c>
      <c r="E17" s="6" t="inlineStr">
        <is>
          <t>필수</t>
        </is>
      </c>
      <c r="F17" s="6" t="inlineStr">
        <is>
          <t>개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</row>
    <row r="18">
      <c r="A18" s="6" t="inlineStr">
        <is>
          <t>WN-014</t>
        </is>
      </c>
      <c r="B18" s="6" t="inlineStr">
        <is>
          <t>안전벨트/안전바</t>
        </is>
      </c>
      <c r="C18" s="6" t="inlineStr">
        <is>
          <t>—</t>
        </is>
      </c>
      <c r="D18" s="6" t="inlineStr">
        <is>
          <t>시공 작업자 착용</t>
        </is>
      </c>
      <c r="E18" s="6" t="inlineStr">
        <is>
          <t>필수</t>
        </is>
      </c>
      <c r="F18" s="6" t="inlineStr">
        <is>
          <t>세트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</row>
    <row r="19">
      <c r="A19" s="6" t="inlineStr">
        <is>
          <t>WN-015</t>
        </is>
      </c>
      <c r="B19" s="6" t="inlineStr">
        <is>
          <t>보양재</t>
        </is>
      </c>
      <c r="C19" s="6" t="inlineStr">
        <is>
          <t>—</t>
        </is>
      </c>
      <c r="D19" s="6" t="inlineStr">
        <is>
          <t>시공 후 손잡이 보양</t>
        </is>
      </c>
      <c r="E19" s="6" t="inlineStr">
        <is>
          <t>필수</t>
        </is>
      </c>
      <c r="F19" s="6" t="inlineStr">
        <is>
          <t>롤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10">
        <f>IF(G20="","",G20*(1+H20/100))</f>
        <v/>
      </c>
      <c r="J20" s="9" t="n"/>
      <c r="K20" s="9" t="n"/>
      <c r="L20" s="9" t="n"/>
      <c r="M20" s="9" t="n"/>
      <c r="N20" s="9" t="n"/>
      <c r="O20" s="9" t="n"/>
      <c r="P20" s="9" t="n"/>
      <c r="Q20" s="11">
        <f>IF(OR(O20="",P20=""),"",MIN(O20,P20)-N20)</f>
        <v/>
      </c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10">
        <f>IF(G21="","",G21*(1+H21/100))</f>
        <v/>
      </c>
      <c r="J21" s="9" t="n"/>
      <c r="K21" s="9" t="n"/>
      <c r="L21" s="9" t="n"/>
      <c r="M21" s="9" t="n"/>
      <c r="N21" s="9" t="n"/>
      <c r="O21" s="9" t="n"/>
      <c r="P21" s="9" t="n"/>
      <c r="Q21" s="11">
        <f>IF(OR(O21="",P21=""),"",MIN(O21,P21)-N21)</f>
        <v/>
      </c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10">
        <f>IF(G22="","",G22*(1+H22/100))</f>
        <v/>
      </c>
      <c r="J22" s="9" t="n"/>
      <c r="K22" s="9" t="n"/>
      <c r="L22" s="9" t="n"/>
      <c r="M22" s="9" t="n"/>
      <c r="N22" s="9" t="n"/>
      <c r="O22" s="9" t="n"/>
      <c r="P22" s="9" t="n"/>
      <c r="Q22" s="11">
        <f>IF(OR(O22="",P22=""),"",MIN(O22,P22)-N22)</f>
        <v/>
      </c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10">
        <f>IF(G23="","",G23*(1+H23/100))</f>
        <v/>
      </c>
      <c r="J23" s="9" t="n"/>
      <c r="K23" s="9" t="n"/>
      <c r="L23" s="9" t="n"/>
      <c r="M23" s="9" t="n"/>
      <c r="N23" s="9" t="n"/>
      <c r="O23" s="9" t="n"/>
      <c r="P23" s="9" t="n"/>
      <c r="Q23" s="11">
        <f>IF(OR(O23="",P23=""),"",MIN(O23,P23)-N23)</f>
        <v/>
      </c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10">
        <f>IF(G24="","",G24*(1+H24/100))</f>
        <v/>
      </c>
      <c r="J24" s="9" t="n"/>
      <c r="K24" s="9" t="n"/>
      <c r="L24" s="9" t="n"/>
      <c r="M24" s="9" t="n"/>
      <c r="N24" s="9" t="n"/>
      <c r="O24" s="9" t="n"/>
      <c r="P24" s="9" t="n"/>
      <c r="Q24" s="11">
        <f>IF(OR(O24="",P24=""),"",MIN(O24,P24)-N24)</f>
        <v/>
      </c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10">
        <f>IF(G25="","",G25*(1+H25/100))</f>
        <v/>
      </c>
      <c r="J25" s="9" t="n"/>
      <c r="K25" s="9" t="n"/>
      <c r="L25" s="9" t="n"/>
      <c r="M25" s="9" t="n"/>
      <c r="N25" s="9" t="n"/>
      <c r="O25" s="9" t="n"/>
      <c r="P25" s="9" t="n"/>
      <c r="Q25" s="11">
        <f>IF(OR(O25="",P25=""),"",MIN(O25,P25)-N25)</f>
        <v/>
      </c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10">
        <f>IF(G26="","",G26*(1+H26/100))</f>
        <v/>
      </c>
      <c r="J26" s="9" t="n"/>
      <c r="K26" s="9" t="n"/>
      <c r="L26" s="9" t="n"/>
      <c r="M26" s="9" t="n"/>
      <c r="N26" s="9" t="n"/>
      <c r="O26" s="9" t="n"/>
      <c r="P26" s="9" t="n"/>
      <c r="Q26" s="11">
        <f>IF(OR(O26="",P26=""),"",MIN(O26,P26)-N26)</f>
        <v/>
      </c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10">
        <f>IF(G27="","",G27*(1+H27/100))</f>
        <v/>
      </c>
      <c r="J27" s="9" t="n"/>
      <c r="K27" s="9" t="n"/>
      <c r="L27" s="9" t="n"/>
      <c r="M27" s="9" t="n"/>
      <c r="N27" s="9" t="n"/>
      <c r="O27" s="9" t="n"/>
      <c r="P27" s="9" t="n"/>
      <c r="Q27" s="11">
        <f>IF(OR(O27="",P27=""),"",MIN(O27,P27)-N27)</f>
        <v/>
      </c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10">
        <f>IF(G28="","",G28*(1+H28/100))</f>
        <v/>
      </c>
      <c r="J28" s="9" t="n"/>
      <c r="K28" s="9" t="n"/>
      <c r="L28" s="9" t="n"/>
      <c r="M28" s="9" t="n"/>
      <c r="N28" s="9" t="n"/>
      <c r="O28" s="9" t="n"/>
      <c r="P28" s="9" t="n"/>
      <c r="Q28" s="11">
        <f>IF(OR(O28="",P28=""),"",MIN(O28,P28)-N28)</f>
        <v/>
      </c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10">
        <f>IF(G29="","",G29*(1+H29/100))</f>
        <v/>
      </c>
      <c r="J29" s="9" t="n"/>
      <c r="K29" s="9" t="n"/>
      <c r="L29" s="9" t="n"/>
      <c r="M29" s="9" t="n"/>
      <c r="N29" s="9" t="n"/>
      <c r="O29" s="9" t="n"/>
      <c r="P29" s="9" t="n"/>
      <c r="Q29" s="11">
        <f>IF(OR(O29="",P29=""),"",MIN(O29,P29)-N29)</f>
        <v/>
      </c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10">
        <f>IF(G30="","",G30*(1+H30/100))</f>
        <v/>
      </c>
      <c r="J30" s="9" t="n"/>
      <c r="K30" s="9" t="n"/>
      <c r="L30" s="9" t="n"/>
      <c r="M30" s="9" t="n"/>
      <c r="N30" s="9" t="n"/>
      <c r="O30" s="9" t="n"/>
      <c r="P30" s="9" t="n"/>
      <c r="Q30" s="11">
        <f>IF(OR(O30="",P30=""),"",MIN(O30,P30)-N30)</f>
        <v/>
      </c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10">
        <f>IF(G31="","",G31*(1+H31/100))</f>
        <v/>
      </c>
      <c r="J31" s="9" t="n"/>
      <c r="K31" s="9" t="n"/>
      <c r="L31" s="9" t="n"/>
      <c r="M31" s="9" t="n"/>
      <c r="N31" s="9" t="n"/>
      <c r="O31" s="9" t="n"/>
      <c r="P31" s="9" t="n"/>
      <c r="Q31" s="11">
        <f>IF(OR(O31="",P31=""),"",MIN(O31,P31)-N31)</f>
        <v/>
      </c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10">
        <f>IF(G32="","",G32*(1+H32/100))</f>
        <v/>
      </c>
      <c r="J32" s="9" t="n"/>
      <c r="K32" s="9" t="n"/>
      <c r="L32" s="9" t="n"/>
      <c r="M32" s="9" t="n"/>
      <c r="N32" s="9" t="n"/>
      <c r="O32" s="9" t="n"/>
      <c r="P32" s="9" t="n"/>
      <c r="Q32" s="11">
        <f>IF(OR(O32="",P32=""),"",MIN(O32,P32)-N32)</f>
        <v/>
      </c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10">
        <f>IF(G33="","",G33*(1+H33/100))</f>
        <v/>
      </c>
      <c r="J33" s="9" t="n"/>
      <c r="K33" s="9" t="n"/>
      <c r="L33" s="9" t="n"/>
      <c r="M33" s="9" t="n"/>
      <c r="N33" s="9" t="n"/>
      <c r="O33" s="9" t="n"/>
      <c r="P33" s="9" t="n"/>
      <c r="Q33" s="11">
        <f>IF(OR(O33="",P33=""),"",MIN(O33,P33)-N33)</f>
        <v/>
      </c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10">
        <f>IF(G34="","",G34*(1+H34/100))</f>
        <v/>
      </c>
      <c r="J34" s="9" t="n"/>
      <c r="K34" s="9" t="n"/>
      <c r="L34" s="9" t="n"/>
      <c r="M34" s="9" t="n"/>
      <c r="N34" s="9" t="n"/>
      <c r="O34" s="9" t="n"/>
      <c r="P34" s="9" t="n"/>
      <c r="Q34" s="11">
        <f>IF(OR(O34="",P34=""),"",MIN(O34,P34)-N34)</f>
        <v/>
      </c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6">
      <c r="A36" s="12" t="inlineStr">
        <is>
          <t>※ 파란 셀 = 수식 자동계산 | 소요량·로스율은 대표 확인 필요 | 가격은 유통 확인 필요</t>
        </is>
      </c>
    </row>
  </sheetData>
  <autoFilter ref="A4:Z34"/>
  <mergeCells count="8">
    <mergeCell ref="R3:U3"/>
    <mergeCell ref="A36:Z36"/>
    <mergeCell ref="A1:Z1"/>
    <mergeCell ref="J3:Q3"/>
    <mergeCell ref="Y3:Z3"/>
    <mergeCell ref="A3:I3"/>
    <mergeCell ref="A2:Z2"/>
    <mergeCell ref="V3:X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F7AEA"/>
    <outlinePr summaryBelow="1" summaryRight="1"/>
    <pageSetUpPr/>
  </sheetPr>
  <dimension ref="A1:Z4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</cols>
  <sheetData>
    <row r="1" ht="30" customHeight="1">
      <c r="A1" s="1" t="inlineStr">
        <is>
          <t>목공 자재</t>
        </is>
      </c>
    </row>
    <row r="2">
      <c r="A2" s="2" t="inlineStr">
        <is>
          <t>공정코드: WD | 체크리스트 기반 전체 자재 목록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</row>
    <row r="5">
      <c r="A5" s="6" t="inlineStr">
        <is>
          <t>WD-001</t>
        </is>
      </c>
      <c r="B5" s="6" t="inlineStr">
        <is>
          <t>목자재/목재</t>
        </is>
      </c>
      <c r="C5" s="6" t="inlineStr">
        <is>
          <t>각재 등</t>
        </is>
      </c>
      <c r="D5" s="6" t="inlineStr">
        <is>
          <t>목공 전반 기본</t>
        </is>
      </c>
      <c r="E5" s="6" t="inlineStr">
        <is>
          <t>필수</t>
        </is>
      </c>
      <c r="F5" s="6" t="inlineStr">
        <is>
          <t>m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</row>
    <row r="6">
      <c r="A6" s="6" t="inlineStr">
        <is>
          <t>WD-002</t>
        </is>
      </c>
      <c r="B6" s="6" t="inlineStr">
        <is>
          <t>합판</t>
        </is>
      </c>
      <c r="C6" s="6" t="inlineStr">
        <is>
          <t>9T/12T/15T</t>
        </is>
      </c>
      <c r="D6" s="6" t="inlineStr">
        <is>
          <t>천장·벽 보강</t>
        </is>
      </c>
      <c r="E6" s="6" t="inlineStr">
        <is>
          <t>필수</t>
        </is>
      </c>
      <c r="F6" s="6" t="inlineStr">
        <is>
          <t>장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</row>
    <row r="7">
      <c r="A7" s="6" t="inlineStr">
        <is>
          <t>WD-003</t>
        </is>
      </c>
      <c r="B7" s="6" t="inlineStr">
        <is>
          <t>석고보드</t>
        </is>
      </c>
      <c r="C7" s="6" t="inlineStr">
        <is>
          <t>9.5T</t>
        </is>
      </c>
      <c r="D7" s="6" t="inlineStr">
        <is>
          <t>벽·천장 마감</t>
        </is>
      </c>
      <c r="E7" s="6" t="inlineStr">
        <is>
          <t>필수</t>
        </is>
      </c>
      <c r="F7" s="6" t="inlineStr">
        <is>
          <t>장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</row>
    <row r="8">
      <c r="A8" s="6" t="inlineStr">
        <is>
          <t>WD-004</t>
        </is>
      </c>
      <c r="B8" s="6" t="inlineStr">
        <is>
          <t>단열재(아이소핑크)</t>
        </is>
      </c>
      <c r="C8" s="6" t="inlineStr">
        <is>
          <t>압출법</t>
        </is>
      </c>
      <c r="D8" s="6" t="inlineStr">
        <is>
          <t>벽·천장 단열</t>
        </is>
      </c>
      <c r="E8" s="6" t="inlineStr">
        <is>
          <t>필수</t>
        </is>
      </c>
      <c r="F8" s="6" t="inlineStr">
        <is>
          <t>장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</row>
    <row r="9">
      <c r="A9" s="6" t="inlineStr">
        <is>
          <t>WD-005</t>
        </is>
      </c>
      <c r="B9" s="6" t="inlineStr">
        <is>
          <t>단열재(인슐레이션)</t>
        </is>
      </c>
      <c r="C9" s="6" t="inlineStr">
        <is>
          <t>그라스울</t>
        </is>
      </c>
      <c r="D9" s="6" t="inlineStr">
        <is>
          <t>충진형 단열</t>
        </is>
      </c>
      <c r="E9" s="6" t="inlineStr">
        <is>
          <t>선택</t>
        </is>
      </c>
      <c r="F9" s="6" t="inlineStr">
        <is>
          <t>롤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</row>
    <row r="10">
      <c r="A10" s="6" t="inlineStr">
        <is>
          <t>WD-006</t>
        </is>
      </c>
      <c r="B10" s="6" t="inlineStr">
        <is>
          <t>MDF</t>
        </is>
      </c>
      <c r="C10" s="6" t="inlineStr">
        <is>
          <t>—</t>
        </is>
      </c>
      <c r="D10" s="6" t="inlineStr">
        <is>
          <t>템바보드 뒷면 보강</t>
        </is>
      </c>
      <c r="E10" s="6" t="inlineStr">
        <is>
          <t>선택</t>
        </is>
      </c>
      <c r="F10" s="6" t="inlineStr">
        <is>
          <t>장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</row>
    <row r="11">
      <c r="A11" s="6" t="inlineStr">
        <is>
          <t>WD-007</t>
        </is>
      </c>
      <c r="B11" s="6" t="inlineStr">
        <is>
          <t>사각 템바보드</t>
        </is>
      </c>
      <c r="C11" s="6" t="inlineStr">
        <is>
          <t>—</t>
        </is>
      </c>
      <c r="D11" s="6" t="inlineStr">
        <is>
          <t>벽면 마감</t>
        </is>
      </c>
      <c r="E11" s="6" t="inlineStr">
        <is>
          <t>선택</t>
        </is>
      </c>
      <c r="F11" s="6" t="inlineStr">
        <is>
          <t>장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</row>
    <row r="12">
      <c r="A12" s="6" t="inlineStr">
        <is>
          <t>WD-008</t>
        </is>
      </c>
      <c r="B12" s="6" t="inlineStr">
        <is>
          <t>알판</t>
        </is>
      </c>
      <c r="C12" s="6" t="inlineStr">
        <is>
          <t>—</t>
        </is>
      </c>
      <c r="D12" s="6" t="inlineStr">
        <is>
          <t>필름 시공 벽면 판재</t>
        </is>
      </c>
      <c r="E12" s="6" t="inlineStr">
        <is>
          <t>선택</t>
        </is>
      </c>
      <c r="F12" s="6" t="inlineStr">
        <is>
          <t>장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</row>
    <row r="13">
      <c r="A13" s="6" t="inlineStr">
        <is>
          <t>WD-009</t>
        </is>
      </c>
      <c r="B13" s="6" t="inlineStr">
        <is>
          <t>타카핀</t>
        </is>
      </c>
      <c r="C13" s="6" t="inlineStr">
        <is>
          <t>—</t>
        </is>
      </c>
      <c r="D13" s="6" t="inlineStr">
        <is>
          <t>고정용</t>
        </is>
      </c>
      <c r="E13" s="6" t="inlineStr">
        <is>
          <t>필수</t>
        </is>
      </c>
      <c r="F13" s="6" t="inlineStr">
        <is>
          <t>박스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</row>
    <row r="14">
      <c r="A14" s="6" t="inlineStr">
        <is>
          <t>WD-010</t>
        </is>
      </c>
      <c r="B14" s="6" t="inlineStr">
        <is>
          <t>목공 본드</t>
        </is>
      </c>
      <c r="C14" s="6" t="inlineStr">
        <is>
          <t>—</t>
        </is>
      </c>
      <c r="D14" s="6" t="inlineStr">
        <is>
          <t>접착제</t>
        </is>
      </c>
      <c r="E14" s="6" t="inlineStr">
        <is>
          <t>필수</t>
        </is>
      </c>
      <c r="F14" s="6" t="inlineStr">
        <is>
          <t>통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</row>
    <row r="15">
      <c r="A15" s="6" t="inlineStr">
        <is>
          <t>WD-011</t>
        </is>
      </c>
      <c r="B15" s="6" t="inlineStr">
        <is>
          <t>퍼티/핸디코트</t>
        </is>
      </c>
      <c r="C15" s="6" t="inlineStr">
        <is>
          <t>—</t>
        </is>
      </c>
      <c r="D15" s="6" t="inlineStr">
        <is>
          <t>필름 밑작업 충전</t>
        </is>
      </c>
      <c r="E15" s="6" t="inlineStr">
        <is>
          <t>필수</t>
        </is>
      </c>
      <c r="F15" s="6" t="inlineStr">
        <is>
          <t>kg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</row>
    <row r="16">
      <c r="A16" s="6" t="inlineStr">
        <is>
          <t>WD-012</t>
        </is>
      </c>
      <c r="B16" s="6" t="inlineStr">
        <is>
          <t>방문</t>
        </is>
      </c>
      <c r="C16" s="6" t="inlineStr">
        <is>
          <t>—</t>
        </is>
      </c>
      <c r="D16" s="6" t="inlineStr">
        <is>
          <t>실측 후 발주</t>
        </is>
      </c>
      <c r="E16" s="6" t="inlineStr">
        <is>
          <t>필수</t>
        </is>
      </c>
      <c r="F16" s="6" t="inlineStr">
        <is>
          <t>세트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</row>
    <row r="17">
      <c r="A17" s="6" t="inlineStr">
        <is>
          <t>WD-013</t>
        </is>
      </c>
      <c r="B17" s="6" t="inlineStr">
        <is>
          <t>문틀</t>
        </is>
      </c>
      <c r="C17" s="6" t="inlineStr">
        <is>
          <t>—</t>
        </is>
      </c>
      <c r="D17" s="6" t="inlineStr">
        <is>
          <t>문 프레임</t>
        </is>
      </c>
      <c r="E17" s="6" t="inlineStr">
        <is>
          <t>필수</t>
        </is>
      </c>
      <c r="F17" s="6" t="inlineStr">
        <is>
          <t>세트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</row>
    <row r="18">
      <c r="A18" s="6" t="inlineStr">
        <is>
          <t>WD-014</t>
        </is>
      </c>
      <c r="B18" s="6" t="inlineStr">
        <is>
          <t>문지방</t>
        </is>
      </c>
      <c r="C18" s="6" t="inlineStr">
        <is>
          <t>—</t>
        </is>
      </c>
      <c r="D18" s="6" t="inlineStr">
        <is>
          <t>문턱</t>
        </is>
      </c>
      <c r="E18" s="6" t="inlineStr">
        <is>
          <t>필수</t>
        </is>
      </c>
      <c r="F18" s="6" t="inlineStr">
        <is>
          <t>개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</row>
    <row r="19">
      <c r="A19" s="6" t="inlineStr">
        <is>
          <t>WD-015</t>
        </is>
      </c>
      <c r="B19" s="6" t="inlineStr">
        <is>
          <t>문손잡이</t>
        </is>
      </c>
      <c r="C19" s="6" t="inlineStr">
        <is>
          <t>—</t>
        </is>
      </c>
      <c r="D19" s="6" t="inlineStr">
        <is>
          <t>핸들</t>
        </is>
      </c>
      <c r="E19" s="6" t="inlineStr">
        <is>
          <t>필수</t>
        </is>
      </c>
      <c r="F19" s="6" t="inlineStr">
        <is>
          <t>개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</row>
    <row r="20">
      <c r="A20" s="6" t="inlineStr">
        <is>
          <t>WD-016</t>
        </is>
      </c>
      <c r="B20" s="6" t="inlineStr">
        <is>
          <t>도어 스토퍼</t>
        </is>
      </c>
      <c r="C20" s="6" t="inlineStr">
        <is>
          <t>—</t>
        </is>
      </c>
      <c r="D20" s="6" t="inlineStr">
        <is>
          <t>벽 충돌 방지</t>
        </is>
      </c>
      <c r="E20" s="6" t="inlineStr">
        <is>
          <t>필수</t>
        </is>
      </c>
      <c r="F20" s="6" t="inlineStr">
        <is>
          <t>개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/>
    </row>
    <row r="21">
      <c r="A21" s="6" t="inlineStr">
        <is>
          <t>WD-017</t>
        </is>
      </c>
      <c r="B21" s="6" t="inlineStr">
        <is>
          <t>히든도어</t>
        </is>
      </c>
      <c r="C21" s="6" t="inlineStr">
        <is>
          <t>—</t>
        </is>
      </c>
      <c r="D21" s="6" t="inlineStr">
        <is>
          <t>벽 일체화 도어</t>
        </is>
      </c>
      <c r="E21" s="6" t="inlineStr">
        <is>
          <t>선택</t>
        </is>
      </c>
      <c r="F21" s="6" t="inlineStr">
        <is>
          <t>세트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/>
    </row>
    <row r="22">
      <c r="A22" s="6" t="inlineStr">
        <is>
          <t>WD-018</t>
        </is>
      </c>
      <c r="B22" s="6" t="inlineStr">
        <is>
          <t>현관 중문</t>
        </is>
      </c>
      <c r="C22" s="6" t="inlineStr">
        <is>
          <t>—</t>
        </is>
      </c>
      <c r="D22" s="6" t="inlineStr">
        <is>
          <t>자동 중문 포함</t>
        </is>
      </c>
      <c r="E22" s="6" t="inlineStr">
        <is>
          <t>선택</t>
        </is>
      </c>
      <c r="F22" s="6" t="inlineStr">
        <is>
          <t>세트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/>
    </row>
    <row r="23">
      <c r="A23" s="6" t="inlineStr">
        <is>
          <t>WD-019</t>
        </is>
      </c>
      <c r="B23" s="6" t="inlineStr">
        <is>
          <t>몰딩</t>
        </is>
      </c>
      <c r="C23" s="6" t="inlineStr">
        <is>
          <t>—</t>
        </is>
      </c>
      <c r="D23" s="6" t="inlineStr">
        <is>
          <t>천장 마감 (무/마이너스)</t>
        </is>
      </c>
      <c r="E23" s="6" t="inlineStr">
        <is>
          <t>필수</t>
        </is>
      </c>
      <c r="F23" s="6" t="inlineStr">
        <is>
          <t>m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/>
    </row>
    <row r="24">
      <c r="A24" s="6" t="inlineStr">
        <is>
          <t>WD-020</t>
        </is>
      </c>
      <c r="B24" s="6" t="inlineStr">
        <is>
          <t>액자레일</t>
        </is>
      </c>
      <c r="C24" s="6" t="inlineStr">
        <is>
          <t>—</t>
        </is>
      </c>
      <c r="D24" s="6" t="inlineStr">
        <is>
          <t>벽면 액자 걸이</t>
        </is>
      </c>
      <c r="E24" s="6" t="inlineStr">
        <is>
          <t>선택</t>
        </is>
      </c>
      <c r="F24" s="6" t="inlineStr">
        <is>
          <t>m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/>
    </row>
    <row r="25">
      <c r="A25" s="6" t="inlineStr">
        <is>
          <t>WD-021</t>
        </is>
      </c>
      <c r="B25" s="6" t="inlineStr">
        <is>
          <t>걸레받이</t>
        </is>
      </c>
      <c r="C25" s="6" t="inlineStr">
        <is>
          <t>—</t>
        </is>
      </c>
      <c r="D25" s="6" t="inlineStr">
        <is>
          <t>벽 하단 마감</t>
        </is>
      </c>
      <c r="E25" s="6" t="inlineStr">
        <is>
          <t>필수</t>
        </is>
      </c>
      <c r="F25" s="6" t="inlineStr">
        <is>
          <t>m</t>
        </is>
      </c>
      <c r="G25" s="6" t="n"/>
      <c r="H25" s="6" t="n"/>
      <c r="I25" s="7">
        <f>IF(G25="","",G25*(1+H25/100))</f>
        <v/>
      </c>
      <c r="J25" s="6" t="n"/>
      <c r="K25" s="6" t="n"/>
      <c r="L25" s="8" t="n"/>
      <c r="M25" s="8" t="n"/>
      <c r="N25" s="8" t="n"/>
      <c r="O25" s="8" t="n"/>
      <c r="P25" s="8" t="n"/>
      <c r="Q25" s="8">
        <f>IF(OR(O25="",P25=""),"",MIN(O25,P25)-N25)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inlineStr"/>
    </row>
    <row r="26">
      <c r="A26" s="6" t="inlineStr">
        <is>
          <t>WD-022</t>
        </is>
      </c>
      <c r="B26" s="6" t="inlineStr">
        <is>
          <t>점검구</t>
        </is>
      </c>
      <c r="C26" s="6" t="inlineStr">
        <is>
          <t>—</t>
        </is>
      </c>
      <c r="D26" s="6" t="inlineStr">
        <is>
          <t>천장 점검 개구부</t>
        </is>
      </c>
      <c r="E26" s="6" t="inlineStr">
        <is>
          <t>필수</t>
        </is>
      </c>
      <c r="F26" s="6" t="inlineStr">
        <is>
          <t>개</t>
        </is>
      </c>
      <c r="G26" s="6" t="n"/>
      <c r="H26" s="6" t="n"/>
      <c r="I26" s="7">
        <f>IF(G26="","",G26*(1+H26/100))</f>
        <v/>
      </c>
      <c r="J26" s="6" t="n"/>
      <c r="K26" s="6" t="n"/>
      <c r="L26" s="8" t="n"/>
      <c r="M26" s="8" t="n"/>
      <c r="N26" s="8" t="n"/>
      <c r="O26" s="8" t="n"/>
      <c r="P26" s="8" t="n"/>
      <c r="Q26" s="8">
        <f>IF(OR(O26="",P26=""),"",MIN(O26,P26)-N26)</f>
        <v/>
      </c>
      <c r="R26" s="6" t="n"/>
      <c r="S26" s="6" t="n"/>
      <c r="T26" s="6" t="n"/>
      <c r="U26" s="6" t="n"/>
      <c r="V26" s="6" t="n"/>
      <c r="W26" s="6" t="n"/>
      <c r="X26" s="6" t="n"/>
      <c r="Y26" s="6" t="n"/>
      <c r="Z26" s="6" t="inlineStr"/>
    </row>
    <row r="27">
      <c r="A27" s="6" t="inlineStr">
        <is>
          <t>WD-023</t>
        </is>
      </c>
      <c r="B27" s="6" t="inlineStr">
        <is>
          <t>커튼박스</t>
        </is>
      </c>
      <c r="C27" s="6" t="inlineStr">
        <is>
          <t>—</t>
        </is>
      </c>
      <c r="D27" s="6" t="inlineStr">
        <is>
          <t>커튼 레일 숨김</t>
        </is>
      </c>
      <c r="E27" s="6" t="inlineStr">
        <is>
          <t>선택</t>
        </is>
      </c>
      <c r="F27" s="6" t="inlineStr">
        <is>
          <t>m</t>
        </is>
      </c>
      <c r="G27" s="6" t="n"/>
      <c r="H27" s="6" t="n"/>
      <c r="I27" s="7">
        <f>IF(G27="","",G27*(1+H27/100))</f>
        <v/>
      </c>
      <c r="J27" s="6" t="n"/>
      <c r="K27" s="6" t="n"/>
      <c r="L27" s="8" t="n"/>
      <c r="M27" s="8" t="n"/>
      <c r="N27" s="8" t="n"/>
      <c r="O27" s="8" t="n"/>
      <c r="P27" s="8" t="n"/>
      <c r="Q27" s="8">
        <f>IF(OR(O27="",P27=""),"",MIN(O27,P27)-N27)</f>
        <v/>
      </c>
      <c r="R27" s="6" t="n"/>
      <c r="S27" s="6" t="n"/>
      <c r="T27" s="6" t="n"/>
      <c r="U27" s="6" t="n"/>
      <c r="V27" s="6" t="n"/>
      <c r="W27" s="6" t="n"/>
      <c r="X27" s="6" t="n"/>
      <c r="Y27" s="6" t="n"/>
      <c r="Z27" s="6" t="inlineStr"/>
    </row>
    <row r="28">
      <c r="A28" s="6" t="inlineStr">
        <is>
          <t>WD-024</t>
        </is>
      </c>
      <c r="B28" s="6" t="inlineStr">
        <is>
          <t>라인조명 하우징</t>
        </is>
      </c>
      <c r="C28" s="6" t="inlineStr">
        <is>
          <t>—</t>
        </is>
      </c>
      <c r="D28" s="6" t="inlineStr">
        <is>
          <t>라인조명 매립 박스</t>
        </is>
      </c>
      <c r="E28" s="6" t="inlineStr">
        <is>
          <t>선택</t>
        </is>
      </c>
      <c r="F28" s="6" t="inlineStr">
        <is>
          <t>m</t>
        </is>
      </c>
      <c r="G28" s="6" t="n"/>
      <c r="H28" s="6" t="n"/>
      <c r="I28" s="7">
        <f>IF(G28="","",G28*(1+H28/100))</f>
        <v/>
      </c>
      <c r="J28" s="6" t="n"/>
      <c r="K28" s="6" t="n"/>
      <c r="L28" s="8" t="n"/>
      <c r="M28" s="8" t="n"/>
      <c r="N28" s="8" t="n"/>
      <c r="O28" s="8" t="n"/>
      <c r="P28" s="8" t="n"/>
      <c r="Q28" s="8">
        <f>IF(OR(O28="",P28=""),"",MIN(O28,P28)-N28)</f>
        <v/>
      </c>
      <c r="R28" s="6" t="n"/>
      <c r="S28" s="6" t="n"/>
      <c r="T28" s="6" t="n"/>
      <c r="U28" s="6" t="n"/>
      <c r="V28" s="6" t="n"/>
      <c r="W28" s="6" t="n"/>
      <c r="X28" s="6" t="n"/>
      <c r="Y28" s="6" t="n"/>
      <c r="Z28" s="6" t="inlineStr"/>
    </row>
    <row r="29">
      <c r="A29" s="6" t="inlineStr">
        <is>
          <t>WD-025</t>
        </is>
      </c>
      <c r="B29" s="6" t="inlineStr">
        <is>
          <t>TV 벽걸이 브라켓</t>
        </is>
      </c>
      <c r="C29" s="6" t="inlineStr">
        <is>
          <t>—</t>
        </is>
      </c>
      <c r="D29" s="6" t="inlineStr">
        <is>
          <t>TV 설치용</t>
        </is>
      </c>
      <c r="E29" s="6" t="inlineStr">
        <is>
          <t>선택</t>
        </is>
      </c>
      <c r="F29" s="6" t="inlineStr">
        <is>
          <t>세트</t>
        </is>
      </c>
      <c r="G29" s="6" t="n"/>
      <c r="H29" s="6" t="n"/>
      <c r="I29" s="7">
        <f>IF(G29="","",G29*(1+H29/100))</f>
        <v/>
      </c>
      <c r="J29" s="6" t="n"/>
      <c r="K29" s="6" t="n"/>
      <c r="L29" s="8" t="n"/>
      <c r="M29" s="8" t="n"/>
      <c r="N29" s="8" t="n"/>
      <c r="O29" s="8" t="n"/>
      <c r="P29" s="8" t="n"/>
      <c r="Q29" s="8">
        <f>IF(OR(O29="",P29=""),"",MIN(O29,P29)-N29)</f>
        <v/>
      </c>
      <c r="R29" s="6" t="n"/>
      <c r="S29" s="6" t="n"/>
      <c r="T29" s="6" t="n"/>
      <c r="U29" s="6" t="n"/>
      <c r="V29" s="6" t="n"/>
      <c r="W29" s="6" t="n"/>
      <c r="X29" s="6" t="n"/>
      <c r="Y29" s="6" t="n"/>
      <c r="Z29" s="6" t="inlineStr"/>
    </row>
    <row r="30">
      <c r="A30" s="6" t="inlineStr">
        <is>
          <t>WD-026</t>
        </is>
      </c>
      <c r="B30" s="6" t="inlineStr">
        <is>
          <t>관로(TV배선)</t>
        </is>
      </c>
      <c r="C30" s="6" t="inlineStr">
        <is>
          <t>PVC</t>
        </is>
      </c>
      <c r="D30" s="6" t="inlineStr">
        <is>
          <t>TV 배선 매설</t>
        </is>
      </c>
      <c r="E30" s="6" t="inlineStr">
        <is>
          <t>선택</t>
        </is>
      </c>
      <c r="F30" s="6" t="inlineStr">
        <is>
          <t>m</t>
        </is>
      </c>
      <c r="G30" s="6" t="n"/>
      <c r="H30" s="6" t="n"/>
      <c r="I30" s="7">
        <f>IF(G30="","",G30*(1+H30/100))</f>
        <v/>
      </c>
      <c r="J30" s="6" t="n"/>
      <c r="K30" s="6" t="n"/>
      <c r="L30" s="8" t="n"/>
      <c r="M30" s="8" t="n"/>
      <c r="N30" s="8" t="n"/>
      <c r="O30" s="8" t="n"/>
      <c r="P30" s="8" t="n"/>
      <c r="Q30" s="8">
        <f>IF(OR(O30="",P30=""),"",MIN(O30,P30)-N30)</f>
        <v/>
      </c>
      <c r="R30" s="6" t="n"/>
      <c r="S30" s="6" t="n"/>
      <c r="T30" s="6" t="n"/>
      <c r="U30" s="6" t="n"/>
      <c r="V30" s="6" t="n"/>
      <c r="W30" s="6" t="n"/>
      <c r="X30" s="6" t="n"/>
      <c r="Y30" s="6" t="n"/>
      <c r="Z30" s="6" t="inlineStr"/>
    </row>
    <row r="31">
      <c r="A31" s="6" t="inlineStr">
        <is>
          <t>WD-027</t>
        </is>
      </c>
      <c r="B31" s="6" t="inlineStr">
        <is>
          <t>실링팬 보강 합판</t>
        </is>
      </c>
      <c r="C31" s="6" t="inlineStr">
        <is>
          <t>15T</t>
        </is>
      </c>
      <c r="D31" s="6" t="inlineStr">
        <is>
          <t>실링팬 설치 위치</t>
        </is>
      </c>
      <c r="E31" s="6" t="inlineStr">
        <is>
          <t>선택</t>
        </is>
      </c>
      <c r="F31" s="6" t="inlineStr">
        <is>
          <t>장</t>
        </is>
      </c>
      <c r="G31" s="6" t="n"/>
      <c r="H31" s="6" t="n"/>
      <c r="I31" s="7">
        <f>IF(G31="","",G31*(1+H31/100))</f>
        <v/>
      </c>
      <c r="J31" s="6" t="n"/>
      <c r="K31" s="6" t="n"/>
      <c r="L31" s="8" t="n"/>
      <c r="M31" s="8" t="n"/>
      <c r="N31" s="8" t="n"/>
      <c r="O31" s="8" t="n"/>
      <c r="P31" s="8" t="n"/>
      <c r="Q31" s="8">
        <f>IF(OR(O31="",P31=""),"",MIN(O31,P31)-N31)</f>
        <v/>
      </c>
      <c r="R31" s="6" t="n"/>
      <c r="S31" s="6" t="n"/>
      <c r="T31" s="6" t="n"/>
      <c r="U31" s="6" t="n"/>
      <c r="V31" s="6" t="n"/>
      <c r="W31" s="6" t="n"/>
      <c r="X31" s="6" t="n"/>
      <c r="Y31" s="6" t="n"/>
      <c r="Z31" s="6" t="inlineStr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10">
        <f>IF(G32="","",G32*(1+H32/100))</f>
        <v/>
      </c>
      <c r="J32" s="9" t="n"/>
      <c r="K32" s="9" t="n"/>
      <c r="L32" s="9" t="n"/>
      <c r="M32" s="9" t="n"/>
      <c r="N32" s="9" t="n"/>
      <c r="O32" s="9" t="n"/>
      <c r="P32" s="9" t="n"/>
      <c r="Q32" s="11">
        <f>IF(OR(O32="",P32=""),"",MIN(O32,P32)-N32)</f>
        <v/>
      </c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10">
        <f>IF(G33="","",G33*(1+H33/100))</f>
        <v/>
      </c>
      <c r="J33" s="9" t="n"/>
      <c r="K33" s="9" t="n"/>
      <c r="L33" s="9" t="n"/>
      <c r="M33" s="9" t="n"/>
      <c r="N33" s="9" t="n"/>
      <c r="O33" s="9" t="n"/>
      <c r="P33" s="9" t="n"/>
      <c r="Q33" s="11">
        <f>IF(OR(O33="",P33=""),"",MIN(O33,P33)-N33)</f>
        <v/>
      </c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10">
        <f>IF(G34="","",G34*(1+H34/100))</f>
        <v/>
      </c>
      <c r="J34" s="9" t="n"/>
      <c r="K34" s="9" t="n"/>
      <c r="L34" s="9" t="n"/>
      <c r="M34" s="9" t="n"/>
      <c r="N34" s="9" t="n"/>
      <c r="O34" s="9" t="n"/>
      <c r="P34" s="9" t="n"/>
      <c r="Q34" s="11">
        <f>IF(OR(O34="",P34=""),"",MIN(O34,P34)-N34)</f>
        <v/>
      </c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10">
        <f>IF(G35="","",G35*(1+H35/100))</f>
        <v/>
      </c>
      <c r="J35" s="9" t="n"/>
      <c r="K35" s="9" t="n"/>
      <c r="L35" s="9" t="n"/>
      <c r="M35" s="9" t="n"/>
      <c r="N35" s="9" t="n"/>
      <c r="O35" s="9" t="n"/>
      <c r="P35" s="9" t="n"/>
      <c r="Q35" s="11">
        <f>IF(OR(O35="",P35=""),"",MIN(O35,P35)-N35)</f>
        <v/>
      </c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10">
        <f>IF(G36="","",G36*(1+H36/100))</f>
        <v/>
      </c>
      <c r="J36" s="9" t="n"/>
      <c r="K36" s="9" t="n"/>
      <c r="L36" s="9" t="n"/>
      <c r="M36" s="9" t="n"/>
      <c r="N36" s="9" t="n"/>
      <c r="O36" s="9" t="n"/>
      <c r="P36" s="9" t="n"/>
      <c r="Q36" s="11">
        <f>IF(OR(O36="",P36=""),"",MIN(O36,P36)-N36)</f>
        <v/>
      </c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10">
        <f>IF(G37="","",G37*(1+H37/100))</f>
        <v/>
      </c>
      <c r="J37" s="9" t="n"/>
      <c r="K37" s="9" t="n"/>
      <c r="L37" s="9" t="n"/>
      <c r="M37" s="9" t="n"/>
      <c r="N37" s="9" t="n"/>
      <c r="O37" s="9" t="n"/>
      <c r="P37" s="9" t="n"/>
      <c r="Q37" s="11">
        <f>IF(OR(O37="",P37=""),"",MIN(O37,P37)-N37)</f>
        <v/>
      </c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10">
        <f>IF(G38="","",G38*(1+H38/100))</f>
        <v/>
      </c>
      <c r="J38" s="9" t="n"/>
      <c r="K38" s="9" t="n"/>
      <c r="L38" s="9" t="n"/>
      <c r="M38" s="9" t="n"/>
      <c r="N38" s="9" t="n"/>
      <c r="O38" s="9" t="n"/>
      <c r="P38" s="9" t="n"/>
      <c r="Q38" s="11">
        <f>IF(OR(O38="",P38=""),"",MIN(O38,P38)-N38)</f>
        <v/>
      </c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10">
        <f>IF(G39="","",G39*(1+H39/100))</f>
        <v/>
      </c>
      <c r="J39" s="9" t="n"/>
      <c r="K39" s="9" t="n"/>
      <c r="L39" s="9" t="n"/>
      <c r="M39" s="9" t="n"/>
      <c r="N39" s="9" t="n"/>
      <c r="O39" s="9" t="n"/>
      <c r="P39" s="9" t="n"/>
      <c r="Q39" s="11">
        <f>IF(OR(O39="",P39=""),"",MIN(O39,P39)-N39)</f>
        <v/>
      </c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10">
        <f>IF(G40="","",G40*(1+H40/100))</f>
        <v/>
      </c>
      <c r="J40" s="9" t="n"/>
      <c r="K40" s="9" t="n"/>
      <c r="L40" s="9" t="n"/>
      <c r="M40" s="9" t="n"/>
      <c r="N40" s="9" t="n"/>
      <c r="O40" s="9" t="n"/>
      <c r="P40" s="9" t="n"/>
      <c r="Q40" s="11">
        <f>IF(OR(O40="",P40=""),"",MIN(O40,P40)-N40)</f>
        <v/>
      </c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10">
        <f>IF(G41="","",G41*(1+H41/100))</f>
        <v/>
      </c>
      <c r="J41" s="9" t="n"/>
      <c r="K41" s="9" t="n"/>
      <c r="L41" s="9" t="n"/>
      <c r="M41" s="9" t="n"/>
      <c r="N41" s="9" t="n"/>
      <c r="O41" s="9" t="n"/>
      <c r="P41" s="9" t="n"/>
      <c r="Q41" s="11">
        <f>IF(OR(O41="",P41=""),"",MIN(O41,P41)-N41)</f>
        <v/>
      </c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10">
        <f>IF(G42="","",G42*(1+H42/100))</f>
        <v/>
      </c>
      <c r="J42" s="9" t="n"/>
      <c r="K42" s="9" t="n"/>
      <c r="L42" s="9" t="n"/>
      <c r="M42" s="9" t="n"/>
      <c r="N42" s="9" t="n"/>
      <c r="O42" s="9" t="n"/>
      <c r="P42" s="9" t="n"/>
      <c r="Q42" s="11">
        <f>IF(OR(O42="",P42=""),"",MIN(O42,P42)-N42)</f>
        <v/>
      </c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10">
        <f>IF(G43="","",G43*(1+H43/100))</f>
        <v/>
      </c>
      <c r="J43" s="9" t="n"/>
      <c r="K43" s="9" t="n"/>
      <c r="L43" s="9" t="n"/>
      <c r="M43" s="9" t="n"/>
      <c r="N43" s="9" t="n"/>
      <c r="O43" s="9" t="n"/>
      <c r="P43" s="9" t="n"/>
      <c r="Q43" s="11">
        <f>IF(OR(O43="",P43=""),"",MIN(O43,P43)-N43)</f>
        <v/>
      </c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10">
        <f>IF(G44="","",G44*(1+H44/100))</f>
        <v/>
      </c>
      <c r="J44" s="9" t="n"/>
      <c r="K44" s="9" t="n"/>
      <c r="L44" s="9" t="n"/>
      <c r="M44" s="9" t="n"/>
      <c r="N44" s="9" t="n"/>
      <c r="O44" s="9" t="n"/>
      <c r="P44" s="9" t="n"/>
      <c r="Q44" s="11">
        <f>IF(OR(O44="",P44=""),"",MIN(O44,P44)-N44)</f>
        <v/>
      </c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10">
        <f>IF(G45="","",G45*(1+H45/100))</f>
        <v/>
      </c>
      <c r="J45" s="9" t="n"/>
      <c r="K45" s="9" t="n"/>
      <c r="L45" s="9" t="n"/>
      <c r="M45" s="9" t="n"/>
      <c r="N45" s="9" t="n"/>
      <c r="O45" s="9" t="n"/>
      <c r="P45" s="9" t="n"/>
      <c r="Q45" s="11">
        <f>IF(OR(O45="",P45=""),"",MIN(O45,P45)-N45)</f>
        <v/>
      </c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10">
        <f>IF(G46="","",G46*(1+H46/100))</f>
        <v/>
      </c>
      <c r="J46" s="9" t="n"/>
      <c r="K46" s="9" t="n"/>
      <c r="L46" s="9" t="n"/>
      <c r="M46" s="9" t="n"/>
      <c r="N46" s="9" t="n"/>
      <c r="O46" s="9" t="n"/>
      <c r="P46" s="9" t="n"/>
      <c r="Q46" s="11">
        <f>IF(OR(O46="",P46=""),"",MIN(O46,P46)-N46)</f>
        <v/>
      </c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8">
      <c r="A48" s="12" t="inlineStr">
        <is>
          <t>※ 파란 셀 = 수식 자동계산 | 소요량·로스율은 대표 확인 필요 | 가격은 유통 확인 필요</t>
        </is>
      </c>
    </row>
  </sheetData>
  <autoFilter ref="A4:Z46"/>
  <mergeCells count="8">
    <mergeCell ref="R3:U3"/>
    <mergeCell ref="A1:Z1"/>
    <mergeCell ref="J3:Q3"/>
    <mergeCell ref="Y3:Z3"/>
    <mergeCell ref="A48:Z48"/>
    <mergeCell ref="A3:I3"/>
    <mergeCell ref="A2:Z2"/>
    <mergeCell ref="V3:X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8936"/>
    <outlinePr summaryBelow="1" summaryRight="1"/>
    <pageSetUpPr/>
  </sheetPr>
  <dimension ref="A1:Z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</cols>
  <sheetData>
    <row r="1" ht="30" customHeight="1">
      <c r="A1" s="1" t="inlineStr">
        <is>
          <t>필름 자재</t>
        </is>
      </c>
    </row>
    <row r="2">
      <c r="A2" s="2" t="inlineStr">
        <is>
          <t>공정코드: FM | 체크리스트 기반 전체 자재 목록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</row>
    <row r="5">
      <c r="A5" s="6" t="inlineStr">
        <is>
          <t>FM-001</t>
        </is>
      </c>
      <c r="B5" s="6" t="inlineStr">
        <is>
          <t>필름/시트</t>
        </is>
      </c>
      <c r="C5" s="6" t="inlineStr">
        <is>
          <t>—</t>
        </is>
      </c>
      <c r="D5" s="6" t="inlineStr">
        <is>
          <t>문·문틀·창호·가구 마감</t>
        </is>
      </c>
      <c r="E5" s="6" t="inlineStr">
        <is>
          <t>필수</t>
        </is>
      </c>
      <c r="F5" s="6" t="inlineStr">
        <is>
          <t>m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>
        <is>
          <t>모델명별 구분</t>
        </is>
      </c>
    </row>
    <row r="6">
      <c r="A6" s="6" t="inlineStr">
        <is>
          <t>FM-002</t>
        </is>
      </c>
      <c r="B6" s="6" t="inlineStr">
        <is>
          <t>퍼티</t>
        </is>
      </c>
      <c r="C6" s="6" t="inlineStr">
        <is>
          <t>—</t>
        </is>
      </c>
      <c r="D6" s="6" t="inlineStr">
        <is>
          <t>시공면 밑작업 충전</t>
        </is>
      </c>
      <c r="E6" s="6" t="inlineStr">
        <is>
          <t>필수</t>
        </is>
      </c>
      <c r="F6" s="6" t="inlineStr">
        <is>
          <t>kg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</row>
    <row r="7">
      <c r="A7" s="6" t="inlineStr">
        <is>
          <t>FM-003</t>
        </is>
      </c>
      <c r="B7" s="6" t="inlineStr">
        <is>
          <t>샌딩도구/샌드페이퍼</t>
        </is>
      </c>
      <c r="C7" s="6" t="inlineStr">
        <is>
          <t>P180~P240</t>
        </is>
      </c>
      <c r="D7" s="6" t="inlineStr">
        <is>
          <t>표면 연마</t>
        </is>
      </c>
      <c r="E7" s="6" t="inlineStr">
        <is>
          <t>필수</t>
        </is>
      </c>
      <c r="F7" s="6" t="inlineStr">
        <is>
          <t>장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</row>
    <row r="8">
      <c r="A8" s="6" t="inlineStr">
        <is>
          <t>FM-004</t>
        </is>
      </c>
      <c r="B8" s="6" t="inlineStr">
        <is>
          <t>보양재</t>
        </is>
      </c>
      <c r="C8" s="6" t="inlineStr">
        <is>
          <t>—</t>
        </is>
      </c>
      <c r="D8" s="6" t="inlineStr">
        <is>
          <t>시공 후 긁힘·오염 방지</t>
        </is>
      </c>
      <c r="E8" s="6" t="inlineStr">
        <is>
          <t>필수</t>
        </is>
      </c>
      <c r="F8" s="6" t="inlineStr">
        <is>
          <t>롤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10">
        <f>IF(G9="","",G9*(1+H9/100))</f>
        <v/>
      </c>
      <c r="J9" s="9" t="n"/>
      <c r="K9" s="9" t="n"/>
      <c r="L9" s="9" t="n"/>
      <c r="M9" s="9" t="n"/>
      <c r="N9" s="9" t="n"/>
      <c r="O9" s="9" t="n"/>
      <c r="P9" s="9" t="n"/>
      <c r="Q9" s="11">
        <f>IF(OR(O9="",P9=""),"",MIN(O9,P9)-N9)</f>
        <v/>
      </c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10">
        <f>IF(G10="","",G10*(1+H10/100))</f>
        <v/>
      </c>
      <c r="J10" s="9" t="n"/>
      <c r="K10" s="9" t="n"/>
      <c r="L10" s="9" t="n"/>
      <c r="M10" s="9" t="n"/>
      <c r="N10" s="9" t="n"/>
      <c r="O10" s="9" t="n"/>
      <c r="P10" s="9" t="n"/>
      <c r="Q10" s="11">
        <f>IF(OR(O10="",P10=""),"",MIN(O10,P10)-N10)</f>
        <v/>
      </c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10">
        <f>IF(G11="","",G11*(1+H11/100))</f>
        <v/>
      </c>
      <c r="J11" s="9" t="n"/>
      <c r="K11" s="9" t="n"/>
      <c r="L11" s="9" t="n"/>
      <c r="M11" s="9" t="n"/>
      <c r="N11" s="9" t="n"/>
      <c r="O11" s="9" t="n"/>
      <c r="P11" s="9" t="n"/>
      <c r="Q11" s="11">
        <f>IF(OR(O11="",P11=""),"",MIN(O11,P11)-N11)</f>
        <v/>
      </c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10">
        <f>IF(G12="","",G12*(1+H12/100))</f>
        <v/>
      </c>
      <c r="J12" s="9" t="n"/>
      <c r="K12" s="9" t="n"/>
      <c r="L12" s="9" t="n"/>
      <c r="M12" s="9" t="n"/>
      <c r="N12" s="9" t="n"/>
      <c r="O12" s="9" t="n"/>
      <c r="P12" s="9" t="n"/>
      <c r="Q12" s="11">
        <f>IF(OR(O12="",P12=""),"",MIN(O12,P12)-N12)</f>
        <v/>
      </c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10">
        <f>IF(G13="","",G13*(1+H13/100))</f>
        <v/>
      </c>
      <c r="J13" s="9" t="n"/>
      <c r="K13" s="9" t="n"/>
      <c r="L13" s="9" t="n"/>
      <c r="M13" s="9" t="n"/>
      <c r="N13" s="9" t="n"/>
      <c r="O13" s="9" t="n"/>
      <c r="P13" s="9" t="n"/>
      <c r="Q13" s="11">
        <f>IF(OR(O13="",P13=""),"",MIN(O13,P13)-N13)</f>
        <v/>
      </c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10">
        <f>IF(G14="","",G14*(1+H14/100))</f>
        <v/>
      </c>
      <c r="J14" s="9" t="n"/>
      <c r="K14" s="9" t="n"/>
      <c r="L14" s="9" t="n"/>
      <c r="M14" s="9" t="n"/>
      <c r="N14" s="9" t="n"/>
      <c r="O14" s="9" t="n"/>
      <c r="P14" s="9" t="n"/>
      <c r="Q14" s="11">
        <f>IF(OR(O14="",P14=""),"",MIN(O14,P14)-N14)</f>
        <v/>
      </c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10">
        <f>IF(G15="","",G15*(1+H15/100))</f>
        <v/>
      </c>
      <c r="J15" s="9" t="n"/>
      <c r="K15" s="9" t="n"/>
      <c r="L15" s="9" t="n"/>
      <c r="M15" s="9" t="n"/>
      <c r="N15" s="9" t="n"/>
      <c r="O15" s="9" t="n"/>
      <c r="P15" s="9" t="n"/>
      <c r="Q15" s="11">
        <f>IF(OR(O15="",P15=""),"",MIN(O15,P15)-N15)</f>
        <v/>
      </c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10">
        <f>IF(G16="","",G16*(1+H16/100))</f>
        <v/>
      </c>
      <c r="J16" s="9" t="n"/>
      <c r="K16" s="9" t="n"/>
      <c r="L16" s="9" t="n"/>
      <c r="M16" s="9" t="n"/>
      <c r="N16" s="9" t="n"/>
      <c r="O16" s="9" t="n"/>
      <c r="P16" s="9" t="n"/>
      <c r="Q16" s="11">
        <f>IF(OR(O16="",P16=""),"",MIN(O16,P16)-N16)</f>
        <v/>
      </c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10">
        <f>IF(G17="","",G17*(1+H17/100))</f>
        <v/>
      </c>
      <c r="J17" s="9" t="n"/>
      <c r="K17" s="9" t="n"/>
      <c r="L17" s="9" t="n"/>
      <c r="M17" s="9" t="n"/>
      <c r="N17" s="9" t="n"/>
      <c r="O17" s="9" t="n"/>
      <c r="P17" s="9" t="n"/>
      <c r="Q17" s="11">
        <f>IF(OR(O17="",P17=""),"",MIN(O17,P17)-N17)</f>
        <v/>
      </c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10">
        <f>IF(G18="","",G18*(1+H18/100))</f>
        <v/>
      </c>
      <c r="J18" s="9" t="n"/>
      <c r="K18" s="9" t="n"/>
      <c r="L18" s="9" t="n"/>
      <c r="M18" s="9" t="n"/>
      <c r="N18" s="9" t="n"/>
      <c r="O18" s="9" t="n"/>
      <c r="P18" s="9" t="n"/>
      <c r="Q18" s="11">
        <f>IF(OR(O18="",P18=""),"",MIN(O18,P18)-N18)</f>
        <v/>
      </c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10">
        <f>IF(G19="","",G19*(1+H19/100))</f>
        <v/>
      </c>
      <c r="J19" s="9" t="n"/>
      <c r="K19" s="9" t="n"/>
      <c r="L19" s="9" t="n"/>
      <c r="M19" s="9" t="n"/>
      <c r="N19" s="9" t="n"/>
      <c r="O19" s="9" t="n"/>
      <c r="P19" s="9" t="n"/>
      <c r="Q19" s="11">
        <f>IF(OR(O19="",P19=""),"",MIN(O19,P19)-N19)</f>
        <v/>
      </c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10">
        <f>IF(G20="","",G20*(1+H20/100))</f>
        <v/>
      </c>
      <c r="J20" s="9" t="n"/>
      <c r="K20" s="9" t="n"/>
      <c r="L20" s="9" t="n"/>
      <c r="M20" s="9" t="n"/>
      <c r="N20" s="9" t="n"/>
      <c r="O20" s="9" t="n"/>
      <c r="P20" s="9" t="n"/>
      <c r="Q20" s="11">
        <f>IF(OR(O20="",P20=""),"",MIN(O20,P20)-N20)</f>
        <v/>
      </c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10">
        <f>IF(G21="","",G21*(1+H21/100))</f>
        <v/>
      </c>
      <c r="J21" s="9" t="n"/>
      <c r="K21" s="9" t="n"/>
      <c r="L21" s="9" t="n"/>
      <c r="M21" s="9" t="n"/>
      <c r="N21" s="9" t="n"/>
      <c r="O21" s="9" t="n"/>
      <c r="P21" s="9" t="n"/>
      <c r="Q21" s="11">
        <f>IF(OR(O21="",P21=""),"",MIN(O21,P21)-N21)</f>
        <v/>
      </c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10">
        <f>IF(G22="","",G22*(1+H22/100))</f>
        <v/>
      </c>
      <c r="J22" s="9" t="n"/>
      <c r="K22" s="9" t="n"/>
      <c r="L22" s="9" t="n"/>
      <c r="M22" s="9" t="n"/>
      <c r="N22" s="9" t="n"/>
      <c r="O22" s="9" t="n"/>
      <c r="P22" s="9" t="n"/>
      <c r="Q22" s="11">
        <f>IF(OR(O22="",P22=""),"",MIN(O22,P22)-N22)</f>
        <v/>
      </c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10">
        <f>IF(G23="","",G23*(1+H23/100))</f>
        <v/>
      </c>
      <c r="J23" s="9" t="n"/>
      <c r="K23" s="9" t="n"/>
      <c r="L23" s="9" t="n"/>
      <c r="M23" s="9" t="n"/>
      <c r="N23" s="9" t="n"/>
      <c r="O23" s="9" t="n"/>
      <c r="P23" s="9" t="n"/>
      <c r="Q23" s="11">
        <f>IF(OR(O23="",P23=""),"",MIN(O23,P23)-N23)</f>
        <v/>
      </c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5">
      <c r="A25" s="12" t="inlineStr">
        <is>
          <t>※ 파란 셀 = 수식 자동계산 | 소요량·로스율은 대표 확인 필요 | 가격은 유통 확인 필요</t>
        </is>
      </c>
    </row>
  </sheetData>
  <autoFilter ref="A4:Z23"/>
  <mergeCells count="8">
    <mergeCell ref="R3:U3"/>
    <mergeCell ref="A1:Z1"/>
    <mergeCell ref="J3:Q3"/>
    <mergeCell ref="Y3:Z3"/>
    <mergeCell ref="A3:I3"/>
    <mergeCell ref="A2:Z2"/>
    <mergeCell ref="V3:X3"/>
    <mergeCell ref="A25:Z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D8936"/>
    <outlinePr summaryBelow="1" summaryRight="1"/>
    <pageSetUpPr/>
  </sheetPr>
  <dimension ref="A1:Z4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</cols>
  <sheetData>
    <row r="1" ht="30" customHeight="1">
      <c r="A1" s="1" t="inlineStr">
        <is>
          <t>타일 자재</t>
        </is>
      </c>
    </row>
    <row r="2">
      <c r="A2" s="2" t="inlineStr">
        <is>
          <t>공정코드: TL | 체크리스트 기반 전체 자재 목록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</row>
    <row r="5">
      <c r="A5" s="6" t="inlineStr">
        <is>
          <t>TL-001</t>
        </is>
      </c>
      <c r="B5" s="6" t="inlineStr">
        <is>
          <t>포세린 타일</t>
        </is>
      </c>
      <c r="C5" s="6" t="inlineStr">
        <is>
          <t>600×600</t>
        </is>
      </c>
      <c r="D5" s="6" t="inlineStr">
        <is>
          <t>바닥·벽 마감</t>
        </is>
      </c>
      <c r="E5" s="6" t="inlineStr">
        <is>
          <t>필수</t>
        </is>
      </c>
      <c r="F5" s="6" t="inlineStr">
        <is>
          <t>장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>
        <is>
          <t>내구성 높음</t>
        </is>
      </c>
    </row>
    <row r="6">
      <c r="A6" s="6" t="inlineStr">
        <is>
          <t>TL-002</t>
        </is>
      </c>
      <c r="B6" s="6" t="inlineStr">
        <is>
          <t>논슬립 타일</t>
        </is>
      </c>
      <c r="C6" s="6" t="inlineStr">
        <is>
          <t>300×300</t>
        </is>
      </c>
      <c r="D6" s="6" t="inlineStr">
        <is>
          <t>욕실 바닥</t>
        </is>
      </c>
      <c r="E6" s="6" t="inlineStr">
        <is>
          <t>필수</t>
        </is>
      </c>
      <c r="F6" s="6" t="inlineStr">
        <is>
          <t>장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>
        <is>
          <t>미끄럼 방지</t>
        </is>
      </c>
    </row>
    <row r="7">
      <c r="A7" s="6" t="inlineStr">
        <is>
          <t>TL-003</t>
        </is>
      </c>
      <c r="B7" s="6" t="inlineStr">
        <is>
          <t>대리석 타일</t>
        </is>
      </c>
      <c r="C7" s="6" t="inlineStr">
        <is>
          <t>600×600</t>
        </is>
      </c>
      <c r="D7" s="6" t="inlineStr">
        <is>
          <t>고급 마감</t>
        </is>
      </c>
      <c r="E7" s="6" t="inlineStr">
        <is>
          <t>선택</t>
        </is>
      </c>
      <c r="F7" s="6" t="inlineStr">
        <is>
          <t>장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</row>
    <row r="8">
      <c r="A8" s="6" t="inlineStr">
        <is>
          <t>TL-004</t>
        </is>
      </c>
      <c r="B8" s="6" t="inlineStr">
        <is>
          <t>벽 타일</t>
        </is>
      </c>
      <c r="C8" s="6" t="inlineStr">
        <is>
          <t>300×600</t>
        </is>
      </c>
      <c r="D8" s="6" t="inlineStr">
        <is>
          <t>욕실·주방 벽</t>
        </is>
      </c>
      <c r="E8" s="6" t="inlineStr">
        <is>
          <t>필수</t>
        </is>
      </c>
      <c r="F8" s="6" t="inlineStr">
        <is>
          <t>장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</row>
    <row r="9">
      <c r="A9" s="6" t="inlineStr">
        <is>
          <t>TL-005</t>
        </is>
      </c>
      <c r="B9" s="6" t="inlineStr">
        <is>
          <t>현관 타일</t>
        </is>
      </c>
      <c r="C9" s="6" t="inlineStr">
        <is>
          <t>—</t>
        </is>
      </c>
      <c r="D9" s="6" t="inlineStr">
        <is>
          <t>현관 바닥</t>
        </is>
      </c>
      <c r="E9" s="6" t="inlineStr">
        <is>
          <t>필수</t>
        </is>
      </c>
      <c r="F9" s="6" t="inlineStr">
        <is>
          <t>장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</row>
    <row r="10">
      <c r="A10" s="6" t="inlineStr">
        <is>
          <t>TL-006</t>
        </is>
      </c>
      <c r="B10" s="6" t="inlineStr">
        <is>
          <t>주방 미드웨이 타일</t>
        </is>
      </c>
      <c r="C10" s="6" t="inlineStr">
        <is>
          <t>—</t>
        </is>
      </c>
      <c r="D10" s="6" t="inlineStr">
        <is>
          <t>주방 벽면 중간</t>
        </is>
      </c>
      <c r="E10" s="6" t="inlineStr">
        <is>
          <t>선택</t>
        </is>
      </c>
      <c r="F10" s="6" t="inlineStr">
        <is>
          <t>장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</row>
    <row r="11">
      <c r="A11" s="6" t="inlineStr">
        <is>
          <t>TL-007</t>
        </is>
      </c>
      <c r="B11" s="6" t="inlineStr">
        <is>
          <t>타일 본드</t>
        </is>
      </c>
      <c r="C11" s="6" t="inlineStr">
        <is>
          <t>20kg</t>
        </is>
      </c>
      <c r="D11" s="6" t="inlineStr">
        <is>
          <t>접착제 (시멘트 기반)</t>
        </is>
      </c>
      <c r="E11" s="6" t="inlineStr">
        <is>
          <t>필수</t>
        </is>
      </c>
      <c r="F11" s="6" t="inlineStr">
        <is>
          <t>포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</row>
    <row r="12">
      <c r="A12" s="6" t="inlineStr">
        <is>
          <t>TL-008</t>
        </is>
      </c>
      <c r="B12" s="6" t="inlineStr">
        <is>
          <t>압착 시멘트</t>
        </is>
      </c>
      <c r="C12" s="6" t="inlineStr">
        <is>
          <t>—</t>
        </is>
      </c>
      <c r="D12" s="6" t="inlineStr">
        <is>
          <t>타일 압착 고정</t>
        </is>
      </c>
      <c r="E12" s="6" t="inlineStr">
        <is>
          <t>필수</t>
        </is>
      </c>
      <c r="F12" s="6" t="inlineStr">
        <is>
          <t>포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</row>
    <row r="13">
      <c r="A13" s="6" t="inlineStr">
        <is>
          <t>TL-009</t>
        </is>
      </c>
      <c r="B13" s="6" t="inlineStr">
        <is>
          <t>줄눈재(메지)</t>
        </is>
      </c>
      <c r="C13" s="6" t="inlineStr">
        <is>
          <t>5kg</t>
        </is>
      </c>
      <c r="D13" s="6" t="inlineStr">
        <is>
          <t>타일 간격 충전</t>
        </is>
      </c>
      <c r="E13" s="6" t="inlineStr">
        <is>
          <t>필수</t>
        </is>
      </c>
      <c r="F13" s="6" t="inlineStr">
        <is>
          <t>포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</row>
    <row r="14">
      <c r="A14" s="6" t="inlineStr">
        <is>
          <t>TL-010</t>
        </is>
      </c>
      <c r="B14" s="6" t="inlineStr">
        <is>
          <t>프라이머</t>
        </is>
      </c>
      <c r="C14" s="6" t="inlineStr">
        <is>
          <t>—</t>
        </is>
      </c>
      <c r="D14" s="6" t="inlineStr">
        <is>
          <t>비흡수면 부착력 향상</t>
        </is>
      </c>
      <c r="E14" s="6" t="inlineStr">
        <is>
          <t>선택</t>
        </is>
      </c>
      <c r="F14" s="6" t="inlineStr">
        <is>
          <t>L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</row>
    <row r="15">
      <c r="A15" s="6" t="inlineStr">
        <is>
          <t>TL-011</t>
        </is>
      </c>
      <c r="B15" s="6" t="inlineStr">
        <is>
          <t>코너비드</t>
        </is>
      </c>
      <c r="C15" s="6" t="inlineStr">
        <is>
          <t>—</t>
        </is>
      </c>
      <c r="D15" s="6" t="inlineStr">
        <is>
          <t>아웃코너 보호 마감</t>
        </is>
      </c>
      <c r="E15" s="6" t="inlineStr">
        <is>
          <t>필수</t>
        </is>
      </c>
      <c r="F15" s="6" t="inlineStr">
        <is>
          <t>m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</row>
    <row r="16">
      <c r="A16" s="6" t="inlineStr">
        <is>
          <t>TL-012</t>
        </is>
      </c>
      <c r="B16" s="6" t="inlineStr">
        <is>
          <t>레진</t>
        </is>
      </c>
      <c r="C16" s="6" t="inlineStr">
        <is>
          <t>—</t>
        </is>
      </c>
      <c r="D16" s="6" t="inlineStr">
        <is>
          <t>졸리컷 단면 보강</t>
        </is>
      </c>
      <c r="E16" s="6" t="inlineStr">
        <is>
          <t>선택</t>
        </is>
      </c>
      <c r="F16" s="6" t="inlineStr">
        <is>
          <t>kg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</row>
    <row r="17">
      <c r="A17" s="6" t="inlineStr">
        <is>
          <t>TL-013</t>
        </is>
      </c>
      <c r="B17" s="6" t="inlineStr">
        <is>
          <t>실리콘</t>
        </is>
      </c>
      <c r="C17" s="6" t="inlineStr">
        <is>
          <t>—</t>
        </is>
      </c>
      <c r="D17" s="6" t="inlineStr">
        <is>
          <t>줄눈 대체 마감 (색상 지정)</t>
        </is>
      </c>
      <c r="E17" s="6" t="inlineStr">
        <is>
          <t>필수</t>
        </is>
      </c>
      <c r="F17" s="6" t="inlineStr">
        <is>
          <t>개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</row>
    <row r="18">
      <c r="A18" s="6" t="inlineStr">
        <is>
          <t>TL-014</t>
        </is>
      </c>
      <c r="B18" s="6" t="inlineStr">
        <is>
          <t>십자 스페이서</t>
        </is>
      </c>
      <c r="C18" s="6" t="inlineStr">
        <is>
          <t>2mm/3mm</t>
        </is>
      </c>
      <c r="D18" s="6" t="inlineStr">
        <is>
          <t>줄눈 간격 유지</t>
        </is>
      </c>
      <c r="E18" s="6" t="inlineStr">
        <is>
          <t>필수</t>
        </is>
      </c>
      <c r="F18" s="6" t="inlineStr">
        <is>
          <t>봉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</row>
    <row r="19">
      <c r="A19" s="6" t="inlineStr">
        <is>
          <t>TL-015</t>
        </is>
      </c>
      <c r="B19" s="6" t="inlineStr">
        <is>
          <t>탄성코트</t>
        </is>
      </c>
      <c r="C19" s="6" t="inlineStr">
        <is>
          <t>—</t>
        </is>
      </c>
      <c r="D19" s="6" t="inlineStr">
        <is>
          <t>후속 마감 코팅</t>
        </is>
      </c>
      <c r="E19" s="6" t="inlineStr">
        <is>
          <t>선택</t>
        </is>
      </c>
      <c r="F19" s="6" t="inlineStr">
        <is>
          <t>L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</row>
    <row r="20">
      <c r="A20" s="6" t="inlineStr">
        <is>
          <t>TL-016</t>
        </is>
      </c>
      <c r="B20" s="6" t="inlineStr">
        <is>
          <t>걸레받이(타일)</t>
        </is>
      </c>
      <c r="C20" s="6" t="inlineStr">
        <is>
          <t>—</t>
        </is>
      </c>
      <c r="D20" s="6" t="inlineStr">
        <is>
          <t>발코니 벽면 마감</t>
        </is>
      </c>
      <c r="E20" s="6" t="inlineStr">
        <is>
          <t>선택</t>
        </is>
      </c>
      <c r="F20" s="6" t="inlineStr">
        <is>
          <t>m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/>
    </row>
    <row r="21">
      <c r="A21" s="6" t="inlineStr">
        <is>
          <t>TL-017</t>
        </is>
      </c>
      <c r="B21" s="6" t="inlineStr">
        <is>
          <t>샤워부스/파티션</t>
        </is>
      </c>
      <c r="C21" s="6" t="inlineStr">
        <is>
          <t>—</t>
        </is>
      </c>
      <c r="D21" s="6" t="inlineStr">
        <is>
          <t>욕실 샤워 공간 (최소750mm)</t>
        </is>
      </c>
      <c r="E21" s="6" t="inlineStr">
        <is>
          <t>선택</t>
        </is>
      </c>
      <c r="F21" s="6" t="inlineStr">
        <is>
          <t>세트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/>
    </row>
    <row r="22">
      <c r="A22" s="6" t="inlineStr">
        <is>
          <t>TL-018</t>
        </is>
      </c>
      <c r="B22" s="6" t="inlineStr">
        <is>
          <t>욕실장</t>
        </is>
      </c>
      <c r="C22" s="6" t="inlineStr">
        <is>
          <t>—</t>
        </is>
      </c>
      <c r="D22" s="6" t="inlineStr">
        <is>
          <t>수납장 (간접조명 연동)</t>
        </is>
      </c>
      <c r="E22" s="6" t="inlineStr">
        <is>
          <t>선택</t>
        </is>
      </c>
      <c r="F22" s="6" t="inlineStr">
        <is>
          <t>개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/>
    </row>
    <row r="23">
      <c r="A23" s="6" t="inlineStr">
        <is>
          <t>TL-019</t>
        </is>
      </c>
      <c r="B23" s="6" t="inlineStr">
        <is>
          <t>거울</t>
        </is>
      </c>
      <c r="C23" s="6" t="inlineStr">
        <is>
          <t>—</t>
        </is>
      </c>
      <c r="D23" s="6" t="inlineStr">
        <is>
          <t>욕실 거울 (간접조명 연동)</t>
        </is>
      </c>
      <c r="E23" s="6" t="inlineStr">
        <is>
          <t>선택</t>
        </is>
      </c>
      <c r="F23" s="6" t="inlineStr">
        <is>
          <t>개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/>
    </row>
    <row r="24">
      <c r="A24" s="6" t="inlineStr">
        <is>
          <t>TL-020</t>
        </is>
      </c>
      <c r="B24" s="6" t="inlineStr">
        <is>
          <t>세면대 다이(타일 구조물)</t>
        </is>
      </c>
      <c r="C24" s="6" t="inlineStr">
        <is>
          <t>—</t>
        </is>
      </c>
      <c r="D24" s="6" t="inlineStr">
        <is>
          <t>타일 제작 받침대</t>
        </is>
      </c>
      <c r="E24" s="6" t="inlineStr">
        <is>
          <t>선택</t>
        </is>
      </c>
      <c r="F24" s="6" t="inlineStr">
        <is>
          <t>개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/>
    </row>
    <row r="25">
      <c r="A25" s="6" t="inlineStr">
        <is>
          <t>TL-021</t>
        </is>
      </c>
      <c r="B25" s="6" t="inlineStr">
        <is>
          <t>젠다이</t>
        </is>
      </c>
      <c r="C25" s="6" t="inlineStr">
        <is>
          <t>—</t>
        </is>
      </c>
      <c r="D25" s="6" t="inlineStr">
        <is>
          <t>욕조 받침 구조물</t>
        </is>
      </c>
      <c r="E25" s="6" t="inlineStr">
        <is>
          <t>선택</t>
        </is>
      </c>
      <c r="F25" s="6" t="inlineStr">
        <is>
          <t>개</t>
        </is>
      </c>
      <c r="G25" s="6" t="n"/>
      <c r="H25" s="6" t="n"/>
      <c r="I25" s="7">
        <f>IF(G25="","",G25*(1+H25/100))</f>
        <v/>
      </c>
      <c r="J25" s="6" t="n"/>
      <c r="K25" s="6" t="n"/>
      <c r="L25" s="8" t="n"/>
      <c r="M25" s="8" t="n"/>
      <c r="N25" s="8" t="n"/>
      <c r="O25" s="8" t="n"/>
      <c r="P25" s="8" t="n"/>
      <c r="Q25" s="8">
        <f>IF(OR(O25="",P25=""),"",MIN(O25,P25)-N25)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inlineStr"/>
    </row>
    <row r="26">
      <c r="A26" s="6" t="inlineStr">
        <is>
          <t>TL-022</t>
        </is>
      </c>
      <c r="B26" s="6" t="inlineStr">
        <is>
          <t>환풍기</t>
        </is>
      </c>
      <c r="C26" s="6" t="inlineStr">
        <is>
          <t>—</t>
        </is>
      </c>
      <c r="D26" s="6" t="inlineStr">
        <is>
          <t>욕실 천장 환기</t>
        </is>
      </c>
      <c r="E26" s="6" t="inlineStr">
        <is>
          <t>필수</t>
        </is>
      </c>
      <c r="F26" s="6" t="inlineStr">
        <is>
          <t>개</t>
        </is>
      </c>
      <c r="G26" s="6" t="n"/>
      <c r="H26" s="6" t="n"/>
      <c r="I26" s="7">
        <f>IF(G26="","",G26*(1+H26/100))</f>
        <v/>
      </c>
      <c r="J26" s="6" t="n"/>
      <c r="K26" s="6" t="n"/>
      <c r="L26" s="8" t="n"/>
      <c r="M26" s="8" t="n"/>
      <c r="N26" s="8" t="n"/>
      <c r="O26" s="8" t="n"/>
      <c r="P26" s="8" t="n"/>
      <c r="Q26" s="8">
        <f>IF(OR(O26="",P26=""),"",MIN(O26,P26)-N26)</f>
        <v/>
      </c>
      <c r="R26" s="6" t="n"/>
      <c r="S26" s="6" t="n"/>
      <c r="T26" s="6" t="n"/>
      <c r="U26" s="6" t="n"/>
      <c r="V26" s="6" t="n"/>
      <c r="W26" s="6" t="n"/>
      <c r="X26" s="6" t="n"/>
      <c r="Y26" s="6" t="n"/>
      <c r="Z26" s="6" t="inlineStr"/>
    </row>
    <row r="27">
      <c r="A27" s="6" t="inlineStr">
        <is>
          <t>TL-023</t>
        </is>
      </c>
      <c r="B27" s="6" t="inlineStr">
        <is>
          <t>점검구</t>
        </is>
      </c>
      <c r="C27" s="6" t="inlineStr">
        <is>
          <t>—</t>
        </is>
      </c>
      <c r="D27" s="6" t="inlineStr">
        <is>
          <t>천장 점검 접근</t>
        </is>
      </c>
      <c r="E27" s="6" t="inlineStr">
        <is>
          <t>필수</t>
        </is>
      </c>
      <c r="F27" s="6" t="inlineStr">
        <is>
          <t>개</t>
        </is>
      </c>
      <c r="G27" s="6" t="n"/>
      <c r="H27" s="6" t="n"/>
      <c r="I27" s="7">
        <f>IF(G27="","",G27*(1+H27/100))</f>
        <v/>
      </c>
      <c r="J27" s="6" t="n"/>
      <c r="K27" s="6" t="n"/>
      <c r="L27" s="8" t="n"/>
      <c r="M27" s="8" t="n"/>
      <c r="N27" s="8" t="n"/>
      <c r="O27" s="8" t="n"/>
      <c r="P27" s="8" t="n"/>
      <c r="Q27" s="8">
        <f>IF(OR(O27="",P27=""),"",MIN(O27,P27)-N27)</f>
        <v/>
      </c>
      <c r="R27" s="6" t="n"/>
      <c r="S27" s="6" t="n"/>
      <c r="T27" s="6" t="n"/>
      <c r="U27" s="6" t="n"/>
      <c r="V27" s="6" t="n"/>
      <c r="W27" s="6" t="n"/>
      <c r="X27" s="6" t="n"/>
      <c r="Y27" s="6" t="n"/>
      <c r="Z27" s="6" t="inlineStr"/>
    </row>
    <row r="28">
      <c r="A28" s="6" t="inlineStr">
        <is>
          <t>TL-024</t>
        </is>
      </c>
      <c r="B28" s="6" t="inlineStr">
        <is>
          <t>매립 수전</t>
        </is>
      </c>
      <c r="C28" s="6" t="inlineStr">
        <is>
          <t>—</t>
        </is>
      </c>
      <c r="D28" s="6" t="inlineStr">
        <is>
          <t>벽 매립 (타공 필요)</t>
        </is>
      </c>
      <c r="E28" s="6" t="inlineStr">
        <is>
          <t>선택</t>
        </is>
      </c>
      <c r="F28" s="6" t="inlineStr">
        <is>
          <t>개</t>
        </is>
      </c>
      <c r="G28" s="6" t="n"/>
      <c r="H28" s="6" t="n"/>
      <c r="I28" s="7">
        <f>IF(G28="","",G28*(1+H28/100))</f>
        <v/>
      </c>
      <c r="J28" s="6" t="n"/>
      <c r="K28" s="6" t="n"/>
      <c r="L28" s="8" t="n"/>
      <c r="M28" s="8" t="n"/>
      <c r="N28" s="8" t="n"/>
      <c r="O28" s="8" t="n"/>
      <c r="P28" s="8" t="n"/>
      <c r="Q28" s="8">
        <f>IF(OR(O28="",P28=""),"",MIN(O28,P28)-N28)</f>
        <v/>
      </c>
      <c r="R28" s="6" t="n"/>
      <c r="S28" s="6" t="n"/>
      <c r="T28" s="6" t="n"/>
      <c r="U28" s="6" t="n"/>
      <c r="V28" s="6" t="n"/>
      <c r="W28" s="6" t="n"/>
      <c r="X28" s="6" t="n"/>
      <c r="Y28" s="6" t="n"/>
      <c r="Z28" s="6" t="inlineStr"/>
    </row>
    <row r="29">
      <c r="A29" s="6" t="inlineStr">
        <is>
          <t>TL-025</t>
        </is>
      </c>
      <c r="B29" s="6" t="inlineStr">
        <is>
          <t>매립 휴지걸이 등</t>
        </is>
      </c>
      <c r="C29" s="6" t="inlineStr">
        <is>
          <t>—</t>
        </is>
      </c>
      <c r="D29" s="6" t="inlineStr">
        <is>
          <t>벽 매립 액세서리</t>
        </is>
      </c>
      <c r="E29" s="6" t="inlineStr">
        <is>
          <t>선택</t>
        </is>
      </c>
      <c r="F29" s="6" t="inlineStr">
        <is>
          <t>개</t>
        </is>
      </c>
      <c r="G29" s="6" t="n"/>
      <c r="H29" s="6" t="n"/>
      <c r="I29" s="7">
        <f>IF(G29="","",G29*(1+H29/100))</f>
        <v/>
      </c>
      <c r="J29" s="6" t="n"/>
      <c r="K29" s="6" t="n"/>
      <c r="L29" s="8" t="n"/>
      <c r="M29" s="8" t="n"/>
      <c r="N29" s="8" t="n"/>
      <c r="O29" s="8" t="n"/>
      <c r="P29" s="8" t="n"/>
      <c r="Q29" s="8">
        <f>IF(OR(O29="",P29=""),"",MIN(O29,P29)-N29)</f>
        <v/>
      </c>
      <c r="R29" s="6" t="n"/>
      <c r="S29" s="6" t="n"/>
      <c r="T29" s="6" t="n"/>
      <c r="U29" s="6" t="n"/>
      <c r="V29" s="6" t="n"/>
      <c r="W29" s="6" t="n"/>
      <c r="X29" s="6" t="n"/>
      <c r="Y29" s="6" t="n"/>
      <c r="Z29" s="6" t="inlineStr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10">
        <f>IF(G30="","",G30*(1+H30/100))</f>
        <v/>
      </c>
      <c r="J30" s="9" t="n"/>
      <c r="K30" s="9" t="n"/>
      <c r="L30" s="9" t="n"/>
      <c r="M30" s="9" t="n"/>
      <c r="N30" s="9" t="n"/>
      <c r="O30" s="9" t="n"/>
      <c r="P30" s="9" t="n"/>
      <c r="Q30" s="11">
        <f>IF(OR(O30="",P30=""),"",MIN(O30,P30)-N30)</f>
        <v/>
      </c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10">
        <f>IF(G31="","",G31*(1+H31/100))</f>
        <v/>
      </c>
      <c r="J31" s="9" t="n"/>
      <c r="K31" s="9" t="n"/>
      <c r="L31" s="9" t="n"/>
      <c r="M31" s="9" t="n"/>
      <c r="N31" s="9" t="n"/>
      <c r="O31" s="9" t="n"/>
      <c r="P31" s="9" t="n"/>
      <c r="Q31" s="11">
        <f>IF(OR(O31="",P31=""),"",MIN(O31,P31)-N31)</f>
        <v/>
      </c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10">
        <f>IF(G32="","",G32*(1+H32/100))</f>
        <v/>
      </c>
      <c r="J32" s="9" t="n"/>
      <c r="K32" s="9" t="n"/>
      <c r="L32" s="9" t="n"/>
      <c r="M32" s="9" t="n"/>
      <c r="N32" s="9" t="n"/>
      <c r="O32" s="9" t="n"/>
      <c r="P32" s="9" t="n"/>
      <c r="Q32" s="11">
        <f>IF(OR(O32="",P32=""),"",MIN(O32,P32)-N32)</f>
        <v/>
      </c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10">
        <f>IF(G33="","",G33*(1+H33/100))</f>
        <v/>
      </c>
      <c r="J33" s="9" t="n"/>
      <c r="K33" s="9" t="n"/>
      <c r="L33" s="9" t="n"/>
      <c r="M33" s="9" t="n"/>
      <c r="N33" s="9" t="n"/>
      <c r="O33" s="9" t="n"/>
      <c r="P33" s="9" t="n"/>
      <c r="Q33" s="11">
        <f>IF(OR(O33="",P33=""),"",MIN(O33,P33)-N33)</f>
        <v/>
      </c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10">
        <f>IF(G34="","",G34*(1+H34/100))</f>
        <v/>
      </c>
      <c r="J34" s="9" t="n"/>
      <c r="K34" s="9" t="n"/>
      <c r="L34" s="9" t="n"/>
      <c r="M34" s="9" t="n"/>
      <c r="N34" s="9" t="n"/>
      <c r="O34" s="9" t="n"/>
      <c r="P34" s="9" t="n"/>
      <c r="Q34" s="11">
        <f>IF(OR(O34="",P34=""),"",MIN(O34,P34)-N34)</f>
        <v/>
      </c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10">
        <f>IF(G35="","",G35*(1+H35/100))</f>
        <v/>
      </c>
      <c r="J35" s="9" t="n"/>
      <c r="K35" s="9" t="n"/>
      <c r="L35" s="9" t="n"/>
      <c r="M35" s="9" t="n"/>
      <c r="N35" s="9" t="n"/>
      <c r="O35" s="9" t="n"/>
      <c r="P35" s="9" t="n"/>
      <c r="Q35" s="11">
        <f>IF(OR(O35="",P35=""),"",MIN(O35,P35)-N35)</f>
        <v/>
      </c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10">
        <f>IF(G36="","",G36*(1+H36/100))</f>
        <v/>
      </c>
      <c r="J36" s="9" t="n"/>
      <c r="K36" s="9" t="n"/>
      <c r="L36" s="9" t="n"/>
      <c r="M36" s="9" t="n"/>
      <c r="N36" s="9" t="n"/>
      <c r="O36" s="9" t="n"/>
      <c r="P36" s="9" t="n"/>
      <c r="Q36" s="11">
        <f>IF(OR(O36="",P36=""),"",MIN(O36,P36)-N36)</f>
        <v/>
      </c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10">
        <f>IF(G37="","",G37*(1+H37/100))</f>
        <v/>
      </c>
      <c r="J37" s="9" t="n"/>
      <c r="K37" s="9" t="n"/>
      <c r="L37" s="9" t="n"/>
      <c r="M37" s="9" t="n"/>
      <c r="N37" s="9" t="n"/>
      <c r="O37" s="9" t="n"/>
      <c r="P37" s="9" t="n"/>
      <c r="Q37" s="11">
        <f>IF(OR(O37="",P37=""),"",MIN(O37,P37)-N37)</f>
        <v/>
      </c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10">
        <f>IF(G38="","",G38*(1+H38/100))</f>
        <v/>
      </c>
      <c r="J38" s="9" t="n"/>
      <c r="K38" s="9" t="n"/>
      <c r="L38" s="9" t="n"/>
      <c r="M38" s="9" t="n"/>
      <c r="N38" s="9" t="n"/>
      <c r="O38" s="9" t="n"/>
      <c r="P38" s="9" t="n"/>
      <c r="Q38" s="11">
        <f>IF(OR(O38="",P38=""),"",MIN(O38,P38)-N38)</f>
        <v/>
      </c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10">
        <f>IF(G39="","",G39*(1+H39/100))</f>
        <v/>
      </c>
      <c r="J39" s="9" t="n"/>
      <c r="K39" s="9" t="n"/>
      <c r="L39" s="9" t="n"/>
      <c r="M39" s="9" t="n"/>
      <c r="N39" s="9" t="n"/>
      <c r="O39" s="9" t="n"/>
      <c r="P39" s="9" t="n"/>
      <c r="Q39" s="11">
        <f>IF(OR(O39="",P39=""),"",MIN(O39,P39)-N39)</f>
        <v/>
      </c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10">
        <f>IF(G40="","",G40*(1+H40/100))</f>
        <v/>
      </c>
      <c r="J40" s="9" t="n"/>
      <c r="K40" s="9" t="n"/>
      <c r="L40" s="9" t="n"/>
      <c r="M40" s="9" t="n"/>
      <c r="N40" s="9" t="n"/>
      <c r="O40" s="9" t="n"/>
      <c r="P40" s="9" t="n"/>
      <c r="Q40" s="11">
        <f>IF(OR(O40="",P40=""),"",MIN(O40,P40)-N40)</f>
        <v/>
      </c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10">
        <f>IF(G41="","",G41*(1+H41/100))</f>
        <v/>
      </c>
      <c r="J41" s="9" t="n"/>
      <c r="K41" s="9" t="n"/>
      <c r="L41" s="9" t="n"/>
      <c r="M41" s="9" t="n"/>
      <c r="N41" s="9" t="n"/>
      <c r="O41" s="9" t="n"/>
      <c r="P41" s="9" t="n"/>
      <c r="Q41" s="11">
        <f>IF(OR(O41="",P41=""),"",MIN(O41,P41)-N41)</f>
        <v/>
      </c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10">
        <f>IF(G42="","",G42*(1+H42/100))</f>
        <v/>
      </c>
      <c r="J42" s="9" t="n"/>
      <c r="K42" s="9" t="n"/>
      <c r="L42" s="9" t="n"/>
      <c r="M42" s="9" t="n"/>
      <c r="N42" s="9" t="n"/>
      <c r="O42" s="9" t="n"/>
      <c r="P42" s="9" t="n"/>
      <c r="Q42" s="11">
        <f>IF(OR(O42="",P42=""),"",MIN(O42,P42)-N42)</f>
        <v/>
      </c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10">
        <f>IF(G43="","",G43*(1+H43/100))</f>
        <v/>
      </c>
      <c r="J43" s="9" t="n"/>
      <c r="K43" s="9" t="n"/>
      <c r="L43" s="9" t="n"/>
      <c r="M43" s="9" t="n"/>
      <c r="N43" s="9" t="n"/>
      <c r="O43" s="9" t="n"/>
      <c r="P43" s="9" t="n"/>
      <c r="Q43" s="11">
        <f>IF(OR(O43="",P43=""),"",MIN(O43,P43)-N43)</f>
        <v/>
      </c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10">
        <f>IF(G44="","",G44*(1+H44/100))</f>
        <v/>
      </c>
      <c r="J44" s="9" t="n"/>
      <c r="K44" s="9" t="n"/>
      <c r="L44" s="9" t="n"/>
      <c r="M44" s="9" t="n"/>
      <c r="N44" s="9" t="n"/>
      <c r="O44" s="9" t="n"/>
      <c r="P44" s="9" t="n"/>
      <c r="Q44" s="11">
        <f>IF(OR(O44="",P44=""),"",MIN(O44,P44)-N44)</f>
        <v/>
      </c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6">
      <c r="A46" s="12" t="inlineStr">
        <is>
          <t>※ 파란 셀 = 수식 자동계산 | 소요량·로스율은 대표 확인 필요 | 가격은 유통 확인 필요</t>
        </is>
      </c>
    </row>
  </sheetData>
  <autoFilter ref="A4:Z44"/>
  <mergeCells count="8">
    <mergeCell ref="R3:U3"/>
    <mergeCell ref="A46:Z46"/>
    <mergeCell ref="A1:Z1"/>
    <mergeCell ref="J3:Q3"/>
    <mergeCell ref="Y3:Z3"/>
    <mergeCell ref="A3:I3"/>
    <mergeCell ref="A2:Z2"/>
    <mergeCell ref="V3:X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8BB78"/>
    <outlinePr summaryBelow="1" summaryRight="1"/>
    <pageSetUpPr/>
  </sheetPr>
  <dimension ref="A1:Z3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</cols>
  <sheetData>
    <row r="1" ht="30" customHeight="1">
      <c r="A1" s="1" t="inlineStr">
        <is>
          <t>도장 자재</t>
        </is>
      </c>
    </row>
    <row r="2">
      <c r="A2" s="2" t="inlineStr">
        <is>
          <t>공정코드: PT | 체크리스트 기반 전체 자재 목록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</row>
    <row r="5">
      <c r="A5" s="6" t="inlineStr">
        <is>
          <t>PT-001</t>
        </is>
      </c>
      <c r="B5" s="6" t="inlineStr">
        <is>
          <t>수성 페인트 (백색)</t>
        </is>
      </c>
      <c r="C5" s="6" t="inlineStr">
        <is>
          <t>18L</t>
        </is>
      </c>
      <c r="D5" s="6" t="inlineStr">
        <is>
          <t>벽면·천장 도장</t>
        </is>
      </c>
      <c r="E5" s="6" t="inlineStr">
        <is>
          <t>필수</t>
        </is>
      </c>
      <c r="F5" s="6" t="inlineStr">
        <is>
          <t>L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>
        <is>
          <t>2회 도장 기준</t>
        </is>
      </c>
    </row>
    <row r="6">
      <c r="A6" s="6" t="inlineStr">
        <is>
          <t>PT-002</t>
        </is>
      </c>
      <c r="B6" s="6" t="inlineStr">
        <is>
          <t>수성 페인트 (컬러)</t>
        </is>
      </c>
      <c r="C6" s="6" t="inlineStr">
        <is>
          <t>4L</t>
        </is>
      </c>
      <c r="D6" s="6" t="inlineStr">
        <is>
          <t>포인트 벽 컬러</t>
        </is>
      </c>
      <c r="E6" s="6" t="inlineStr">
        <is>
          <t>선택</t>
        </is>
      </c>
      <c r="F6" s="6" t="inlineStr">
        <is>
          <t>L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>
        <is>
          <t>조색 가능</t>
        </is>
      </c>
    </row>
    <row r="7">
      <c r="A7" s="6" t="inlineStr">
        <is>
          <t>PT-003</t>
        </is>
      </c>
      <c r="B7" s="6" t="inlineStr">
        <is>
          <t>퍼티</t>
        </is>
      </c>
      <c r="C7" s="6" t="inlineStr">
        <is>
          <t>10kg</t>
        </is>
      </c>
      <c r="D7" s="6" t="inlineStr">
        <is>
          <t>벽면 평활 작업</t>
        </is>
      </c>
      <c r="E7" s="6" t="inlineStr">
        <is>
          <t>필수</t>
        </is>
      </c>
      <c r="F7" s="6" t="inlineStr">
        <is>
          <t>포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>
        <is>
          <t>문틀·발코니 등</t>
        </is>
      </c>
    </row>
    <row r="8">
      <c r="A8" s="6" t="inlineStr">
        <is>
          <t>PT-004</t>
        </is>
      </c>
      <c r="B8" s="6" t="inlineStr">
        <is>
          <t>프라이머(하도)</t>
        </is>
      </c>
      <c r="C8" s="6" t="inlineStr">
        <is>
          <t>—</t>
        </is>
      </c>
      <c r="D8" s="6" t="inlineStr">
        <is>
          <t>도장 전 하도 도포</t>
        </is>
      </c>
      <c r="E8" s="6" t="inlineStr">
        <is>
          <t>필수</t>
        </is>
      </c>
      <c r="F8" s="6" t="inlineStr">
        <is>
          <t>L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</row>
    <row r="9">
      <c r="A9" s="6" t="inlineStr">
        <is>
          <t>PT-005</t>
        </is>
      </c>
      <c r="B9" s="6" t="inlineStr">
        <is>
          <t>락카 서페이서</t>
        </is>
      </c>
      <c r="C9" s="6" t="inlineStr">
        <is>
          <t>—</t>
        </is>
      </c>
      <c r="D9" s="6" t="inlineStr">
        <is>
          <t>MDF 부위 하도 (커튼박스 등)</t>
        </is>
      </c>
      <c r="E9" s="6" t="inlineStr">
        <is>
          <t>선택</t>
        </is>
      </c>
      <c r="F9" s="6" t="inlineStr">
        <is>
          <t>L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</row>
    <row r="10">
      <c r="A10" s="6" t="inlineStr">
        <is>
          <t>PT-006</t>
        </is>
      </c>
      <c r="B10" s="6" t="inlineStr">
        <is>
          <t>실리콘</t>
        </is>
      </c>
      <c r="C10" s="6" t="inlineStr">
        <is>
          <t>—</t>
        </is>
      </c>
      <c r="D10" s="6" t="inlineStr">
        <is>
          <t>모서리 마감 처리</t>
        </is>
      </c>
      <c r="E10" s="6" t="inlineStr">
        <is>
          <t>필수</t>
        </is>
      </c>
      <c r="F10" s="6" t="inlineStr">
        <is>
          <t>개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</row>
    <row r="11">
      <c r="A11" s="6" t="inlineStr">
        <is>
          <t>PT-007</t>
        </is>
      </c>
      <c r="B11" s="6" t="inlineStr">
        <is>
          <t>코너비드</t>
        </is>
      </c>
      <c r="C11" s="6" t="inlineStr">
        <is>
          <t>—</t>
        </is>
      </c>
      <c r="D11" s="6" t="inlineStr">
        <is>
          <t>아웃코너 파손 방지</t>
        </is>
      </c>
      <c r="E11" s="6" t="inlineStr">
        <is>
          <t>필수</t>
        </is>
      </c>
      <c r="F11" s="6" t="inlineStr">
        <is>
          <t>m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</row>
    <row r="12">
      <c r="A12" s="6" t="inlineStr">
        <is>
          <t>PT-008</t>
        </is>
      </c>
      <c r="B12" s="6" t="inlineStr">
        <is>
          <t>사포</t>
        </is>
      </c>
      <c r="C12" s="6" t="inlineStr">
        <is>
          <t>P180~P240</t>
        </is>
      </c>
      <c r="D12" s="6" t="inlineStr">
        <is>
          <t>퍼티 후 면 연마</t>
        </is>
      </c>
      <c r="E12" s="6" t="inlineStr">
        <is>
          <t>필수</t>
        </is>
      </c>
      <c r="F12" s="6" t="inlineStr">
        <is>
          <t>장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</row>
    <row r="13">
      <c r="A13" s="6" t="inlineStr">
        <is>
          <t>PT-009</t>
        </is>
      </c>
      <c r="B13" s="6" t="inlineStr">
        <is>
          <t>마스킹 테이프</t>
        </is>
      </c>
      <c r="C13" s="6" t="inlineStr">
        <is>
          <t>24mm×40m</t>
        </is>
      </c>
      <c r="D13" s="6" t="inlineStr">
        <is>
          <t>양생·경계</t>
        </is>
      </c>
      <c r="E13" s="6" t="inlineStr">
        <is>
          <t>필수</t>
        </is>
      </c>
      <c r="F13" s="6" t="inlineStr">
        <is>
          <t>롤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</row>
    <row r="14">
      <c r="A14" s="6" t="inlineStr">
        <is>
          <t>PT-010</t>
        </is>
      </c>
      <c r="B14" s="6" t="inlineStr">
        <is>
          <t>보양재</t>
        </is>
      </c>
      <c r="C14" s="6" t="inlineStr">
        <is>
          <t>—</t>
        </is>
      </c>
      <c r="D14" s="6" t="inlineStr">
        <is>
          <t>바닥·창틀 오염 방지</t>
        </is>
      </c>
      <c r="E14" s="6" t="inlineStr">
        <is>
          <t>필수</t>
        </is>
      </c>
      <c r="F14" s="6" t="inlineStr">
        <is>
          <t>롤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</row>
    <row r="15">
      <c r="A15" s="6" t="inlineStr">
        <is>
          <t>PT-011</t>
        </is>
      </c>
      <c r="B15" s="6" t="inlineStr">
        <is>
          <t>작업등</t>
        </is>
      </c>
      <c r="C15" s="6" t="inlineStr">
        <is>
          <t>LED</t>
        </is>
      </c>
      <c r="D15" s="6" t="inlineStr">
        <is>
          <t>조도 확보</t>
        </is>
      </c>
      <c r="E15" s="6" t="inlineStr">
        <is>
          <t>필수</t>
        </is>
      </c>
      <c r="F15" s="6" t="inlineStr">
        <is>
          <t>개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</row>
    <row r="16">
      <c r="A16" s="6" t="inlineStr">
        <is>
          <t>PT-012</t>
        </is>
      </c>
      <c r="B16" s="6" t="inlineStr">
        <is>
          <t>롤러</t>
        </is>
      </c>
      <c r="C16" s="6" t="inlineStr">
        <is>
          <t>—</t>
        </is>
      </c>
      <c r="D16" s="6" t="inlineStr">
        <is>
          <t>페인트 도포</t>
        </is>
      </c>
      <c r="E16" s="6" t="inlineStr">
        <is>
          <t>필수</t>
        </is>
      </c>
      <c r="F16" s="6" t="inlineStr">
        <is>
          <t>개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</row>
    <row r="17">
      <c r="A17" s="6" t="inlineStr">
        <is>
          <t>PT-013</t>
        </is>
      </c>
      <c r="B17" s="6" t="inlineStr">
        <is>
          <t>붓</t>
        </is>
      </c>
      <c r="C17" s="6" t="inlineStr">
        <is>
          <t>—</t>
        </is>
      </c>
      <c r="D17" s="6" t="inlineStr">
        <is>
          <t>세부 도장</t>
        </is>
      </c>
      <c r="E17" s="6" t="inlineStr">
        <is>
          <t>필수</t>
        </is>
      </c>
      <c r="F17" s="6" t="inlineStr">
        <is>
          <t>개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</row>
    <row r="18">
      <c r="A18" s="6" t="inlineStr">
        <is>
          <t>PT-014</t>
        </is>
      </c>
      <c r="B18" s="6" t="inlineStr">
        <is>
          <t>페인트 트레이</t>
        </is>
      </c>
      <c r="C18" s="6" t="inlineStr">
        <is>
          <t>—</t>
        </is>
      </c>
      <c r="D18" s="6" t="inlineStr">
        <is>
          <t>롤러 담금</t>
        </is>
      </c>
      <c r="E18" s="6" t="inlineStr">
        <is>
          <t>필수</t>
        </is>
      </c>
      <c r="F18" s="6" t="inlineStr">
        <is>
          <t>개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10">
        <f>IF(G19="","",G19*(1+H19/100))</f>
        <v/>
      </c>
      <c r="J19" s="9" t="n"/>
      <c r="K19" s="9" t="n"/>
      <c r="L19" s="9" t="n"/>
      <c r="M19" s="9" t="n"/>
      <c r="N19" s="9" t="n"/>
      <c r="O19" s="9" t="n"/>
      <c r="P19" s="9" t="n"/>
      <c r="Q19" s="11">
        <f>IF(OR(O19="",P19=""),"",MIN(O19,P19)-N19)</f>
        <v/>
      </c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10">
        <f>IF(G20="","",G20*(1+H20/100))</f>
        <v/>
      </c>
      <c r="J20" s="9" t="n"/>
      <c r="K20" s="9" t="n"/>
      <c r="L20" s="9" t="n"/>
      <c r="M20" s="9" t="n"/>
      <c r="N20" s="9" t="n"/>
      <c r="O20" s="9" t="n"/>
      <c r="P20" s="9" t="n"/>
      <c r="Q20" s="11">
        <f>IF(OR(O20="",P20=""),"",MIN(O20,P20)-N20)</f>
        <v/>
      </c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10">
        <f>IF(G21="","",G21*(1+H21/100))</f>
        <v/>
      </c>
      <c r="J21" s="9" t="n"/>
      <c r="K21" s="9" t="n"/>
      <c r="L21" s="9" t="n"/>
      <c r="M21" s="9" t="n"/>
      <c r="N21" s="9" t="n"/>
      <c r="O21" s="9" t="n"/>
      <c r="P21" s="9" t="n"/>
      <c r="Q21" s="11">
        <f>IF(OR(O21="",P21=""),"",MIN(O21,P21)-N21)</f>
        <v/>
      </c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10">
        <f>IF(G22="","",G22*(1+H22/100))</f>
        <v/>
      </c>
      <c r="J22" s="9" t="n"/>
      <c r="K22" s="9" t="n"/>
      <c r="L22" s="9" t="n"/>
      <c r="M22" s="9" t="n"/>
      <c r="N22" s="9" t="n"/>
      <c r="O22" s="9" t="n"/>
      <c r="P22" s="9" t="n"/>
      <c r="Q22" s="11">
        <f>IF(OR(O22="",P22=""),"",MIN(O22,P22)-N22)</f>
        <v/>
      </c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10">
        <f>IF(G23="","",G23*(1+H23/100))</f>
        <v/>
      </c>
      <c r="J23" s="9" t="n"/>
      <c r="K23" s="9" t="n"/>
      <c r="L23" s="9" t="n"/>
      <c r="M23" s="9" t="n"/>
      <c r="N23" s="9" t="n"/>
      <c r="O23" s="9" t="n"/>
      <c r="P23" s="9" t="n"/>
      <c r="Q23" s="11">
        <f>IF(OR(O23="",P23=""),"",MIN(O23,P23)-N23)</f>
        <v/>
      </c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10">
        <f>IF(G24="","",G24*(1+H24/100))</f>
        <v/>
      </c>
      <c r="J24" s="9" t="n"/>
      <c r="K24" s="9" t="n"/>
      <c r="L24" s="9" t="n"/>
      <c r="M24" s="9" t="n"/>
      <c r="N24" s="9" t="n"/>
      <c r="O24" s="9" t="n"/>
      <c r="P24" s="9" t="n"/>
      <c r="Q24" s="11">
        <f>IF(OR(O24="",P24=""),"",MIN(O24,P24)-N24)</f>
        <v/>
      </c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10">
        <f>IF(G25="","",G25*(1+H25/100))</f>
        <v/>
      </c>
      <c r="J25" s="9" t="n"/>
      <c r="K25" s="9" t="n"/>
      <c r="L25" s="9" t="n"/>
      <c r="M25" s="9" t="n"/>
      <c r="N25" s="9" t="n"/>
      <c r="O25" s="9" t="n"/>
      <c r="P25" s="9" t="n"/>
      <c r="Q25" s="11">
        <f>IF(OR(O25="",P25=""),"",MIN(O25,P25)-N25)</f>
        <v/>
      </c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10">
        <f>IF(G26="","",G26*(1+H26/100))</f>
        <v/>
      </c>
      <c r="J26" s="9" t="n"/>
      <c r="K26" s="9" t="n"/>
      <c r="L26" s="9" t="n"/>
      <c r="M26" s="9" t="n"/>
      <c r="N26" s="9" t="n"/>
      <c r="O26" s="9" t="n"/>
      <c r="P26" s="9" t="n"/>
      <c r="Q26" s="11">
        <f>IF(OR(O26="",P26=""),"",MIN(O26,P26)-N26)</f>
        <v/>
      </c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10">
        <f>IF(G27="","",G27*(1+H27/100))</f>
        <v/>
      </c>
      <c r="J27" s="9" t="n"/>
      <c r="K27" s="9" t="n"/>
      <c r="L27" s="9" t="n"/>
      <c r="M27" s="9" t="n"/>
      <c r="N27" s="9" t="n"/>
      <c r="O27" s="9" t="n"/>
      <c r="P27" s="9" t="n"/>
      <c r="Q27" s="11">
        <f>IF(OR(O27="",P27=""),"",MIN(O27,P27)-N27)</f>
        <v/>
      </c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10">
        <f>IF(G28="","",G28*(1+H28/100))</f>
        <v/>
      </c>
      <c r="J28" s="9" t="n"/>
      <c r="K28" s="9" t="n"/>
      <c r="L28" s="9" t="n"/>
      <c r="M28" s="9" t="n"/>
      <c r="N28" s="9" t="n"/>
      <c r="O28" s="9" t="n"/>
      <c r="P28" s="9" t="n"/>
      <c r="Q28" s="11">
        <f>IF(OR(O28="",P28=""),"",MIN(O28,P28)-N28)</f>
        <v/>
      </c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10">
        <f>IF(G29="","",G29*(1+H29/100))</f>
        <v/>
      </c>
      <c r="J29" s="9" t="n"/>
      <c r="K29" s="9" t="n"/>
      <c r="L29" s="9" t="n"/>
      <c r="M29" s="9" t="n"/>
      <c r="N29" s="9" t="n"/>
      <c r="O29" s="9" t="n"/>
      <c r="P29" s="9" t="n"/>
      <c r="Q29" s="11">
        <f>IF(OR(O29="",P29=""),"",MIN(O29,P29)-N29)</f>
        <v/>
      </c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10">
        <f>IF(G30="","",G30*(1+H30/100))</f>
        <v/>
      </c>
      <c r="J30" s="9" t="n"/>
      <c r="K30" s="9" t="n"/>
      <c r="L30" s="9" t="n"/>
      <c r="M30" s="9" t="n"/>
      <c r="N30" s="9" t="n"/>
      <c r="O30" s="9" t="n"/>
      <c r="P30" s="9" t="n"/>
      <c r="Q30" s="11">
        <f>IF(OR(O30="",P30=""),"",MIN(O30,P30)-N30)</f>
        <v/>
      </c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10">
        <f>IF(G31="","",G31*(1+H31/100))</f>
        <v/>
      </c>
      <c r="J31" s="9" t="n"/>
      <c r="K31" s="9" t="n"/>
      <c r="L31" s="9" t="n"/>
      <c r="M31" s="9" t="n"/>
      <c r="N31" s="9" t="n"/>
      <c r="O31" s="9" t="n"/>
      <c r="P31" s="9" t="n"/>
      <c r="Q31" s="11">
        <f>IF(OR(O31="",P31=""),"",MIN(O31,P31)-N31)</f>
        <v/>
      </c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10">
        <f>IF(G32="","",G32*(1+H32/100))</f>
        <v/>
      </c>
      <c r="J32" s="9" t="n"/>
      <c r="K32" s="9" t="n"/>
      <c r="L32" s="9" t="n"/>
      <c r="M32" s="9" t="n"/>
      <c r="N32" s="9" t="n"/>
      <c r="O32" s="9" t="n"/>
      <c r="P32" s="9" t="n"/>
      <c r="Q32" s="11">
        <f>IF(OR(O32="",P32=""),"",MIN(O32,P32)-N32)</f>
        <v/>
      </c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10">
        <f>IF(G33="","",G33*(1+H33/100))</f>
        <v/>
      </c>
      <c r="J33" s="9" t="n"/>
      <c r="K33" s="9" t="n"/>
      <c r="L33" s="9" t="n"/>
      <c r="M33" s="9" t="n"/>
      <c r="N33" s="9" t="n"/>
      <c r="O33" s="9" t="n"/>
      <c r="P33" s="9" t="n"/>
      <c r="Q33" s="11">
        <f>IF(OR(O33="",P33=""),"",MIN(O33,P33)-N33)</f>
        <v/>
      </c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5">
      <c r="A35" s="12" t="inlineStr">
        <is>
          <t>※ 파란 셀 = 수식 자동계산 | 소요량·로스율은 대표 확인 필요 | 가격은 유통 확인 필요</t>
        </is>
      </c>
    </row>
  </sheetData>
  <autoFilter ref="A4:Z33"/>
  <mergeCells count="8">
    <mergeCell ref="R3:U3"/>
    <mergeCell ref="A1:Z1"/>
    <mergeCell ref="J3:Q3"/>
    <mergeCell ref="Y3:Z3"/>
    <mergeCell ref="A35:Z35"/>
    <mergeCell ref="A3:I3"/>
    <mergeCell ref="A2:Z2"/>
    <mergeCell ref="V3:X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F7AEA"/>
    <outlinePr summaryBelow="1" summaryRight="1"/>
    <pageSetUpPr/>
  </sheetPr>
  <dimension ref="A1:Z3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</cols>
  <sheetData>
    <row r="1" ht="30" customHeight="1">
      <c r="A1" s="1" t="inlineStr">
        <is>
          <t>마루/바닥 자재</t>
        </is>
      </c>
    </row>
    <row r="2">
      <c r="A2" s="2" t="inlineStr">
        <is>
          <t>공정코드: FL | 체크리스트 기반 전체 자재 목록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</row>
    <row r="5">
      <c r="A5" s="6" t="inlineStr">
        <is>
          <t>FL-001</t>
        </is>
      </c>
      <c r="B5" s="6" t="inlineStr">
        <is>
          <t>강마루</t>
        </is>
      </c>
      <c r="C5" s="6" t="inlineStr">
        <is>
          <t>1210×193×8T</t>
        </is>
      </c>
      <c r="D5" s="6" t="inlineStr">
        <is>
          <t>바닥 마감 (클릭)</t>
        </is>
      </c>
      <c r="E5" s="6" t="inlineStr">
        <is>
          <t>필수</t>
        </is>
      </c>
      <c r="F5" s="6" t="inlineStr">
        <is>
          <t>장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>
        <is>
          <t>셀프 시공 가능</t>
        </is>
      </c>
    </row>
    <row r="6">
      <c r="A6" s="6" t="inlineStr">
        <is>
          <t>FL-002</t>
        </is>
      </c>
      <c r="B6" s="6" t="inlineStr">
        <is>
          <t>강화마루</t>
        </is>
      </c>
      <c r="C6" s="6" t="inlineStr">
        <is>
          <t>1210×193×12T</t>
        </is>
      </c>
      <c r="D6" s="6" t="inlineStr">
        <is>
          <t>바닥 마감 (고급)</t>
        </is>
      </c>
      <c r="E6" s="6" t="inlineStr">
        <is>
          <t>선택</t>
        </is>
      </c>
      <c r="F6" s="6" t="inlineStr">
        <is>
          <t>장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>
        <is>
          <t>충격 흡수</t>
        </is>
      </c>
    </row>
    <row r="7">
      <c r="A7" s="6" t="inlineStr">
        <is>
          <t>FL-003</t>
        </is>
      </c>
      <c r="B7" s="6" t="inlineStr">
        <is>
          <t>걸레받이</t>
        </is>
      </c>
      <c r="C7" s="6" t="inlineStr">
        <is>
          <t>60mm×2.4m</t>
        </is>
      </c>
      <c r="D7" s="6" t="inlineStr">
        <is>
          <t>벽 하단 마감</t>
        </is>
      </c>
      <c r="E7" s="6" t="inlineStr">
        <is>
          <t>필수</t>
        </is>
      </c>
      <c r="F7" s="6" t="inlineStr">
        <is>
          <t>m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>
        <is>
          <t>시공/제외 위치 지정</t>
        </is>
      </c>
    </row>
    <row r="8">
      <c r="A8" s="6" t="inlineStr">
        <is>
          <t>FL-004</t>
        </is>
      </c>
      <c r="B8" s="6" t="inlineStr">
        <is>
          <t>PE 폼 언더레이</t>
        </is>
      </c>
      <c r="C8" s="6" t="inlineStr">
        <is>
          <t>2mm×50m</t>
        </is>
      </c>
      <c r="D8" s="6" t="inlineStr">
        <is>
          <t>하부 완충·습기 차단</t>
        </is>
      </c>
      <c r="E8" s="6" t="inlineStr">
        <is>
          <t>필수</t>
        </is>
      </c>
      <c r="F8" s="6" t="inlineStr">
        <is>
          <t>㎡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</row>
    <row r="9">
      <c r="A9" s="6" t="inlineStr">
        <is>
          <t>FL-005</t>
        </is>
      </c>
      <c r="B9" s="6" t="inlineStr">
        <is>
          <t>본드</t>
        </is>
      </c>
      <c r="C9" s="6" t="inlineStr">
        <is>
          <t>마루 접착용</t>
        </is>
      </c>
      <c r="D9" s="6" t="inlineStr">
        <is>
          <t>마루 접착</t>
        </is>
      </c>
      <c r="E9" s="6" t="inlineStr">
        <is>
          <t>선택</t>
        </is>
      </c>
      <c r="F9" s="6" t="inlineStr">
        <is>
          <t>kg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>
        <is>
          <t>접착식 마루용</t>
        </is>
      </c>
    </row>
    <row r="10">
      <c r="A10" s="6" t="inlineStr">
        <is>
          <t>FL-006</t>
        </is>
      </c>
      <c r="B10" s="6" t="inlineStr">
        <is>
          <t>실리콘</t>
        </is>
      </c>
      <c r="C10" s="6" t="inlineStr">
        <is>
          <t>—</t>
        </is>
      </c>
      <c r="D10" s="6" t="inlineStr">
        <is>
          <t>마루·걸레받이 마감 (색상 지정)</t>
        </is>
      </c>
      <c r="E10" s="6" t="inlineStr">
        <is>
          <t>필수</t>
        </is>
      </c>
      <c r="F10" s="6" t="inlineStr">
        <is>
          <t>개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</row>
    <row r="11">
      <c r="A11" s="6" t="inlineStr">
        <is>
          <t>FL-007</t>
        </is>
      </c>
      <c r="B11" s="6" t="inlineStr">
        <is>
          <t>보양재(박스보양)</t>
        </is>
      </c>
      <c r="C11" s="6" t="inlineStr">
        <is>
          <t>—</t>
        </is>
      </c>
      <c r="D11" s="6" t="inlineStr">
        <is>
          <t>시공 후 표면 보호</t>
        </is>
      </c>
      <c r="E11" s="6" t="inlineStr">
        <is>
          <t>필수</t>
        </is>
      </c>
      <c r="F11" s="6" t="inlineStr">
        <is>
          <t>롤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</row>
    <row r="12">
      <c r="A12" s="6" t="inlineStr">
        <is>
          <t>FL-008</t>
        </is>
      </c>
      <c r="B12" s="6" t="inlineStr">
        <is>
          <t>보양지</t>
        </is>
      </c>
      <c r="C12" s="6" t="inlineStr">
        <is>
          <t>—</t>
        </is>
      </c>
      <c r="D12" s="6" t="inlineStr">
        <is>
          <t>후속 작업 시 손상 방지</t>
        </is>
      </c>
      <c r="E12" s="6" t="inlineStr">
        <is>
          <t>필수</t>
        </is>
      </c>
      <c r="F12" s="6" t="inlineStr">
        <is>
          <t>롤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</row>
    <row r="13">
      <c r="A13" s="6" t="inlineStr">
        <is>
          <t>FL-009</t>
        </is>
      </c>
      <c r="B13" s="6" t="inlineStr">
        <is>
          <t>장판</t>
        </is>
      </c>
      <c r="C13" s="6" t="inlineStr">
        <is>
          <t>롤</t>
        </is>
      </c>
      <c r="D13" s="6" t="inlineStr">
        <is>
          <t>바닥 마감 (장판식)</t>
        </is>
      </c>
      <c r="E13" s="6" t="inlineStr">
        <is>
          <t>선택</t>
        </is>
      </c>
      <c r="F13" s="6" t="inlineStr">
        <is>
          <t>㎡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10">
        <f>IF(G14="","",G14*(1+H14/100))</f>
        <v/>
      </c>
      <c r="J14" s="9" t="n"/>
      <c r="K14" s="9" t="n"/>
      <c r="L14" s="9" t="n"/>
      <c r="M14" s="9" t="n"/>
      <c r="N14" s="9" t="n"/>
      <c r="O14" s="9" t="n"/>
      <c r="P14" s="9" t="n"/>
      <c r="Q14" s="11">
        <f>IF(OR(O14="",P14=""),"",MIN(O14,P14)-N14)</f>
        <v/>
      </c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10">
        <f>IF(G15="","",G15*(1+H15/100))</f>
        <v/>
      </c>
      <c r="J15" s="9" t="n"/>
      <c r="K15" s="9" t="n"/>
      <c r="L15" s="9" t="n"/>
      <c r="M15" s="9" t="n"/>
      <c r="N15" s="9" t="n"/>
      <c r="O15" s="9" t="n"/>
      <c r="P15" s="9" t="n"/>
      <c r="Q15" s="11">
        <f>IF(OR(O15="",P15=""),"",MIN(O15,P15)-N15)</f>
        <v/>
      </c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10">
        <f>IF(G16="","",G16*(1+H16/100))</f>
        <v/>
      </c>
      <c r="J16" s="9" t="n"/>
      <c r="K16" s="9" t="n"/>
      <c r="L16" s="9" t="n"/>
      <c r="M16" s="9" t="n"/>
      <c r="N16" s="9" t="n"/>
      <c r="O16" s="9" t="n"/>
      <c r="P16" s="9" t="n"/>
      <c r="Q16" s="11">
        <f>IF(OR(O16="",P16=""),"",MIN(O16,P16)-N16)</f>
        <v/>
      </c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10">
        <f>IF(G17="","",G17*(1+H17/100))</f>
        <v/>
      </c>
      <c r="J17" s="9" t="n"/>
      <c r="K17" s="9" t="n"/>
      <c r="L17" s="9" t="n"/>
      <c r="M17" s="9" t="n"/>
      <c r="N17" s="9" t="n"/>
      <c r="O17" s="9" t="n"/>
      <c r="P17" s="9" t="n"/>
      <c r="Q17" s="11">
        <f>IF(OR(O17="",P17=""),"",MIN(O17,P17)-N17)</f>
        <v/>
      </c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10">
        <f>IF(G18="","",G18*(1+H18/100))</f>
        <v/>
      </c>
      <c r="J18" s="9" t="n"/>
      <c r="K18" s="9" t="n"/>
      <c r="L18" s="9" t="n"/>
      <c r="M18" s="9" t="n"/>
      <c r="N18" s="9" t="n"/>
      <c r="O18" s="9" t="n"/>
      <c r="P18" s="9" t="n"/>
      <c r="Q18" s="11">
        <f>IF(OR(O18="",P18=""),"",MIN(O18,P18)-N18)</f>
        <v/>
      </c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10">
        <f>IF(G19="","",G19*(1+H19/100))</f>
        <v/>
      </c>
      <c r="J19" s="9" t="n"/>
      <c r="K19" s="9" t="n"/>
      <c r="L19" s="9" t="n"/>
      <c r="M19" s="9" t="n"/>
      <c r="N19" s="9" t="n"/>
      <c r="O19" s="9" t="n"/>
      <c r="P19" s="9" t="n"/>
      <c r="Q19" s="11">
        <f>IF(OR(O19="",P19=""),"",MIN(O19,P19)-N19)</f>
        <v/>
      </c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10">
        <f>IF(G20="","",G20*(1+H20/100))</f>
        <v/>
      </c>
      <c r="J20" s="9" t="n"/>
      <c r="K20" s="9" t="n"/>
      <c r="L20" s="9" t="n"/>
      <c r="M20" s="9" t="n"/>
      <c r="N20" s="9" t="n"/>
      <c r="O20" s="9" t="n"/>
      <c r="P20" s="9" t="n"/>
      <c r="Q20" s="11">
        <f>IF(OR(O20="",P20=""),"",MIN(O20,P20)-N20)</f>
        <v/>
      </c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10">
        <f>IF(G21="","",G21*(1+H21/100))</f>
        <v/>
      </c>
      <c r="J21" s="9" t="n"/>
      <c r="K21" s="9" t="n"/>
      <c r="L21" s="9" t="n"/>
      <c r="M21" s="9" t="n"/>
      <c r="N21" s="9" t="n"/>
      <c r="O21" s="9" t="n"/>
      <c r="P21" s="9" t="n"/>
      <c r="Q21" s="11">
        <f>IF(OR(O21="",P21=""),"",MIN(O21,P21)-N21)</f>
        <v/>
      </c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10">
        <f>IF(G22="","",G22*(1+H22/100))</f>
        <v/>
      </c>
      <c r="J22" s="9" t="n"/>
      <c r="K22" s="9" t="n"/>
      <c r="L22" s="9" t="n"/>
      <c r="M22" s="9" t="n"/>
      <c r="N22" s="9" t="n"/>
      <c r="O22" s="9" t="n"/>
      <c r="P22" s="9" t="n"/>
      <c r="Q22" s="11">
        <f>IF(OR(O22="",P22=""),"",MIN(O22,P22)-N22)</f>
        <v/>
      </c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10">
        <f>IF(G23="","",G23*(1+H23/100))</f>
        <v/>
      </c>
      <c r="J23" s="9" t="n"/>
      <c r="K23" s="9" t="n"/>
      <c r="L23" s="9" t="n"/>
      <c r="M23" s="9" t="n"/>
      <c r="N23" s="9" t="n"/>
      <c r="O23" s="9" t="n"/>
      <c r="P23" s="9" t="n"/>
      <c r="Q23" s="11">
        <f>IF(OR(O23="",P23=""),"",MIN(O23,P23)-N23)</f>
        <v/>
      </c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10">
        <f>IF(G24="","",G24*(1+H24/100))</f>
        <v/>
      </c>
      <c r="J24" s="9" t="n"/>
      <c r="K24" s="9" t="n"/>
      <c r="L24" s="9" t="n"/>
      <c r="M24" s="9" t="n"/>
      <c r="N24" s="9" t="n"/>
      <c r="O24" s="9" t="n"/>
      <c r="P24" s="9" t="n"/>
      <c r="Q24" s="11">
        <f>IF(OR(O24="",P24=""),"",MIN(O24,P24)-N24)</f>
        <v/>
      </c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10">
        <f>IF(G25="","",G25*(1+H25/100))</f>
        <v/>
      </c>
      <c r="J25" s="9" t="n"/>
      <c r="K25" s="9" t="n"/>
      <c r="L25" s="9" t="n"/>
      <c r="M25" s="9" t="n"/>
      <c r="N25" s="9" t="n"/>
      <c r="O25" s="9" t="n"/>
      <c r="P25" s="9" t="n"/>
      <c r="Q25" s="11">
        <f>IF(OR(O25="",P25=""),"",MIN(O25,P25)-N25)</f>
        <v/>
      </c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10">
        <f>IF(G26="","",G26*(1+H26/100))</f>
        <v/>
      </c>
      <c r="J26" s="9" t="n"/>
      <c r="K26" s="9" t="n"/>
      <c r="L26" s="9" t="n"/>
      <c r="M26" s="9" t="n"/>
      <c r="N26" s="9" t="n"/>
      <c r="O26" s="9" t="n"/>
      <c r="P26" s="9" t="n"/>
      <c r="Q26" s="11">
        <f>IF(OR(O26="",P26=""),"",MIN(O26,P26)-N26)</f>
        <v/>
      </c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10">
        <f>IF(G27="","",G27*(1+H27/100))</f>
        <v/>
      </c>
      <c r="J27" s="9" t="n"/>
      <c r="K27" s="9" t="n"/>
      <c r="L27" s="9" t="n"/>
      <c r="M27" s="9" t="n"/>
      <c r="N27" s="9" t="n"/>
      <c r="O27" s="9" t="n"/>
      <c r="P27" s="9" t="n"/>
      <c r="Q27" s="11">
        <f>IF(OR(O27="",P27=""),"",MIN(O27,P27)-N27)</f>
        <v/>
      </c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10">
        <f>IF(G28="","",G28*(1+H28/100))</f>
        <v/>
      </c>
      <c r="J28" s="9" t="n"/>
      <c r="K28" s="9" t="n"/>
      <c r="L28" s="9" t="n"/>
      <c r="M28" s="9" t="n"/>
      <c r="N28" s="9" t="n"/>
      <c r="O28" s="9" t="n"/>
      <c r="P28" s="9" t="n"/>
      <c r="Q28" s="11">
        <f>IF(OR(O28="",P28=""),"",MIN(O28,P28)-N28)</f>
        <v/>
      </c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30">
      <c r="A30" s="12" t="inlineStr">
        <is>
          <t>※ 파란 셀 = 수식 자동계산 | 소요량·로스율은 대표 확인 필요 | 가격은 유통 확인 필요</t>
        </is>
      </c>
    </row>
  </sheetData>
  <autoFilter ref="A4:Z28"/>
  <mergeCells count="8">
    <mergeCell ref="R3:U3"/>
    <mergeCell ref="A1:Z1"/>
    <mergeCell ref="J3:Q3"/>
    <mergeCell ref="Y3:Z3"/>
    <mergeCell ref="A3:I3"/>
    <mergeCell ref="A2:Z2"/>
    <mergeCell ref="V3:X3"/>
    <mergeCell ref="A30:Z3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53E3E"/>
    <outlinePr summaryBelow="1" summaryRight="1"/>
    <pageSetUpPr/>
  </sheetPr>
  <dimension ref="A1:Z4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</cols>
  <sheetData>
    <row r="1" ht="30" customHeight="1">
      <c r="A1" s="1" t="inlineStr">
        <is>
          <t>도배 자재</t>
        </is>
      </c>
    </row>
    <row r="2">
      <c r="A2" s="2" t="inlineStr">
        <is>
          <t>공정코드: WL | 체크리스트 기반 전체 자재 목록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</row>
    <row r="5">
      <c r="A5" s="6" t="inlineStr">
        <is>
          <t>WL-001</t>
        </is>
      </c>
      <c r="B5" s="6" t="inlineStr">
        <is>
          <t>합지벽지</t>
        </is>
      </c>
      <c r="C5" s="6" t="inlineStr">
        <is>
          <t>롤(16.5㎡)</t>
        </is>
      </c>
      <c r="D5" s="6" t="inlineStr">
        <is>
          <t>벽면 마감 (경제)</t>
        </is>
      </c>
      <c r="E5" s="6" t="inlineStr">
        <is>
          <t>필수</t>
        </is>
      </c>
      <c r="F5" s="6" t="inlineStr">
        <is>
          <t>롤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>
        <is>
          <t>풀 도포 필요</t>
        </is>
      </c>
    </row>
    <row r="6">
      <c r="A6" s="6" t="inlineStr">
        <is>
          <t>WL-002</t>
        </is>
      </c>
      <c r="B6" s="6" t="inlineStr">
        <is>
          <t>실크벽지</t>
        </is>
      </c>
      <c r="C6" s="6" t="inlineStr">
        <is>
          <t>롤(15.6㎡)</t>
        </is>
      </c>
      <c r="D6" s="6" t="inlineStr">
        <is>
          <t>벽면 마감 (표준)</t>
        </is>
      </c>
      <c r="E6" s="6" t="inlineStr">
        <is>
          <t>선택</t>
        </is>
      </c>
      <c r="F6" s="6" t="inlineStr">
        <is>
          <t>롤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>
        <is>
          <t>PVC 코팅 세척 가능</t>
        </is>
      </c>
    </row>
    <row r="7">
      <c r="A7" s="6" t="inlineStr">
        <is>
          <t>WL-003</t>
        </is>
      </c>
      <c r="B7" s="6" t="inlineStr">
        <is>
          <t>부직포(초배지)</t>
        </is>
      </c>
      <c r="C7" s="6" t="inlineStr">
        <is>
          <t>—</t>
        </is>
      </c>
      <c r="D7" s="6" t="inlineStr">
        <is>
          <t>초배 기초 바탕</t>
        </is>
      </c>
      <c r="E7" s="6" t="inlineStr">
        <is>
          <t>필수</t>
        </is>
      </c>
      <c r="F7" s="6" t="inlineStr">
        <is>
          <t>롤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</row>
    <row r="8">
      <c r="A8" s="6" t="inlineStr">
        <is>
          <t>WL-004</t>
        </is>
      </c>
      <c r="B8" s="6" t="inlineStr">
        <is>
          <t>텍스</t>
        </is>
      </c>
      <c r="C8" s="6" t="inlineStr">
        <is>
          <t>—</t>
        </is>
      </c>
      <c r="D8" s="6" t="inlineStr">
        <is>
          <t>도배 자재 종류</t>
        </is>
      </c>
      <c r="E8" s="6" t="inlineStr">
        <is>
          <t>선택</t>
        </is>
      </c>
      <c r="F8" s="6" t="inlineStr">
        <is>
          <t>롤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</row>
    <row r="9">
      <c r="A9" s="6" t="inlineStr">
        <is>
          <t>WL-005</t>
        </is>
      </c>
      <c r="B9" s="6" t="inlineStr">
        <is>
          <t>삼중지</t>
        </is>
      </c>
      <c r="C9" s="6" t="inlineStr">
        <is>
          <t>—</t>
        </is>
      </c>
      <c r="D9" s="6" t="inlineStr">
        <is>
          <t>도배 자재 종류</t>
        </is>
      </c>
      <c r="E9" s="6" t="inlineStr">
        <is>
          <t>선택</t>
        </is>
      </c>
      <c r="F9" s="6" t="inlineStr">
        <is>
          <t>롤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</row>
    <row r="10">
      <c r="A10" s="6" t="inlineStr">
        <is>
          <t>WL-006</t>
        </is>
      </c>
      <c r="B10" s="6" t="inlineStr">
        <is>
          <t>벽지풀(접착제)</t>
        </is>
      </c>
      <c r="C10" s="6" t="inlineStr">
        <is>
          <t>5kg</t>
        </is>
      </c>
      <c r="D10" s="6" t="inlineStr">
        <is>
          <t>초배·합지 공정별 농도</t>
        </is>
      </c>
      <c r="E10" s="6" t="inlineStr">
        <is>
          <t>필수</t>
        </is>
      </c>
      <c r="F10" s="6" t="inlineStr">
        <is>
          <t>통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>
        <is>
          <t>점도 조절</t>
        </is>
      </c>
    </row>
    <row r="11">
      <c r="A11" s="6" t="inlineStr">
        <is>
          <t>WL-007</t>
        </is>
      </c>
      <c r="B11" s="6" t="inlineStr">
        <is>
          <t>본드</t>
        </is>
      </c>
      <c r="C11" s="6" t="inlineStr">
        <is>
          <t>—</t>
        </is>
      </c>
      <c r="D11" s="6" t="inlineStr">
        <is>
          <t>초배 작업</t>
        </is>
      </c>
      <c r="E11" s="6" t="inlineStr">
        <is>
          <t>필수</t>
        </is>
      </c>
      <c r="F11" s="6" t="inlineStr">
        <is>
          <t>통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>
        <is>
          <t>오염 주의</t>
        </is>
      </c>
    </row>
    <row r="12">
      <c r="A12" s="6" t="inlineStr">
        <is>
          <t>WL-008</t>
        </is>
      </c>
      <c r="B12" s="6" t="inlineStr">
        <is>
          <t>아크졸</t>
        </is>
      </c>
      <c r="C12" s="6" t="inlineStr">
        <is>
          <t>—</t>
        </is>
      </c>
      <c r="D12" s="6" t="inlineStr">
        <is>
          <t>접착 보조제</t>
        </is>
      </c>
      <c r="E12" s="6" t="inlineStr">
        <is>
          <t>선택</t>
        </is>
      </c>
      <c r="F12" s="6" t="inlineStr">
        <is>
          <t>통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</row>
    <row r="13">
      <c r="A13" s="6" t="inlineStr">
        <is>
          <t>WL-009</t>
        </is>
      </c>
      <c r="B13" s="6" t="inlineStr">
        <is>
          <t>바인더</t>
        </is>
      </c>
      <c r="C13" s="6" t="inlineStr">
        <is>
          <t>—</t>
        </is>
      </c>
      <c r="D13" s="6" t="inlineStr">
        <is>
          <t>들뜸 방지 표면 처리</t>
        </is>
      </c>
      <c r="E13" s="6" t="inlineStr">
        <is>
          <t>선택</t>
        </is>
      </c>
      <c r="F13" s="6" t="inlineStr">
        <is>
          <t>통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</row>
    <row r="14">
      <c r="A14" s="6" t="inlineStr">
        <is>
          <t>WL-010</t>
        </is>
      </c>
      <c r="B14" s="6" t="inlineStr">
        <is>
          <t>퍼티</t>
        </is>
      </c>
      <c r="C14" s="6" t="inlineStr">
        <is>
          <t>—</t>
        </is>
      </c>
      <c r="D14" s="6" t="inlineStr">
        <is>
          <t>밑작업 충전 (네모 퍼티+네바리)</t>
        </is>
      </c>
      <c r="E14" s="6" t="inlineStr">
        <is>
          <t>필수</t>
        </is>
      </c>
      <c r="F14" s="6" t="inlineStr">
        <is>
          <t>kg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</row>
    <row r="15">
      <c r="A15" s="6" t="inlineStr">
        <is>
          <t>WL-011</t>
        </is>
      </c>
      <c r="B15" s="6" t="inlineStr">
        <is>
          <t>평몰딩(엣지)</t>
        </is>
      </c>
      <c r="C15" s="6" t="inlineStr">
        <is>
          <t>—</t>
        </is>
      </c>
      <c r="D15" s="6" t="inlineStr">
        <is>
          <t>도배 가장자리 마감</t>
        </is>
      </c>
      <c r="E15" s="6" t="inlineStr">
        <is>
          <t>필수</t>
        </is>
      </c>
      <c r="F15" s="6" t="inlineStr">
        <is>
          <t>m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</row>
    <row r="16">
      <c r="A16" s="6" t="inlineStr">
        <is>
          <t>WL-012</t>
        </is>
      </c>
      <c r="B16" s="6" t="inlineStr">
        <is>
          <t>문몰딩</t>
        </is>
      </c>
      <c r="C16" s="6" t="inlineStr">
        <is>
          <t>—</t>
        </is>
      </c>
      <c r="D16" s="6" t="inlineStr">
        <is>
          <t>문틀 이음매 마감</t>
        </is>
      </c>
      <c r="E16" s="6" t="inlineStr">
        <is>
          <t>필수</t>
        </is>
      </c>
      <c r="F16" s="6" t="inlineStr">
        <is>
          <t>m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</row>
    <row r="17">
      <c r="A17" s="6" t="inlineStr">
        <is>
          <t>WL-013</t>
        </is>
      </c>
      <c r="B17" s="6" t="inlineStr">
        <is>
          <t>컨티+캡</t>
        </is>
      </c>
      <c r="C17" s="6" t="inlineStr">
        <is>
          <t>—</t>
        </is>
      </c>
      <c r="D17" s="6" t="inlineStr">
        <is>
          <t>FM 방식 상단 마감</t>
        </is>
      </c>
      <c r="E17" s="6" t="inlineStr">
        <is>
          <t>선택</t>
        </is>
      </c>
      <c r="F17" s="6" t="inlineStr">
        <is>
          <t>세트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</row>
    <row r="18">
      <c r="A18" s="6" t="inlineStr">
        <is>
          <t>WL-014</t>
        </is>
      </c>
      <c r="B18" s="6" t="inlineStr">
        <is>
          <t>롤러</t>
        </is>
      </c>
      <c r="C18" s="6" t="inlineStr">
        <is>
          <t>—</t>
        </is>
      </c>
      <c r="D18" s="6" t="inlineStr">
        <is>
          <t>풀 도포용 (상태 수시 점검)</t>
        </is>
      </c>
      <c r="E18" s="6" t="inlineStr">
        <is>
          <t>필수</t>
        </is>
      </c>
      <c r="F18" s="6" t="inlineStr">
        <is>
          <t>개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</row>
    <row r="19">
      <c r="A19" s="6" t="inlineStr">
        <is>
          <t>WL-015</t>
        </is>
      </c>
      <c r="B19" s="6" t="inlineStr">
        <is>
          <t>연필</t>
        </is>
      </c>
      <c r="C19" s="6" t="inlineStr">
        <is>
          <t>—</t>
        </is>
      </c>
      <c r="D19" s="6" t="inlineStr">
        <is>
          <t>기준선 표기 (펜·마커 금지)</t>
        </is>
      </c>
      <c r="E19" s="6" t="inlineStr">
        <is>
          <t>필수</t>
        </is>
      </c>
      <c r="F19" s="6" t="inlineStr">
        <is>
          <t>자루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</row>
    <row r="20">
      <c r="A20" s="6" t="inlineStr">
        <is>
          <t>WL-016</t>
        </is>
      </c>
      <c r="B20" s="6" t="inlineStr">
        <is>
          <t>레벨기</t>
        </is>
      </c>
      <c r="C20" s="6" t="inlineStr">
        <is>
          <t>레이저</t>
        </is>
      </c>
      <c r="D20" s="6" t="inlineStr">
        <is>
          <t>기준선 수평·수직</t>
        </is>
      </c>
      <c r="E20" s="6" t="inlineStr">
        <is>
          <t>필수</t>
        </is>
      </c>
      <c r="F20" s="6" t="inlineStr">
        <is>
          <t>개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/>
    </row>
    <row r="21">
      <c r="A21" s="6" t="inlineStr">
        <is>
          <t>WL-017</t>
        </is>
      </c>
      <c r="B21" s="6" t="inlineStr">
        <is>
          <t>사포</t>
        </is>
      </c>
      <c r="C21" s="6" t="inlineStr">
        <is>
          <t>—</t>
        </is>
      </c>
      <c r="D21" s="6" t="inlineStr">
        <is>
          <t>밑작업 샌딩</t>
        </is>
      </c>
      <c r="E21" s="6" t="inlineStr">
        <is>
          <t>필수</t>
        </is>
      </c>
      <c r="F21" s="6" t="inlineStr">
        <is>
          <t>장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/>
    </row>
    <row r="22">
      <c r="A22" s="6" t="inlineStr">
        <is>
          <t>WL-018</t>
        </is>
      </c>
      <c r="B22" s="6" t="inlineStr">
        <is>
          <t>노바시 봉투</t>
        </is>
      </c>
      <c r="C22" s="6" t="inlineStr">
        <is>
          <t>—</t>
        </is>
      </c>
      <c r="D22" s="6" t="inlineStr">
        <is>
          <t>풀칠 벽지 보관 (5폭 한도)</t>
        </is>
      </c>
      <c r="E22" s="6" t="inlineStr">
        <is>
          <t>필수</t>
        </is>
      </c>
      <c r="F22" s="6" t="inlineStr">
        <is>
          <t>장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/>
    </row>
    <row r="23">
      <c r="A23" s="6" t="inlineStr">
        <is>
          <t>WL-019</t>
        </is>
      </c>
      <c r="B23" s="6" t="inlineStr">
        <is>
          <t>도배풀 제거제</t>
        </is>
      </c>
      <c r="C23" s="6" t="inlineStr">
        <is>
          <t>아밀라아제</t>
        </is>
      </c>
      <c r="D23" s="6" t="inlineStr">
        <is>
          <t>풀자국 오염 제거</t>
        </is>
      </c>
      <c r="E23" s="6" t="inlineStr">
        <is>
          <t>필수</t>
        </is>
      </c>
      <c r="F23" s="6" t="inlineStr">
        <is>
          <t>통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/>
    </row>
    <row r="24">
      <c r="A24" s="6" t="inlineStr">
        <is>
          <t>WL-020</t>
        </is>
      </c>
      <c r="B24" s="6" t="inlineStr">
        <is>
          <t>극세사 천</t>
        </is>
      </c>
      <c r="C24" s="6" t="inlineStr">
        <is>
          <t>—</t>
        </is>
      </c>
      <c r="D24" s="6" t="inlineStr">
        <is>
          <t>오염 닦기</t>
        </is>
      </c>
      <c r="E24" s="6" t="inlineStr">
        <is>
          <t>필수</t>
        </is>
      </c>
      <c r="F24" s="6" t="inlineStr">
        <is>
          <t>장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/>
    </row>
    <row r="25">
      <c r="A25" s="6" t="inlineStr">
        <is>
          <t>WL-021</t>
        </is>
      </c>
      <c r="B25" s="6" t="inlineStr">
        <is>
          <t>스펀지</t>
        </is>
      </c>
      <c r="C25" s="6" t="inlineStr">
        <is>
          <t>—</t>
        </is>
      </c>
      <c r="D25" s="6" t="inlineStr">
        <is>
          <t>오염 닦기</t>
        </is>
      </c>
      <c r="E25" s="6" t="inlineStr">
        <is>
          <t>필수</t>
        </is>
      </c>
      <c r="F25" s="6" t="inlineStr">
        <is>
          <t>개</t>
        </is>
      </c>
      <c r="G25" s="6" t="n"/>
      <c r="H25" s="6" t="n"/>
      <c r="I25" s="7">
        <f>IF(G25="","",G25*(1+H25/100))</f>
        <v/>
      </c>
      <c r="J25" s="6" t="n"/>
      <c r="K25" s="6" t="n"/>
      <c r="L25" s="8" t="n"/>
      <c r="M25" s="8" t="n"/>
      <c r="N25" s="8" t="n"/>
      <c r="O25" s="8" t="n"/>
      <c r="P25" s="8" t="n"/>
      <c r="Q25" s="8">
        <f>IF(OR(O25="",P25=""),"",MIN(O25,P25)-N25)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inlineStr"/>
    </row>
    <row r="26">
      <c r="A26" s="6" t="inlineStr">
        <is>
          <t>WL-022</t>
        </is>
      </c>
      <c r="B26" s="6" t="inlineStr">
        <is>
          <t>분무기</t>
        </is>
      </c>
      <c r="C26" s="6" t="inlineStr">
        <is>
          <t>—</t>
        </is>
      </c>
      <c r="D26" s="6" t="inlineStr">
        <is>
          <t>제거제 분무</t>
        </is>
      </c>
      <c r="E26" s="6" t="inlineStr">
        <is>
          <t>필수</t>
        </is>
      </c>
      <c r="F26" s="6" t="inlineStr">
        <is>
          <t>개</t>
        </is>
      </c>
      <c r="G26" s="6" t="n"/>
      <c r="H26" s="6" t="n"/>
      <c r="I26" s="7">
        <f>IF(G26="","",G26*(1+H26/100))</f>
        <v/>
      </c>
      <c r="J26" s="6" t="n"/>
      <c r="K26" s="6" t="n"/>
      <c r="L26" s="8" t="n"/>
      <c r="M26" s="8" t="n"/>
      <c r="N26" s="8" t="n"/>
      <c r="O26" s="8" t="n"/>
      <c r="P26" s="8" t="n"/>
      <c r="Q26" s="8">
        <f>IF(OR(O26="",P26=""),"",MIN(O26,P26)-N26)</f>
        <v/>
      </c>
      <c r="R26" s="6" t="n"/>
      <c r="S26" s="6" t="n"/>
      <c r="T26" s="6" t="n"/>
      <c r="U26" s="6" t="n"/>
      <c r="V26" s="6" t="n"/>
      <c r="W26" s="6" t="n"/>
      <c r="X26" s="6" t="n"/>
      <c r="Y26" s="6" t="n"/>
      <c r="Z26" s="6" t="inlineStr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10">
        <f>IF(G27="","",G27*(1+H27/100))</f>
        <v/>
      </c>
      <c r="J27" s="9" t="n"/>
      <c r="K27" s="9" t="n"/>
      <c r="L27" s="9" t="n"/>
      <c r="M27" s="9" t="n"/>
      <c r="N27" s="9" t="n"/>
      <c r="O27" s="9" t="n"/>
      <c r="P27" s="9" t="n"/>
      <c r="Q27" s="11">
        <f>IF(OR(O27="",P27=""),"",MIN(O27,P27)-N27)</f>
        <v/>
      </c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10">
        <f>IF(G28="","",G28*(1+H28/100))</f>
        <v/>
      </c>
      <c r="J28" s="9" t="n"/>
      <c r="K28" s="9" t="n"/>
      <c r="L28" s="9" t="n"/>
      <c r="M28" s="9" t="n"/>
      <c r="N28" s="9" t="n"/>
      <c r="O28" s="9" t="n"/>
      <c r="P28" s="9" t="n"/>
      <c r="Q28" s="11">
        <f>IF(OR(O28="",P28=""),"",MIN(O28,P28)-N28)</f>
        <v/>
      </c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10">
        <f>IF(G29="","",G29*(1+H29/100))</f>
        <v/>
      </c>
      <c r="J29" s="9" t="n"/>
      <c r="K29" s="9" t="n"/>
      <c r="L29" s="9" t="n"/>
      <c r="M29" s="9" t="n"/>
      <c r="N29" s="9" t="n"/>
      <c r="O29" s="9" t="n"/>
      <c r="P29" s="9" t="n"/>
      <c r="Q29" s="11">
        <f>IF(OR(O29="",P29=""),"",MIN(O29,P29)-N29)</f>
        <v/>
      </c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10">
        <f>IF(G30="","",G30*(1+H30/100))</f>
        <v/>
      </c>
      <c r="J30" s="9" t="n"/>
      <c r="K30" s="9" t="n"/>
      <c r="L30" s="9" t="n"/>
      <c r="M30" s="9" t="n"/>
      <c r="N30" s="9" t="n"/>
      <c r="O30" s="9" t="n"/>
      <c r="P30" s="9" t="n"/>
      <c r="Q30" s="11">
        <f>IF(OR(O30="",P30=""),"",MIN(O30,P30)-N30)</f>
        <v/>
      </c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10">
        <f>IF(G31="","",G31*(1+H31/100))</f>
        <v/>
      </c>
      <c r="J31" s="9" t="n"/>
      <c r="K31" s="9" t="n"/>
      <c r="L31" s="9" t="n"/>
      <c r="M31" s="9" t="n"/>
      <c r="N31" s="9" t="n"/>
      <c r="O31" s="9" t="n"/>
      <c r="P31" s="9" t="n"/>
      <c r="Q31" s="11">
        <f>IF(OR(O31="",P31=""),"",MIN(O31,P31)-N31)</f>
        <v/>
      </c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10">
        <f>IF(G32="","",G32*(1+H32/100))</f>
        <v/>
      </c>
      <c r="J32" s="9" t="n"/>
      <c r="K32" s="9" t="n"/>
      <c r="L32" s="9" t="n"/>
      <c r="M32" s="9" t="n"/>
      <c r="N32" s="9" t="n"/>
      <c r="O32" s="9" t="n"/>
      <c r="P32" s="9" t="n"/>
      <c r="Q32" s="11">
        <f>IF(OR(O32="",P32=""),"",MIN(O32,P32)-N32)</f>
        <v/>
      </c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10">
        <f>IF(G33="","",G33*(1+H33/100))</f>
        <v/>
      </c>
      <c r="J33" s="9" t="n"/>
      <c r="K33" s="9" t="n"/>
      <c r="L33" s="9" t="n"/>
      <c r="M33" s="9" t="n"/>
      <c r="N33" s="9" t="n"/>
      <c r="O33" s="9" t="n"/>
      <c r="P33" s="9" t="n"/>
      <c r="Q33" s="11">
        <f>IF(OR(O33="",P33=""),"",MIN(O33,P33)-N33)</f>
        <v/>
      </c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10">
        <f>IF(G34="","",G34*(1+H34/100))</f>
        <v/>
      </c>
      <c r="J34" s="9" t="n"/>
      <c r="K34" s="9" t="n"/>
      <c r="L34" s="9" t="n"/>
      <c r="M34" s="9" t="n"/>
      <c r="N34" s="9" t="n"/>
      <c r="O34" s="9" t="n"/>
      <c r="P34" s="9" t="n"/>
      <c r="Q34" s="11">
        <f>IF(OR(O34="",P34=""),"",MIN(O34,P34)-N34)</f>
        <v/>
      </c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10">
        <f>IF(G35="","",G35*(1+H35/100))</f>
        <v/>
      </c>
      <c r="J35" s="9" t="n"/>
      <c r="K35" s="9" t="n"/>
      <c r="L35" s="9" t="n"/>
      <c r="M35" s="9" t="n"/>
      <c r="N35" s="9" t="n"/>
      <c r="O35" s="9" t="n"/>
      <c r="P35" s="9" t="n"/>
      <c r="Q35" s="11">
        <f>IF(OR(O35="",P35=""),"",MIN(O35,P35)-N35)</f>
        <v/>
      </c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10">
        <f>IF(G36="","",G36*(1+H36/100))</f>
        <v/>
      </c>
      <c r="J36" s="9" t="n"/>
      <c r="K36" s="9" t="n"/>
      <c r="L36" s="9" t="n"/>
      <c r="M36" s="9" t="n"/>
      <c r="N36" s="9" t="n"/>
      <c r="O36" s="9" t="n"/>
      <c r="P36" s="9" t="n"/>
      <c r="Q36" s="11">
        <f>IF(OR(O36="",P36=""),"",MIN(O36,P36)-N36)</f>
        <v/>
      </c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10">
        <f>IF(G37="","",G37*(1+H37/100))</f>
        <v/>
      </c>
      <c r="J37" s="9" t="n"/>
      <c r="K37" s="9" t="n"/>
      <c r="L37" s="9" t="n"/>
      <c r="M37" s="9" t="n"/>
      <c r="N37" s="9" t="n"/>
      <c r="O37" s="9" t="n"/>
      <c r="P37" s="9" t="n"/>
      <c r="Q37" s="11">
        <f>IF(OR(O37="",P37=""),"",MIN(O37,P37)-N37)</f>
        <v/>
      </c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10">
        <f>IF(G38="","",G38*(1+H38/100))</f>
        <v/>
      </c>
      <c r="J38" s="9" t="n"/>
      <c r="K38" s="9" t="n"/>
      <c r="L38" s="9" t="n"/>
      <c r="M38" s="9" t="n"/>
      <c r="N38" s="9" t="n"/>
      <c r="O38" s="9" t="n"/>
      <c r="P38" s="9" t="n"/>
      <c r="Q38" s="11">
        <f>IF(OR(O38="",P38=""),"",MIN(O38,P38)-N38)</f>
        <v/>
      </c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10">
        <f>IF(G39="","",G39*(1+H39/100))</f>
        <v/>
      </c>
      <c r="J39" s="9" t="n"/>
      <c r="K39" s="9" t="n"/>
      <c r="L39" s="9" t="n"/>
      <c r="M39" s="9" t="n"/>
      <c r="N39" s="9" t="n"/>
      <c r="O39" s="9" t="n"/>
      <c r="P39" s="9" t="n"/>
      <c r="Q39" s="11">
        <f>IF(OR(O39="",P39=""),"",MIN(O39,P39)-N39)</f>
        <v/>
      </c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10">
        <f>IF(G40="","",G40*(1+H40/100))</f>
        <v/>
      </c>
      <c r="J40" s="9" t="n"/>
      <c r="K40" s="9" t="n"/>
      <c r="L40" s="9" t="n"/>
      <c r="M40" s="9" t="n"/>
      <c r="N40" s="9" t="n"/>
      <c r="O40" s="9" t="n"/>
      <c r="P40" s="9" t="n"/>
      <c r="Q40" s="11">
        <f>IF(OR(O40="",P40=""),"",MIN(O40,P40)-N40)</f>
        <v/>
      </c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10">
        <f>IF(G41="","",G41*(1+H41/100))</f>
        <v/>
      </c>
      <c r="J41" s="9" t="n"/>
      <c r="K41" s="9" t="n"/>
      <c r="L41" s="9" t="n"/>
      <c r="M41" s="9" t="n"/>
      <c r="N41" s="9" t="n"/>
      <c r="O41" s="9" t="n"/>
      <c r="P41" s="9" t="n"/>
      <c r="Q41" s="11">
        <f>IF(OR(O41="",P41=""),"",MIN(O41,P41)-N41)</f>
        <v/>
      </c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3">
      <c r="A43" s="12" t="inlineStr">
        <is>
          <t>※ 파란 셀 = 수식 자동계산 | 소요량·로스율은 대표 확인 필요 | 가격은 유통 확인 필요</t>
        </is>
      </c>
    </row>
  </sheetData>
  <autoFilter ref="A4:Z41"/>
  <mergeCells count="8">
    <mergeCell ref="R3:U3"/>
    <mergeCell ref="A1:Z1"/>
    <mergeCell ref="J3:Q3"/>
    <mergeCell ref="Y3:Z3"/>
    <mergeCell ref="A3:I3"/>
    <mergeCell ref="A2:Z2"/>
    <mergeCell ref="V3:X3"/>
    <mergeCell ref="A43:Z4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D69E2E"/>
    <outlinePr summaryBelow="1" summaryRight="1"/>
    <pageSetUpPr/>
  </sheetPr>
  <dimension ref="A1:Z6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</cols>
  <sheetData>
    <row r="1" ht="30" customHeight="1">
      <c r="A1" s="1" t="inlineStr">
        <is>
          <t>가구 자재</t>
        </is>
      </c>
    </row>
    <row r="2">
      <c r="A2" s="2" t="inlineStr">
        <is>
          <t>공정코드: FN | 체크리스트 기반 전체 자재 목록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</row>
    <row r="5">
      <c r="A5" s="6" t="inlineStr">
        <is>
          <t>FN-001</t>
        </is>
      </c>
      <c r="B5" s="6" t="inlineStr">
        <is>
          <t>MDF</t>
        </is>
      </c>
      <c r="C5" s="6" t="inlineStr">
        <is>
          <t>—</t>
        </is>
      </c>
      <c r="D5" s="6" t="inlineStr">
        <is>
          <t>가구 심재 (도장용 기본)</t>
        </is>
      </c>
      <c r="E5" s="6" t="inlineStr">
        <is>
          <t>필수</t>
        </is>
      </c>
      <c r="F5" s="6" t="inlineStr">
        <is>
          <t>장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</row>
    <row r="6">
      <c r="A6" s="6" t="inlineStr">
        <is>
          <t>FN-002</t>
        </is>
      </c>
      <c r="B6" s="6" t="inlineStr">
        <is>
          <t>PB (파티클보드)</t>
        </is>
      </c>
      <c r="C6" s="6" t="inlineStr">
        <is>
          <t>—</t>
        </is>
      </c>
      <c r="D6" s="6" t="inlineStr">
        <is>
          <t>가구 심재 (경량·경제)</t>
        </is>
      </c>
      <c r="E6" s="6" t="inlineStr">
        <is>
          <t>선택</t>
        </is>
      </c>
      <c r="F6" s="6" t="inlineStr">
        <is>
          <t>장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</row>
    <row r="7">
      <c r="A7" s="6" t="inlineStr">
        <is>
          <t>FN-003</t>
        </is>
      </c>
      <c r="B7" s="6" t="inlineStr">
        <is>
          <t>PVC 보드(포맥스류)</t>
        </is>
      </c>
      <c r="C7" s="6" t="inlineStr">
        <is>
          <t>—</t>
        </is>
      </c>
      <c r="D7" s="6" t="inlineStr">
        <is>
          <t>내수성 최상 (싱크 하부·욕실)</t>
        </is>
      </c>
      <c r="E7" s="6" t="inlineStr">
        <is>
          <t>선택</t>
        </is>
      </c>
      <c r="F7" s="6" t="inlineStr">
        <is>
          <t>장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</row>
    <row r="8">
      <c r="A8" s="6" t="inlineStr">
        <is>
          <t>FN-004</t>
        </is>
      </c>
      <c r="B8" s="6" t="inlineStr">
        <is>
          <t>컬러 MDF</t>
        </is>
      </c>
      <c r="C8" s="6" t="inlineStr">
        <is>
          <t>발크로멧/포레스컬러</t>
        </is>
      </c>
      <c r="D8" s="6" t="inlineStr">
        <is>
          <t>프리미엄 심재</t>
        </is>
      </c>
      <c r="E8" s="6" t="inlineStr">
        <is>
          <t>선택</t>
        </is>
      </c>
      <c r="F8" s="6" t="inlineStr">
        <is>
          <t>장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</row>
    <row r="9">
      <c r="A9" s="6" t="inlineStr">
        <is>
          <t>FN-005</t>
        </is>
      </c>
      <c r="B9" s="6" t="inlineStr">
        <is>
          <t>LPM 보드</t>
        </is>
      </c>
      <c r="C9" s="6" t="inlineStr">
        <is>
          <t>—</t>
        </is>
      </c>
      <c r="D9" s="6" t="inlineStr">
        <is>
          <t>멜라민 함침 열압착 표면재</t>
        </is>
      </c>
      <c r="E9" s="6" t="inlineStr">
        <is>
          <t>필수</t>
        </is>
      </c>
      <c r="F9" s="6" t="inlineStr">
        <is>
          <t>장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</row>
    <row r="10">
      <c r="A10" s="6" t="inlineStr">
        <is>
          <t>FN-006</t>
        </is>
      </c>
      <c r="B10" s="6" t="inlineStr">
        <is>
          <t>클린터치 보드</t>
        </is>
      </c>
      <c r="C10" s="6" t="inlineStr">
        <is>
          <t>—</t>
        </is>
      </c>
      <c r="D10" s="6" t="inlineStr">
        <is>
          <t>LPM+전자선 큐어링</t>
        </is>
      </c>
      <c r="E10" s="6" t="inlineStr">
        <is>
          <t>선택</t>
        </is>
      </c>
      <c r="F10" s="6" t="inlineStr">
        <is>
          <t>장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>
        <is>
          <t>프리미엄</t>
        </is>
      </c>
    </row>
    <row r="11">
      <c r="A11" s="6" t="inlineStr">
        <is>
          <t>FN-007</t>
        </is>
      </c>
      <c r="B11" s="6" t="inlineStr">
        <is>
          <t>PET 시트</t>
        </is>
      </c>
      <c r="C11" s="6" t="inlineStr">
        <is>
          <t>—</t>
        </is>
      </c>
      <c r="D11" s="6" t="inlineStr">
        <is>
          <t>가구 도어용 시트</t>
        </is>
      </c>
      <c r="E11" s="6" t="inlineStr">
        <is>
          <t>선택</t>
        </is>
      </c>
      <c r="F11" s="6" t="inlineStr">
        <is>
          <t>m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</row>
    <row r="12">
      <c r="A12" s="6" t="inlineStr">
        <is>
          <t>FN-008</t>
        </is>
      </c>
      <c r="B12" s="6" t="inlineStr">
        <is>
          <t>PP 시트</t>
        </is>
      </c>
      <c r="C12" s="6" t="inlineStr">
        <is>
          <t>폴리프로필렌</t>
        </is>
      </c>
      <c r="D12" s="6" t="inlineStr">
        <is>
          <t>가구 도어·엣지</t>
        </is>
      </c>
      <c r="E12" s="6" t="inlineStr">
        <is>
          <t>선택</t>
        </is>
      </c>
      <c r="F12" s="6" t="inlineStr">
        <is>
          <t>m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</row>
    <row r="13">
      <c r="A13" s="6" t="inlineStr">
        <is>
          <t>FN-009</t>
        </is>
      </c>
      <c r="B13" s="6" t="inlineStr">
        <is>
          <t>HPM</t>
        </is>
      </c>
      <c r="C13" s="6" t="inlineStr">
        <is>
          <t>고압 멜라민</t>
        </is>
      </c>
      <c r="D13" s="6" t="inlineStr">
        <is>
          <t>두껍고 단단한 표면재</t>
        </is>
      </c>
      <c r="E13" s="6" t="inlineStr">
        <is>
          <t>선택</t>
        </is>
      </c>
      <c r="F13" s="6" t="inlineStr">
        <is>
          <t>장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</row>
    <row r="14">
      <c r="A14" s="6" t="inlineStr">
        <is>
          <t>FN-010</t>
        </is>
      </c>
      <c r="B14" s="6" t="inlineStr">
        <is>
          <t>FENIX</t>
        </is>
      </c>
      <c r="C14" s="6" t="inlineStr">
        <is>
          <t>—</t>
        </is>
      </c>
      <c r="D14" s="6" t="inlineStr">
        <is>
          <t>특수 시트</t>
        </is>
      </c>
      <c r="E14" s="6" t="inlineStr">
        <is>
          <t>선택</t>
        </is>
      </c>
      <c r="F14" s="6" t="inlineStr">
        <is>
          <t>장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</row>
    <row r="15">
      <c r="A15" s="6" t="inlineStr">
        <is>
          <t>FN-011</t>
        </is>
      </c>
      <c r="B15" s="6" t="inlineStr">
        <is>
          <t>EVA 본드(핫멜트)</t>
        </is>
      </c>
      <c r="C15" s="6" t="inlineStr">
        <is>
          <t>—</t>
        </is>
      </c>
      <c r="D15" s="6" t="inlineStr">
        <is>
          <t>열가소성 접착 (몸체)</t>
        </is>
      </c>
      <c r="E15" s="6" t="inlineStr">
        <is>
          <t>필수</t>
        </is>
      </c>
      <c r="F15" s="6" t="inlineStr">
        <is>
          <t>kg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</row>
    <row r="16">
      <c r="A16" s="6" t="inlineStr">
        <is>
          <t>FN-012</t>
        </is>
      </c>
      <c r="B16" s="6" t="inlineStr">
        <is>
          <t>PUR 본드</t>
        </is>
      </c>
      <c r="C16" s="6" t="inlineStr">
        <is>
          <t>습기경화 우레탄</t>
        </is>
      </c>
      <c r="D16" s="6" t="inlineStr">
        <is>
          <t>주방 도어·방수 필수</t>
        </is>
      </c>
      <c r="E16" s="6" t="inlineStr">
        <is>
          <t>필수</t>
        </is>
      </c>
      <c r="F16" s="6" t="inlineStr">
        <is>
          <t>kg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>
        <is>
          <t>헨켈/조바트</t>
        </is>
      </c>
    </row>
    <row r="17">
      <c r="A17" s="6" t="inlineStr">
        <is>
          <t>FN-013</t>
        </is>
      </c>
      <c r="B17" s="6" t="inlineStr">
        <is>
          <t>엣지밴딩 테이프</t>
        </is>
      </c>
      <c r="C17" s="6" t="inlineStr">
        <is>
          <t>—</t>
        </is>
      </c>
      <c r="D17" s="6" t="inlineStr">
        <is>
          <t>판재 절단면 마감</t>
        </is>
      </c>
      <c r="E17" s="6" t="inlineStr">
        <is>
          <t>필수</t>
        </is>
      </c>
      <c r="F17" s="6" t="inlineStr">
        <is>
          <t>m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</row>
    <row r="18">
      <c r="A18" s="6" t="inlineStr">
        <is>
          <t>FN-014</t>
        </is>
      </c>
      <c r="B18" s="6" t="inlineStr">
        <is>
          <t>방수펜</t>
        </is>
      </c>
      <c r="C18" s="6" t="inlineStr">
        <is>
          <t>RIEPE</t>
        </is>
      </c>
      <c r="D18" s="6" t="inlineStr">
        <is>
          <t>엣지 모서리 방수 코팅</t>
        </is>
      </c>
      <c r="E18" s="6" t="inlineStr">
        <is>
          <t>선택</t>
        </is>
      </c>
      <c r="F18" s="6" t="inlineStr">
        <is>
          <t>개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</row>
    <row r="19">
      <c r="A19" s="6" t="inlineStr">
        <is>
          <t>FN-015</t>
        </is>
      </c>
      <c r="B19" s="6" t="inlineStr">
        <is>
          <t>습식 무늬목</t>
        </is>
      </c>
      <c r="C19" s="6" t="inlineStr">
        <is>
          <t>0.16~0.3mm</t>
        </is>
      </c>
      <c r="D19" s="6" t="inlineStr">
        <is>
          <t>곡면·꺾임 가공</t>
        </is>
      </c>
      <c r="E19" s="6" t="inlineStr">
        <is>
          <t>선택</t>
        </is>
      </c>
      <c r="F19" s="6" t="inlineStr">
        <is>
          <t>장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</row>
    <row r="20">
      <c r="A20" s="6" t="inlineStr">
        <is>
          <t>FN-016</t>
        </is>
      </c>
      <c r="B20" s="6" t="inlineStr">
        <is>
          <t>건식 무늬목</t>
        </is>
      </c>
      <c r="C20" s="6" t="inlineStr">
        <is>
          <t>0.5~0.7mm</t>
        </is>
      </c>
      <c r="D20" s="6" t="inlineStr">
        <is>
          <t>하이엔드 가구</t>
        </is>
      </c>
      <c r="E20" s="6" t="inlineStr">
        <is>
          <t>선택</t>
        </is>
      </c>
      <c r="F20" s="6" t="inlineStr">
        <is>
          <t>장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/>
    </row>
    <row r="21">
      <c r="A21" s="6" t="inlineStr">
        <is>
          <t>FN-017</t>
        </is>
      </c>
      <c r="B21" s="6" t="inlineStr">
        <is>
          <t>ALPI 무늬목</t>
        </is>
      </c>
      <c r="C21" s="6" t="inlineStr">
        <is>
          <t>Reconstituted</t>
        </is>
      </c>
      <c r="D21" s="6" t="inlineStr">
        <is>
          <t>천연 재조합 인조</t>
        </is>
      </c>
      <c r="E21" s="6" t="inlineStr">
        <is>
          <t>선택</t>
        </is>
      </c>
      <c r="F21" s="6" t="inlineStr">
        <is>
          <t>장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/>
    </row>
    <row r="22">
      <c r="A22" s="6" t="inlineStr">
        <is>
          <t>FN-018</t>
        </is>
      </c>
      <c r="B22" s="6" t="inlineStr">
        <is>
          <t>수성 도료</t>
        </is>
      </c>
      <c r="C22" s="6" t="inlineStr">
        <is>
          <t>ADLER 등</t>
        </is>
      </c>
      <c r="D22" s="6" t="inlineStr">
        <is>
          <t>친환경 가구 도장</t>
        </is>
      </c>
      <c r="E22" s="6" t="inlineStr">
        <is>
          <t>선택</t>
        </is>
      </c>
      <c r="F22" s="6" t="inlineStr">
        <is>
          <t>L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/>
    </row>
    <row r="23">
      <c r="A23" s="6" t="inlineStr">
        <is>
          <t>FN-019</t>
        </is>
      </c>
      <c r="B23" s="6" t="inlineStr">
        <is>
          <t>우레탄(유성) 도료</t>
        </is>
      </c>
      <c r="C23" s="6" t="inlineStr">
        <is>
          <t>—</t>
        </is>
      </c>
      <c r="D23" s="6" t="inlineStr">
        <is>
          <t>내구성 우수 (황변 단점)</t>
        </is>
      </c>
      <c r="E23" s="6" t="inlineStr">
        <is>
          <t>선택</t>
        </is>
      </c>
      <c r="F23" s="6" t="inlineStr">
        <is>
          <t>L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/>
    </row>
    <row r="24">
      <c r="A24" s="6" t="inlineStr">
        <is>
          <t>FN-020</t>
        </is>
      </c>
      <c r="B24" s="6" t="inlineStr">
        <is>
          <t>Blum 경첩</t>
        </is>
      </c>
      <c r="C24" s="6" t="inlineStr">
        <is>
          <t>110도</t>
        </is>
      </c>
      <c r="D24" s="6" t="inlineStr">
        <is>
          <t>표준 경첩 (홀컵35mm)</t>
        </is>
      </c>
      <c r="E24" s="6" t="inlineStr">
        <is>
          <t>필수</t>
        </is>
      </c>
      <c r="F24" s="6" t="inlineStr">
        <is>
          <t>개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/>
    </row>
    <row r="25">
      <c r="A25" s="6" t="inlineStr">
        <is>
          <t>FN-021</t>
        </is>
      </c>
      <c r="B25" s="6" t="inlineStr">
        <is>
          <t>Blum 서랍레일</t>
        </is>
      </c>
      <c r="C25" s="6" t="inlineStr">
        <is>
          <t>Movento</t>
        </is>
      </c>
      <c r="D25" s="6" t="inlineStr">
        <is>
          <t>프리미엄 언더레일 40kg</t>
        </is>
      </c>
      <c r="E25" s="6" t="inlineStr">
        <is>
          <t>필수</t>
        </is>
      </c>
      <c r="F25" s="6" t="inlineStr">
        <is>
          <t>세트</t>
        </is>
      </c>
      <c r="G25" s="6" t="n"/>
      <c r="H25" s="6" t="n"/>
      <c r="I25" s="7">
        <f>IF(G25="","",G25*(1+H25/100))</f>
        <v/>
      </c>
      <c r="J25" s="6" t="n"/>
      <c r="K25" s="6" t="n"/>
      <c r="L25" s="8" t="n"/>
      <c r="M25" s="8" t="n"/>
      <c r="N25" s="8" t="n"/>
      <c r="O25" s="8" t="n"/>
      <c r="P25" s="8" t="n"/>
      <c r="Q25" s="8">
        <f>IF(OR(O25="",P25=""),"",MIN(O25,P25)-N25)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inlineStr"/>
    </row>
    <row r="26">
      <c r="A26" s="6" t="inlineStr">
        <is>
          <t>FN-022</t>
        </is>
      </c>
      <c r="B26" s="6" t="inlineStr">
        <is>
          <t>서랍레일(국산)</t>
        </is>
      </c>
      <c r="C26" s="6" t="inlineStr">
        <is>
          <t>3단 볼레일</t>
        </is>
      </c>
      <c r="D26" s="6" t="inlineStr">
        <is>
          <t>책상·화장대용</t>
        </is>
      </c>
      <c r="E26" s="6" t="inlineStr">
        <is>
          <t>선택</t>
        </is>
      </c>
      <c r="F26" s="6" t="inlineStr">
        <is>
          <t>세트</t>
        </is>
      </c>
      <c r="G26" s="6" t="n"/>
      <c r="H26" s="6" t="n"/>
      <c r="I26" s="7">
        <f>IF(G26="","",G26*(1+H26/100))</f>
        <v/>
      </c>
      <c r="J26" s="6" t="n"/>
      <c r="K26" s="6" t="n"/>
      <c r="L26" s="8" t="n"/>
      <c r="M26" s="8" t="n"/>
      <c r="N26" s="8" t="n"/>
      <c r="O26" s="8" t="n"/>
      <c r="P26" s="8" t="n"/>
      <c r="Q26" s="8">
        <f>IF(OR(O26="",P26=""),"",MIN(O26,P26)-N26)</f>
        <v/>
      </c>
      <c r="R26" s="6" t="n"/>
      <c r="S26" s="6" t="n"/>
      <c r="T26" s="6" t="n"/>
      <c r="U26" s="6" t="n"/>
      <c r="V26" s="6" t="n"/>
      <c r="W26" s="6" t="n"/>
      <c r="X26" s="6" t="n"/>
      <c r="Y26" s="6" t="n"/>
      <c r="Z26" s="6" t="inlineStr"/>
    </row>
    <row r="27">
      <c r="A27" s="6" t="inlineStr">
        <is>
          <t>FN-023</t>
        </is>
      </c>
      <c r="B27" s="6" t="inlineStr">
        <is>
          <t>알루미늄 프레임</t>
        </is>
      </c>
      <c r="C27" s="6" t="inlineStr">
        <is>
          <t>21/45mm</t>
        </is>
      </c>
      <c r="D27" s="6" t="inlineStr">
        <is>
          <t>유리 도어용</t>
        </is>
      </c>
      <c r="E27" s="6" t="inlineStr">
        <is>
          <t>선택</t>
        </is>
      </c>
      <c r="F27" s="6" t="inlineStr">
        <is>
          <t>m</t>
        </is>
      </c>
      <c r="G27" s="6" t="n"/>
      <c r="H27" s="6" t="n"/>
      <c r="I27" s="7">
        <f>IF(G27="","",G27*(1+H27/100))</f>
        <v/>
      </c>
      <c r="J27" s="6" t="n"/>
      <c r="K27" s="6" t="n"/>
      <c r="L27" s="8" t="n"/>
      <c r="M27" s="8" t="n"/>
      <c r="N27" s="8" t="n"/>
      <c r="O27" s="8" t="n"/>
      <c r="P27" s="8" t="n"/>
      <c r="Q27" s="8">
        <f>IF(OR(O27="",P27=""),"",MIN(O27,P27)-N27)</f>
        <v/>
      </c>
      <c r="R27" s="6" t="n"/>
      <c r="S27" s="6" t="n"/>
      <c r="T27" s="6" t="n"/>
      <c r="U27" s="6" t="n"/>
      <c r="V27" s="6" t="n"/>
      <c r="W27" s="6" t="n"/>
      <c r="X27" s="6" t="n"/>
      <c r="Y27" s="6" t="n"/>
      <c r="Z27" s="6" t="inlineStr"/>
    </row>
    <row r="28">
      <c r="A28" s="6" t="inlineStr">
        <is>
          <t>FN-024</t>
        </is>
      </c>
      <c r="B28" s="6" t="inlineStr">
        <is>
          <t>미니픽스</t>
        </is>
      </c>
      <c r="C28" s="6" t="inlineStr">
        <is>
          <t>—</t>
        </is>
      </c>
      <c r="D28" s="6" t="inlineStr">
        <is>
          <t>암수 체결 부속</t>
        </is>
      </c>
      <c r="E28" s="6" t="inlineStr">
        <is>
          <t>필수</t>
        </is>
      </c>
      <c r="F28" s="6" t="inlineStr">
        <is>
          <t>세트</t>
        </is>
      </c>
      <c r="G28" s="6" t="n"/>
      <c r="H28" s="6" t="n"/>
      <c r="I28" s="7">
        <f>IF(G28="","",G28*(1+H28/100))</f>
        <v/>
      </c>
      <c r="J28" s="6" t="n"/>
      <c r="K28" s="6" t="n"/>
      <c r="L28" s="8" t="n"/>
      <c r="M28" s="8" t="n"/>
      <c r="N28" s="8" t="n"/>
      <c r="O28" s="8" t="n"/>
      <c r="P28" s="8" t="n"/>
      <c r="Q28" s="8">
        <f>IF(OR(O28="",P28=""),"",MIN(O28,P28)-N28)</f>
        <v/>
      </c>
      <c r="R28" s="6" t="n"/>
      <c r="S28" s="6" t="n"/>
      <c r="T28" s="6" t="n"/>
      <c r="U28" s="6" t="n"/>
      <c r="V28" s="6" t="n"/>
      <c r="W28" s="6" t="n"/>
      <c r="X28" s="6" t="n"/>
      <c r="Y28" s="6" t="n"/>
      <c r="Z28" s="6" t="inlineStr"/>
    </row>
    <row r="29">
      <c r="A29" s="6" t="inlineStr">
        <is>
          <t>FN-025</t>
        </is>
      </c>
      <c r="B29" s="6" t="inlineStr">
        <is>
          <t>라멜로 Tenso</t>
        </is>
      </c>
      <c r="C29" s="6" t="inlineStr">
        <is>
          <t>P-14</t>
        </is>
      </c>
      <c r="D29" s="6" t="inlineStr">
        <is>
          <t>무결점 조립 (철물 비노출)</t>
        </is>
      </c>
      <c r="E29" s="6" t="inlineStr">
        <is>
          <t>선택</t>
        </is>
      </c>
      <c r="F29" s="6" t="inlineStr">
        <is>
          <t>세트</t>
        </is>
      </c>
      <c r="G29" s="6" t="n"/>
      <c r="H29" s="6" t="n"/>
      <c r="I29" s="7">
        <f>IF(G29="","",G29*(1+H29/100))</f>
        <v/>
      </c>
      <c r="J29" s="6" t="n"/>
      <c r="K29" s="6" t="n"/>
      <c r="L29" s="8" t="n"/>
      <c r="M29" s="8" t="n"/>
      <c r="N29" s="8" t="n"/>
      <c r="O29" s="8" t="n"/>
      <c r="P29" s="8" t="n"/>
      <c r="Q29" s="8">
        <f>IF(OR(O29="",P29=""),"",MIN(O29,P29)-N29)</f>
        <v/>
      </c>
      <c r="R29" s="6" t="n"/>
      <c r="S29" s="6" t="n"/>
      <c r="T29" s="6" t="n"/>
      <c r="U29" s="6" t="n"/>
      <c r="V29" s="6" t="n"/>
      <c r="W29" s="6" t="n"/>
      <c r="X29" s="6" t="n"/>
      <c r="Y29" s="6" t="n"/>
      <c r="Z29" s="6" t="inlineStr"/>
    </row>
    <row r="30">
      <c r="A30" s="6" t="inlineStr">
        <is>
          <t>FN-026</t>
        </is>
      </c>
      <c r="B30" s="6" t="inlineStr">
        <is>
          <t>피스(나사)</t>
        </is>
      </c>
      <c r="C30" s="6" t="inlineStr">
        <is>
          <t>—</t>
        </is>
      </c>
      <c r="D30" s="6" t="inlineStr">
        <is>
          <t>가구 체결</t>
        </is>
      </c>
      <c r="E30" s="6" t="inlineStr">
        <is>
          <t>필수</t>
        </is>
      </c>
      <c r="F30" s="6" t="inlineStr">
        <is>
          <t>박스</t>
        </is>
      </c>
      <c r="G30" s="6" t="n"/>
      <c r="H30" s="6" t="n"/>
      <c r="I30" s="7">
        <f>IF(G30="","",G30*(1+H30/100))</f>
        <v/>
      </c>
      <c r="J30" s="6" t="n"/>
      <c r="K30" s="6" t="n"/>
      <c r="L30" s="8" t="n"/>
      <c r="M30" s="8" t="n"/>
      <c r="N30" s="8" t="n"/>
      <c r="O30" s="8" t="n"/>
      <c r="P30" s="8" t="n"/>
      <c r="Q30" s="8">
        <f>IF(OR(O30="",P30=""),"",MIN(O30,P30)-N30)</f>
        <v/>
      </c>
      <c r="R30" s="6" t="n"/>
      <c r="S30" s="6" t="n"/>
      <c r="T30" s="6" t="n"/>
      <c r="U30" s="6" t="n"/>
      <c r="V30" s="6" t="n"/>
      <c r="W30" s="6" t="n"/>
      <c r="X30" s="6" t="n"/>
      <c r="Y30" s="6" t="n"/>
      <c r="Z30" s="6" t="inlineStr"/>
    </row>
    <row r="31">
      <c r="A31" s="6" t="inlineStr">
        <is>
          <t>FN-027</t>
        </is>
      </c>
      <c r="B31" s="6" t="inlineStr">
        <is>
          <t>피스 마감 스티커</t>
        </is>
      </c>
      <c r="C31" s="6" t="inlineStr">
        <is>
          <t>—</t>
        </is>
      </c>
      <c r="D31" s="6" t="inlineStr">
        <is>
          <t>나사 구멍 은폐</t>
        </is>
      </c>
      <c r="E31" s="6" t="inlineStr">
        <is>
          <t>필수</t>
        </is>
      </c>
      <c r="F31" s="6" t="inlineStr">
        <is>
          <t>시트</t>
        </is>
      </c>
      <c r="G31" s="6" t="n"/>
      <c r="H31" s="6" t="n"/>
      <c r="I31" s="7">
        <f>IF(G31="","",G31*(1+H31/100))</f>
        <v/>
      </c>
      <c r="J31" s="6" t="n"/>
      <c r="K31" s="6" t="n"/>
      <c r="L31" s="8" t="n"/>
      <c r="M31" s="8" t="n"/>
      <c r="N31" s="8" t="n"/>
      <c r="O31" s="8" t="n"/>
      <c r="P31" s="8" t="n"/>
      <c r="Q31" s="8">
        <f>IF(OR(O31="",P31=""),"",MIN(O31,P31)-N31)</f>
        <v/>
      </c>
      <c r="R31" s="6" t="n"/>
      <c r="S31" s="6" t="n"/>
      <c r="T31" s="6" t="n"/>
      <c r="U31" s="6" t="n"/>
      <c r="V31" s="6" t="n"/>
      <c r="W31" s="6" t="n"/>
      <c r="X31" s="6" t="n"/>
      <c r="Y31" s="6" t="n"/>
      <c r="Z31" s="6" t="inlineStr"/>
    </row>
    <row r="32">
      <c r="A32" s="6" t="inlineStr">
        <is>
          <t>FN-028</t>
        </is>
      </c>
      <c r="B32" s="6" t="inlineStr">
        <is>
          <t>양날 못</t>
        </is>
      </c>
      <c r="C32" s="6" t="inlineStr">
        <is>
          <t>—</t>
        </is>
      </c>
      <c r="D32" s="6" t="inlineStr">
        <is>
          <t>유닛 결합</t>
        </is>
      </c>
      <c r="E32" s="6" t="inlineStr">
        <is>
          <t>필수</t>
        </is>
      </c>
      <c r="F32" s="6" t="inlineStr">
        <is>
          <t>박스</t>
        </is>
      </c>
      <c r="G32" s="6" t="n"/>
      <c r="H32" s="6" t="n"/>
      <c r="I32" s="7">
        <f>IF(G32="","",G32*(1+H32/100))</f>
        <v/>
      </c>
      <c r="J32" s="6" t="n"/>
      <c r="K32" s="6" t="n"/>
      <c r="L32" s="8" t="n"/>
      <c r="M32" s="8" t="n"/>
      <c r="N32" s="8" t="n"/>
      <c r="O32" s="8" t="n"/>
      <c r="P32" s="8" t="n"/>
      <c r="Q32" s="8">
        <f>IF(OR(O32="",P32=""),"",MIN(O32,P32)-N32)</f>
        <v/>
      </c>
      <c r="R32" s="6" t="n"/>
      <c r="S32" s="6" t="n"/>
      <c r="T32" s="6" t="n"/>
      <c r="U32" s="6" t="n"/>
      <c r="V32" s="6" t="n"/>
      <c r="W32" s="6" t="n"/>
      <c r="X32" s="6" t="n"/>
      <c r="Y32" s="6" t="n"/>
      <c r="Z32" s="6" t="inlineStr">
        <is>
          <t>핫멜트·실리콘 보완</t>
        </is>
      </c>
    </row>
    <row r="33">
      <c r="A33" s="6" t="inlineStr">
        <is>
          <t>FN-029</t>
        </is>
      </c>
      <c r="B33" s="6" t="inlineStr">
        <is>
          <t>실리콘</t>
        </is>
      </c>
      <c r="C33" s="6" t="inlineStr">
        <is>
          <t>—</t>
        </is>
      </c>
      <c r="D33" s="6" t="inlineStr">
        <is>
          <t>가구-벽 접합 마감</t>
        </is>
      </c>
      <c r="E33" s="6" t="inlineStr">
        <is>
          <t>필수</t>
        </is>
      </c>
      <c r="F33" s="6" t="inlineStr">
        <is>
          <t>개</t>
        </is>
      </c>
      <c r="G33" s="6" t="n"/>
      <c r="H33" s="6" t="n"/>
      <c r="I33" s="7">
        <f>IF(G33="","",G33*(1+H33/100))</f>
        <v/>
      </c>
      <c r="J33" s="6" t="n"/>
      <c r="K33" s="6" t="n"/>
      <c r="L33" s="8" t="n"/>
      <c r="M33" s="8" t="n"/>
      <c r="N33" s="8" t="n"/>
      <c r="O33" s="8" t="n"/>
      <c r="P33" s="8" t="n"/>
      <c r="Q33" s="8">
        <f>IF(OR(O33="",P33=""),"",MIN(O33,P33)-N33)</f>
        <v/>
      </c>
      <c r="R33" s="6" t="n"/>
      <c r="S33" s="6" t="n"/>
      <c r="T33" s="6" t="n"/>
      <c r="U33" s="6" t="n"/>
      <c r="V33" s="6" t="n"/>
      <c r="W33" s="6" t="n"/>
      <c r="X33" s="6" t="n"/>
      <c r="Y33" s="6" t="n"/>
      <c r="Z33" s="6" t="inlineStr"/>
    </row>
    <row r="34">
      <c r="A34" s="6" t="inlineStr">
        <is>
          <t>FN-030</t>
        </is>
      </c>
      <c r="B34" s="6" t="inlineStr">
        <is>
          <t>금속 레벨러</t>
        </is>
      </c>
      <c r="C34" s="6" t="inlineStr">
        <is>
          <t>—</t>
        </is>
      </c>
      <c r="D34" s="6" t="inlineStr">
        <is>
          <t>가구 수평 조정</t>
        </is>
      </c>
      <c r="E34" s="6" t="inlineStr">
        <is>
          <t>필수</t>
        </is>
      </c>
      <c r="F34" s="6" t="inlineStr">
        <is>
          <t>개</t>
        </is>
      </c>
      <c r="G34" s="6" t="n"/>
      <c r="H34" s="6" t="n"/>
      <c r="I34" s="7">
        <f>IF(G34="","",G34*(1+H34/100))</f>
        <v/>
      </c>
      <c r="J34" s="6" t="n"/>
      <c r="K34" s="6" t="n"/>
      <c r="L34" s="8" t="n"/>
      <c r="M34" s="8" t="n"/>
      <c r="N34" s="8" t="n"/>
      <c r="O34" s="8" t="n"/>
      <c r="P34" s="8" t="n"/>
      <c r="Q34" s="8">
        <f>IF(OR(O34="",P34=""),"",MIN(O34,P34)-N34)</f>
        <v/>
      </c>
      <c r="R34" s="6" t="n"/>
      <c r="S34" s="6" t="n"/>
      <c r="T34" s="6" t="n"/>
      <c r="U34" s="6" t="n"/>
      <c r="V34" s="6" t="n"/>
      <c r="W34" s="6" t="n"/>
      <c r="X34" s="6" t="n"/>
      <c r="Y34" s="6" t="n"/>
      <c r="Z34" s="6" t="inlineStr"/>
    </row>
    <row r="35">
      <c r="A35" s="6" t="inlineStr">
        <is>
          <t>FN-031</t>
        </is>
      </c>
      <c r="B35" s="6" t="inlineStr">
        <is>
          <t>보강목</t>
        </is>
      </c>
      <c r="C35" s="6" t="inlineStr">
        <is>
          <t>—</t>
        </is>
      </c>
      <c r="D35" s="6" t="inlineStr">
        <is>
          <t>좌대·하중 분산</t>
        </is>
      </c>
      <c r="E35" s="6" t="inlineStr">
        <is>
          <t>필수</t>
        </is>
      </c>
      <c r="F35" s="6" t="inlineStr">
        <is>
          <t>m</t>
        </is>
      </c>
      <c r="G35" s="6" t="n"/>
      <c r="H35" s="6" t="n"/>
      <c r="I35" s="7">
        <f>IF(G35="","",G35*(1+H35/100))</f>
        <v/>
      </c>
      <c r="J35" s="6" t="n"/>
      <c r="K35" s="6" t="n"/>
      <c r="L35" s="8" t="n"/>
      <c r="M35" s="8" t="n"/>
      <c r="N35" s="8" t="n"/>
      <c r="O35" s="8" t="n"/>
      <c r="P35" s="8" t="n"/>
      <c r="Q35" s="8">
        <f>IF(OR(O35="",P35=""),"",MIN(O35,P35)-N35)</f>
        <v/>
      </c>
      <c r="R35" s="6" t="n"/>
      <c r="S35" s="6" t="n"/>
      <c r="T35" s="6" t="n"/>
      <c r="U35" s="6" t="n"/>
      <c r="V35" s="6" t="n"/>
      <c r="W35" s="6" t="n"/>
      <c r="X35" s="6" t="n"/>
      <c r="Y35" s="6" t="n"/>
      <c r="Z35" s="6" t="inlineStr"/>
    </row>
    <row r="36">
      <c r="A36" s="6" t="inlineStr">
        <is>
          <t>FN-032</t>
        </is>
      </c>
      <c r="B36" s="6" t="inlineStr">
        <is>
          <t>우라판</t>
        </is>
      </c>
      <c r="C36" s="6" t="inlineStr">
        <is>
          <t>3~4.5T</t>
        </is>
      </c>
      <c r="D36" s="6" t="inlineStr">
        <is>
          <t>가구 뒷판</t>
        </is>
      </c>
      <c r="E36" s="6" t="inlineStr">
        <is>
          <t>필수</t>
        </is>
      </c>
      <c r="F36" s="6" t="inlineStr">
        <is>
          <t>장</t>
        </is>
      </c>
      <c r="G36" s="6" t="n"/>
      <c r="H36" s="6" t="n"/>
      <c r="I36" s="7">
        <f>IF(G36="","",G36*(1+H36/100))</f>
        <v/>
      </c>
      <c r="J36" s="6" t="n"/>
      <c r="K36" s="6" t="n"/>
      <c r="L36" s="8" t="n"/>
      <c r="M36" s="8" t="n"/>
      <c r="N36" s="8" t="n"/>
      <c r="O36" s="8" t="n"/>
      <c r="P36" s="8" t="n"/>
      <c r="Q36" s="8">
        <f>IF(OR(O36="",P36=""),"",MIN(O36,P36)-N36)</f>
        <v/>
      </c>
      <c r="R36" s="6" t="n"/>
      <c r="S36" s="6" t="n"/>
      <c r="T36" s="6" t="n"/>
      <c r="U36" s="6" t="n"/>
      <c r="V36" s="6" t="n"/>
      <c r="W36" s="6" t="n"/>
      <c r="X36" s="6" t="n"/>
      <c r="Y36" s="6" t="n"/>
      <c r="Z36" s="6" t="inlineStr"/>
    </row>
    <row r="37">
      <c r="A37" s="6" t="inlineStr">
        <is>
          <t>FN-033</t>
        </is>
      </c>
      <c r="B37" s="6" t="inlineStr">
        <is>
          <t>30각 금속 파이프</t>
        </is>
      </c>
      <c r="C37" s="6" t="inlineStr">
        <is>
          <t>—</t>
        </is>
      </c>
      <c r="D37" s="6" t="inlineStr">
        <is>
          <t>상·하부장 하중 분산</t>
        </is>
      </c>
      <c r="E37" s="6" t="inlineStr">
        <is>
          <t>선택</t>
        </is>
      </c>
      <c r="F37" s="6" t="inlineStr">
        <is>
          <t>m</t>
        </is>
      </c>
      <c r="G37" s="6" t="n"/>
      <c r="H37" s="6" t="n"/>
      <c r="I37" s="7">
        <f>IF(G37="","",G37*(1+H37/100))</f>
        <v/>
      </c>
      <c r="J37" s="6" t="n"/>
      <c r="K37" s="6" t="n"/>
      <c r="L37" s="8" t="n"/>
      <c r="M37" s="8" t="n"/>
      <c r="N37" s="8" t="n"/>
      <c r="O37" s="8" t="n"/>
      <c r="P37" s="8" t="n"/>
      <c r="Q37" s="8">
        <f>IF(OR(O37="",P37=""),"",MIN(O37,P37)-N37)</f>
        <v/>
      </c>
      <c r="R37" s="6" t="n"/>
      <c r="S37" s="6" t="n"/>
      <c r="T37" s="6" t="n"/>
      <c r="U37" s="6" t="n"/>
      <c r="V37" s="6" t="n"/>
      <c r="W37" s="6" t="n"/>
      <c r="X37" s="6" t="n"/>
      <c r="Y37" s="6" t="n"/>
      <c r="Z37" s="6" t="inlineStr"/>
    </row>
    <row r="38">
      <c r="A38" s="6" t="inlineStr">
        <is>
          <t>FN-034</t>
        </is>
      </c>
      <c r="B38" s="6" t="inlineStr">
        <is>
          <t>알루미늄 마감 바</t>
        </is>
      </c>
      <c r="C38" s="6" t="inlineStr">
        <is>
          <t>—</t>
        </is>
      </c>
      <c r="D38" s="6" t="inlineStr">
        <is>
          <t>선반 휨 방지</t>
        </is>
      </c>
      <c r="E38" s="6" t="inlineStr">
        <is>
          <t>선택</t>
        </is>
      </c>
      <c r="F38" s="6" t="inlineStr">
        <is>
          <t>m</t>
        </is>
      </c>
      <c r="G38" s="6" t="n"/>
      <c r="H38" s="6" t="n"/>
      <c r="I38" s="7">
        <f>IF(G38="","",G38*(1+H38/100))</f>
        <v/>
      </c>
      <c r="J38" s="6" t="n"/>
      <c r="K38" s="6" t="n"/>
      <c r="L38" s="8" t="n"/>
      <c r="M38" s="8" t="n"/>
      <c r="N38" s="8" t="n"/>
      <c r="O38" s="8" t="n"/>
      <c r="P38" s="8" t="n"/>
      <c r="Q38" s="8">
        <f>IF(OR(O38="",P38=""),"",MIN(O38,P38)-N38)</f>
        <v/>
      </c>
      <c r="R38" s="6" t="n"/>
      <c r="S38" s="6" t="n"/>
      <c r="T38" s="6" t="n"/>
      <c r="U38" s="6" t="n"/>
      <c r="V38" s="6" t="n"/>
      <c r="W38" s="6" t="n"/>
      <c r="X38" s="6" t="n"/>
      <c r="Y38" s="6" t="n"/>
      <c r="Z38" s="6" t="inlineStr"/>
    </row>
    <row r="39">
      <c r="A39" s="6" t="inlineStr">
        <is>
          <t>FN-035</t>
        </is>
      </c>
      <c r="B39" s="6" t="inlineStr">
        <is>
          <t>칸스톤/세라믹 상판</t>
        </is>
      </c>
      <c r="C39" s="6" t="inlineStr">
        <is>
          <t>—</t>
        </is>
      </c>
      <c r="D39" s="6" t="inlineStr">
        <is>
          <t>프리미엄 가구 상판</t>
        </is>
      </c>
      <c r="E39" s="6" t="inlineStr">
        <is>
          <t>선택</t>
        </is>
      </c>
      <c r="F39" s="6" t="inlineStr">
        <is>
          <t>장</t>
        </is>
      </c>
      <c r="G39" s="6" t="n"/>
      <c r="H39" s="6" t="n"/>
      <c r="I39" s="7">
        <f>IF(G39="","",G39*(1+H39/100))</f>
        <v/>
      </c>
      <c r="J39" s="6" t="n"/>
      <c r="K39" s="6" t="n"/>
      <c r="L39" s="8" t="n"/>
      <c r="M39" s="8" t="n"/>
      <c r="N39" s="8" t="n"/>
      <c r="O39" s="8" t="n"/>
      <c r="P39" s="8" t="n"/>
      <c r="Q39" s="8">
        <f>IF(OR(O39="",P39=""),"",MIN(O39,P39)-N39)</f>
        <v/>
      </c>
      <c r="R39" s="6" t="n"/>
      <c r="S39" s="6" t="n"/>
      <c r="T39" s="6" t="n"/>
      <c r="U39" s="6" t="n"/>
      <c r="V39" s="6" t="n"/>
      <c r="W39" s="6" t="n"/>
      <c r="X39" s="6" t="n"/>
      <c r="Y39" s="6" t="n"/>
      <c r="Z39" s="6" t="inlineStr"/>
    </row>
    <row r="40">
      <c r="A40" s="6" t="inlineStr">
        <is>
          <t>FN-036</t>
        </is>
      </c>
      <c r="B40" s="6" t="inlineStr">
        <is>
          <t>싱크대 상판</t>
        </is>
      </c>
      <c r="C40" s="6" t="inlineStr">
        <is>
          <t>—</t>
        </is>
      </c>
      <c r="D40" s="6" t="inlineStr">
        <is>
          <t>주방 상판</t>
        </is>
      </c>
      <c r="E40" s="6" t="inlineStr">
        <is>
          <t>필수</t>
        </is>
      </c>
      <c r="F40" s="6" t="inlineStr">
        <is>
          <t>장</t>
        </is>
      </c>
      <c r="G40" s="6" t="n"/>
      <c r="H40" s="6" t="n"/>
      <c r="I40" s="7">
        <f>IF(G40="","",G40*(1+H40/100))</f>
        <v/>
      </c>
      <c r="J40" s="6" t="n"/>
      <c r="K40" s="6" t="n"/>
      <c r="L40" s="8" t="n"/>
      <c r="M40" s="8" t="n"/>
      <c r="N40" s="8" t="n"/>
      <c r="O40" s="8" t="n"/>
      <c r="P40" s="8" t="n"/>
      <c r="Q40" s="8">
        <f>IF(OR(O40="",P40=""),"",MIN(O40,P40)-N40)</f>
        <v/>
      </c>
      <c r="R40" s="6" t="n"/>
      <c r="S40" s="6" t="n"/>
      <c r="T40" s="6" t="n"/>
      <c r="U40" s="6" t="n"/>
      <c r="V40" s="6" t="n"/>
      <c r="W40" s="6" t="n"/>
      <c r="X40" s="6" t="n"/>
      <c r="Y40" s="6" t="n"/>
      <c r="Z40" s="6" t="inlineStr"/>
    </row>
    <row r="41">
      <c r="A41" s="6" t="inlineStr">
        <is>
          <t>FN-037</t>
        </is>
      </c>
      <c r="B41" s="6" t="inlineStr">
        <is>
          <t>싱크볼</t>
        </is>
      </c>
      <c r="C41" s="6" t="inlineStr">
        <is>
          <t>—</t>
        </is>
      </c>
      <c r="D41" s="6" t="inlineStr">
        <is>
          <t>주방 세면 볼</t>
        </is>
      </c>
      <c r="E41" s="6" t="inlineStr">
        <is>
          <t>필수</t>
        </is>
      </c>
      <c r="F41" s="6" t="inlineStr">
        <is>
          <t>개</t>
        </is>
      </c>
      <c r="G41" s="6" t="n"/>
      <c r="H41" s="6" t="n"/>
      <c r="I41" s="7">
        <f>IF(G41="","",G41*(1+H41/100))</f>
        <v/>
      </c>
      <c r="J41" s="6" t="n"/>
      <c r="K41" s="6" t="n"/>
      <c r="L41" s="8" t="n"/>
      <c r="M41" s="8" t="n"/>
      <c r="N41" s="8" t="n"/>
      <c r="O41" s="8" t="n"/>
      <c r="P41" s="8" t="n"/>
      <c r="Q41" s="8">
        <f>IF(OR(O41="",P41=""),"",MIN(O41,P41)-N41)</f>
        <v/>
      </c>
      <c r="R41" s="6" t="n"/>
      <c r="S41" s="6" t="n"/>
      <c r="T41" s="6" t="n"/>
      <c r="U41" s="6" t="n"/>
      <c r="V41" s="6" t="n"/>
      <c r="W41" s="6" t="n"/>
      <c r="X41" s="6" t="n"/>
      <c r="Y41" s="6" t="n"/>
      <c r="Z41" s="6" t="inlineStr"/>
    </row>
    <row r="42">
      <c r="A42" s="6" t="inlineStr">
        <is>
          <t>FN-038</t>
        </is>
      </c>
      <c r="B42" s="6" t="inlineStr">
        <is>
          <t>패턴유리</t>
        </is>
      </c>
      <c r="C42" s="6" t="inlineStr">
        <is>
          <t>하임글라스</t>
        </is>
      </c>
      <c r="D42" s="6" t="inlineStr">
        <is>
          <t>최대 2400mm</t>
        </is>
      </c>
      <c r="E42" s="6" t="inlineStr">
        <is>
          <t>선택</t>
        </is>
      </c>
      <c r="F42" s="6" t="inlineStr">
        <is>
          <t>장</t>
        </is>
      </c>
      <c r="G42" s="6" t="n"/>
      <c r="H42" s="6" t="n"/>
      <c r="I42" s="7">
        <f>IF(G42="","",G42*(1+H42/100))</f>
        <v/>
      </c>
      <c r="J42" s="6" t="n"/>
      <c r="K42" s="6" t="n"/>
      <c r="L42" s="8" t="n"/>
      <c r="M42" s="8" t="n"/>
      <c r="N42" s="8" t="n"/>
      <c r="O42" s="8" t="n"/>
      <c r="P42" s="8" t="n"/>
      <c r="Q42" s="8">
        <f>IF(OR(O42="",P42=""),"",MIN(O42,P42)-N42)</f>
        <v/>
      </c>
      <c r="R42" s="6" t="n"/>
      <c r="S42" s="6" t="n"/>
      <c r="T42" s="6" t="n"/>
      <c r="U42" s="6" t="n"/>
      <c r="V42" s="6" t="n"/>
      <c r="W42" s="6" t="n"/>
      <c r="X42" s="6" t="n"/>
      <c r="Y42" s="6" t="n"/>
      <c r="Z42" s="6" t="inlineStr"/>
    </row>
    <row r="43">
      <c r="A43" s="6" t="inlineStr">
        <is>
          <t>FN-039</t>
        </is>
      </c>
      <c r="B43" s="6" t="inlineStr">
        <is>
          <t>통풍 그릴</t>
        </is>
      </c>
      <c r="C43" s="6" t="inlineStr">
        <is>
          <t>—</t>
        </is>
      </c>
      <c r="D43" s="6" t="inlineStr">
        <is>
          <t>빌트인 냉장고 열 순환</t>
        </is>
      </c>
      <c r="E43" s="6" t="inlineStr">
        <is>
          <t>선택</t>
        </is>
      </c>
      <c r="F43" s="6" t="inlineStr">
        <is>
          <t>개</t>
        </is>
      </c>
      <c r="G43" s="6" t="n"/>
      <c r="H43" s="6" t="n"/>
      <c r="I43" s="7">
        <f>IF(G43="","",G43*(1+H43/100))</f>
        <v/>
      </c>
      <c r="J43" s="6" t="n"/>
      <c r="K43" s="6" t="n"/>
      <c r="L43" s="8" t="n"/>
      <c r="M43" s="8" t="n"/>
      <c r="N43" s="8" t="n"/>
      <c r="O43" s="8" t="n"/>
      <c r="P43" s="8" t="n"/>
      <c r="Q43" s="8">
        <f>IF(OR(O43="",P43=""),"",MIN(O43,P43)-N43)</f>
        <v/>
      </c>
      <c r="R43" s="6" t="n"/>
      <c r="S43" s="6" t="n"/>
      <c r="T43" s="6" t="n"/>
      <c r="U43" s="6" t="n"/>
      <c r="V43" s="6" t="n"/>
      <c r="W43" s="6" t="n"/>
      <c r="X43" s="6" t="n"/>
      <c r="Y43" s="6" t="n"/>
      <c r="Z43" s="6" t="inlineStr"/>
    </row>
    <row r="44">
      <c r="A44" s="6" t="inlineStr">
        <is>
          <t>FN-040</t>
        </is>
      </c>
      <c r="B44" s="6" t="inlineStr">
        <is>
          <t>전복 방지 브라켓</t>
        </is>
      </c>
      <c r="C44" s="6" t="inlineStr">
        <is>
          <t>—</t>
        </is>
      </c>
      <c r="D44" s="6" t="inlineStr">
        <is>
          <t>컬럼 냉장고 고정</t>
        </is>
      </c>
      <c r="E44" s="6" t="inlineStr">
        <is>
          <t>선택</t>
        </is>
      </c>
      <c r="F44" s="6" t="inlineStr">
        <is>
          <t>개</t>
        </is>
      </c>
      <c r="G44" s="6" t="n"/>
      <c r="H44" s="6" t="n"/>
      <c r="I44" s="7">
        <f>IF(G44="","",G44*(1+H44/100))</f>
        <v/>
      </c>
      <c r="J44" s="6" t="n"/>
      <c r="K44" s="6" t="n"/>
      <c r="L44" s="8" t="n"/>
      <c r="M44" s="8" t="n"/>
      <c r="N44" s="8" t="n"/>
      <c r="O44" s="8" t="n"/>
      <c r="P44" s="8" t="n"/>
      <c r="Q44" s="8">
        <f>IF(OR(O44="",P44=""),"",MIN(O44,P44)-N44)</f>
        <v/>
      </c>
      <c r="R44" s="6" t="n"/>
      <c r="S44" s="6" t="n"/>
      <c r="T44" s="6" t="n"/>
      <c r="U44" s="6" t="n"/>
      <c r="V44" s="6" t="n"/>
      <c r="W44" s="6" t="n"/>
      <c r="X44" s="6" t="n"/>
      <c r="Y44" s="6" t="n"/>
      <c r="Z44" s="6" t="inlineStr"/>
    </row>
    <row r="45">
      <c r="A45" s="6" t="inlineStr">
        <is>
          <t>FN-041</t>
        </is>
      </c>
      <c r="B45" s="6" t="inlineStr">
        <is>
          <t>매립 LED 바</t>
        </is>
      </c>
      <c r="C45" s="6" t="inlineStr">
        <is>
          <t>빗각 프로파일</t>
        </is>
      </c>
      <c r="D45" s="6" t="inlineStr">
        <is>
          <t>다크톤 내부 조명</t>
        </is>
      </c>
      <c r="E45" s="6" t="inlineStr">
        <is>
          <t>선택</t>
        </is>
      </c>
      <c r="F45" s="6" t="inlineStr">
        <is>
          <t>m</t>
        </is>
      </c>
      <c r="G45" s="6" t="n"/>
      <c r="H45" s="6" t="n"/>
      <c r="I45" s="7">
        <f>IF(G45="","",G45*(1+H45/100))</f>
        <v/>
      </c>
      <c r="J45" s="6" t="n"/>
      <c r="K45" s="6" t="n"/>
      <c r="L45" s="8" t="n"/>
      <c r="M45" s="8" t="n"/>
      <c r="N45" s="8" t="n"/>
      <c r="O45" s="8" t="n"/>
      <c r="P45" s="8" t="n"/>
      <c r="Q45" s="8">
        <f>IF(OR(O45="",P45=""),"",MIN(O45,P45)-N45)</f>
        <v/>
      </c>
      <c r="R45" s="6" t="n"/>
      <c r="S45" s="6" t="n"/>
      <c r="T45" s="6" t="n"/>
      <c r="U45" s="6" t="n"/>
      <c r="V45" s="6" t="n"/>
      <c r="W45" s="6" t="n"/>
      <c r="X45" s="6" t="n"/>
      <c r="Y45" s="6" t="n"/>
      <c r="Z45" s="6" t="inlineStr"/>
    </row>
    <row r="46">
      <c r="A46" s="6" t="inlineStr">
        <is>
          <t>FN-042</t>
        </is>
      </c>
      <c r="B46" s="6" t="inlineStr">
        <is>
          <t>조색 실리콘</t>
        </is>
      </c>
      <c r="C46" s="6" t="inlineStr">
        <is>
          <t>—</t>
        </is>
      </c>
      <c r="D46" s="6" t="inlineStr">
        <is>
          <t>마감재 색상 맞춤</t>
        </is>
      </c>
      <c r="E46" s="6" t="inlineStr">
        <is>
          <t>필수</t>
        </is>
      </c>
      <c r="F46" s="6" t="inlineStr">
        <is>
          <t>개</t>
        </is>
      </c>
      <c r="G46" s="6" t="n"/>
      <c r="H46" s="6" t="n"/>
      <c r="I46" s="7">
        <f>IF(G46="","",G46*(1+H46/100))</f>
        <v/>
      </c>
      <c r="J46" s="6" t="n"/>
      <c r="K46" s="6" t="n"/>
      <c r="L46" s="8" t="n"/>
      <c r="M46" s="8" t="n"/>
      <c r="N46" s="8" t="n"/>
      <c r="O46" s="8" t="n"/>
      <c r="P46" s="8" t="n"/>
      <c r="Q46" s="8">
        <f>IF(OR(O46="",P46=""),"",MIN(O46,P46)-N46)</f>
        <v/>
      </c>
      <c r="R46" s="6" t="n"/>
      <c r="S46" s="6" t="n"/>
      <c r="T46" s="6" t="n"/>
      <c r="U46" s="6" t="n"/>
      <c r="V46" s="6" t="n"/>
      <c r="W46" s="6" t="n"/>
      <c r="X46" s="6" t="n"/>
      <c r="Y46" s="6" t="n"/>
      <c r="Z46" s="6" t="inlineStr"/>
    </row>
    <row r="47">
      <c r="A47" s="6" t="inlineStr">
        <is>
          <t>FN-043</t>
        </is>
      </c>
      <c r="B47" s="6" t="inlineStr">
        <is>
          <t>울트라보드/W보드</t>
        </is>
      </c>
      <c r="C47" s="6" t="inlineStr">
        <is>
          <t>—</t>
        </is>
      </c>
      <c r="D47" s="6" t="inlineStr">
        <is>
          <t>욕실 전용 방수 판재</t>
        </is>
      </c>
      <c r="E47" s="6" t="inlineStr">
        <is>
          <t>선택</t>
        </is>
      </c>
      <c r="F47" s="6" t="inlineStr">
        <is>
          <t>장</t>
        </is>
      </c>
      <c r="G47" s="6" t="n"/>
      <c r="H47" s="6" t="n"/>
      <c r="I47" s="7">
        <f>IF(G47="","",G47*(1+H47/100))</f>
        <v/>
      </c>
      <c r="J47" s="6" t="n"/>
      <c r="K47" s="6" t="n"/>
      <c r="L47" s="8" t="n"/>
      <c r="M47" s="8" t="n"/>
      <c r="N47" s="8" t="n"/>
      <c r="O47" s="8" t="n"/>
      <c r="P47" s="8" t="n"/>
      <c r="Q47" s="8">
        <f>IF(OR(O47="",P47=""),"",MIN(O47,P47)-N47)</f>
        <v/>
      </c>
      <c r="R47" s="6" t="n"/>
      <c r="S47" s="6" t="n"/>
      <c r="T47" s="6" t="n"/>
      <c r="U47" s="6" t="n"/>
      <c r="V47" s="6" t="n"/>
      <c r="W47" s="6" t="n"/>
      <c r="X47" s="6" t="n"/>
      <c r="Y47" s="6" t="n"/>
      <c r="Z47" s="6" t="inlineStr"/>
    </row>
    <row r="48">
      <c r="A48" s="6" t="inlineStr">
        <is>
          <t>FN-044</t>
        </is>
      </c>
      <c r="B48" s="6" t="inlineStr">
        <is>
          <t>헤펠레 Axilo 레벨러</t>
        </is>
      </c>
      <c r="C48" s="6" t="inlineStr">
        <is>
          <t>—</t>
        </is>
      </c>
      <c r="D48" s="6" t="inlineStr">
        <is>
          <t>고하중 다릿발 150kg</t>
        </is>
      </c>
      <c r="E48" s="6" t="inlineStr">
        <is>
          <t>선택</t>
        </is>
      </c>
      <c r="F48" s="6" t="inlineStr">
        <is>
          <t>개</t>
        </is>
      </c>
      <c r="G48" s="6" t="n"/>
      <c r="H48" s="6" t="n"/>
      <c r="I48" s="7">
        <f>IF(G48="","",G48*(1+H48/100))</f>
        <v/>
      </c>
      <c r="J48" s="6" t="n"/>
      <c r="K48" s="6" t="n"/>
      <c r="L48" s="8" t="n"/>
      <c r="M48" s="8" t="n"/>
      <c r="N48" s="8" t="n"/>
      <c r="O48" s="8" t="n"/>
      <c r="P48" s="8" t="n"/>
      <c r="Q48" s="8">
        <f>IF(OR(O48="",P48=""),"",MIN(O48,P48)-N48)</f>
        <v/>
      </c>
      <c r="R48" s="6" t="n"/>
      <c r="S48" s="6" t="n"/>
      <c r="T48" s="6" t="n"/>
      <c r="U48" s="6" t="n"/>
      <c r="V48" s="6" t="n"/>
      <c r="W48" s="6" t="n"/>
      <c r="X48" s="6" t="n"/>
      <c r="Y48" s="6" t="n"/>
      <c r="Z48" s="6" t="inlineStr"/>
    </row>
    <row r="49">
      <c r="A49" s="6" t="inlineStr">
        <is>
          <t>FN-045</t>
        </is>
      </c>
      <c r="B49" s="6" t="inlineStr">
        <is>
          <t>누오미 2단 팬트리</t>
        </is>
      </c>
      <c r="C49" s="6" t="inlineStr">
        <is>
          <t>NUOMI</t>
        </is>
      </c>
      <c r="D49" s="6" t="inlineStr">
        <is>
          <t>하부장 수납</t>
        </is>
      </c>
      <c r="E49" s="6" t="inlineStr">
        <is>
          <t>선택</t>
        </is>
      </c>
      <c r="F49" s="6" t="inlineStr">
        <is>
          <t>세트</t>
        </is>
      </c>
      <c r="G49" s="6" t="n"/>
      <c r="H49" s="6" t="n"/>
      <c r="I49" s="7">
        <f>IF(G49="","",G49*(1+H49/100))</f>
        <v/>
      </c>
      <c r="J49" s="6" t="n"/>
      <c r="K49" s="6" t="n"/>
      <c r="L49" s="8" t="n"/>
      <c r="M49" s="8" t="n"/>
      <c r="N49" s="8" t="n"/>
      <c r="O49" s="8" t="n"/>
      <c r="P49" s="8" t="n"/>
      <c r="Q49" s="8">
        <f>IF(OR(O49="",P49=""),"",MIN(O49,P49)-N49)</f>
        <v/>
      </c>
      <c r="R49" s="6" t="n"/>
      <c r="S49" s="6" t="n"/>
      <c r="T49" s="6" t="n"/>
      <c r="U49" s="6" t="n"/>
      <c r="V49" s="6" t="n"/>
      <c r="W49" s="6" t="n"/>
      <c r="X49" s="6" t="n"/>
      <c r="Y49" s="6" t="n"/>
      <c r="Z49" s="6" t="inlineStr"/>
    </row>
    <row r="50">
      <c r="A50" s="6" t="inlineStr">
        <is>
          <t>FN-046</t>
        </is>
      </c>
      <c r="B50" s="6" t="inlineStr">
        <is>
          <t>분리수거함</t>
        </is>
      </c>
      <c r="C50" s="6" t="inlineStr">
        <is>
          <t>헤펠레</t>
        </is>
      </c>
      <c r="D50" s="6" t="inlineStr">
        <is>
          <t>주방 쓰레기 수납</t>
        </is>
      </c>
      <c r="E50" s="6" t="inlineStr">
        <is>
          <t>선택</t>
        </is>
      </c>
      <c r="F50" s="6" t="inlineStr">
        <is>
          <t>세트</t>
        </is>
      </c>
      <c r="G50" s="6" t="n"/>
      <c r="H50" s="6" t="n"/>
      <c r="I50" s="7">
        <f>IF(G50="","",G50*(1+H50/100))</f>
        <v/>
      </c>
      <c r="J50" s="6" t="n"/>
      <c r="K50" s="6" t="n"/>
      <c r="L50" s="8" t="n"/>
      <c r="M50" s="8" t="n"/>
      <c r="N50" s="8" t="n"/>
      <c r="O50" s="8" t="n"/>
      <c r="P50" s="8" t="n"/>
      <c r="Q50" s="8">
        <f>IF(OR(O50="",P50=""),"",MIN(O50,P50)-N50)</f>
        <v/>
      </c>
      <c r="R50" s="6" t="n"/>
      <c r="S50" s="6" t="n"/>
      <c r="T50" s="6" t="n"/>
      <c r="U50" s="6" t="n"/>
      <c r="V50" s="6" t="n"/>
      <c r="W50" s="6" t="n"/>
      <c r="X50" s="6" t="n"/>
      <c r="Y50" s="6" t="n"/>
      <c r="Z50" s="6" t="inlineStr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10">
        <f>IF(G51="","",G51*(1+H51/100))</f>
        <v/>
      </c>
      <c r="J51" s="9" t="n"/>
      <c r="K51" s="9" t="n"/>
      <c r="L51" s="9" t="n"/>
      <c r="M51" s="9" t="n"/>
      <c r="N51" s="9" t="n"/>
      <c r="O51" s="9" t="n"/>
      <c r="P51" s="9" t="n"/>
      <c r="Q51" s="11">
        <f>IF(OR(O51="",P51=""),"",MIN(O51,P51)-N51)</f>
        <v/>
      </c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10">
        <f>IF(G52="","",G52*(1+H52/100))</f>
        <v/>
      </c>
      <c r="J52" s="9" t="n"/>
      <c r="K52" s="9" t="n"/>
      <c r="L52" s="9" t="n"/>
      <c r="M52" s="9" t="n"/>
      <c r="N52" s="9" t="n"/>
      <c r="O52" s="9" t="n"/>
      <c r="P52" s="9" t="n"/>
      <c r="Q52" s="11">
        <f>IF(OR(O52="",P52=""),"",MIN(O52,P52)-N52)</f>
        <v/>
      </c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10">
        <f>IF(G53="","",G53*(1+H53/100))</f>
        <v/>
      </c>
      <c r="J53" s="9" t="n"/>
      <c r="K53" s="9" t="n"/>
      <c r="L53" s="9" t="n"/>
      <c r="M53" s="9" t="n"/>
      <c r="N53" s="9" t="n"/>
      <c r="O53" s="9" t="n"/>
      <c r="P53" s="9" t="n"/>
      <c r="Q53" s="11">
        <f>IF(OR(O53="",P53=""),"",MIN(O53,P53)-N53)</f>
        <v/>
      </c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10">
        <f>IF(G54="","",G54*(1+H54/100))</f>
        <v/>
      </c>
      <c r="J54" s="9" t="n"/>
      <c r="K54" s="9" t="n"/>
      <c r="L54" s="9" t="n"/>
      <c r="M54" s="9" t="n"/>
      <c r="N54" s="9" t="n"/>
      <c r="O54" s="9" t="n"/>
      <c r="P54" s="9" t="n"/>
      <c r="Q54" s="11">
        <f>IF(OR(O54="",P54=""),"",MIN(O54,P54)-N54)</f>
        <v/>
      </c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10">
        <f>IF(G55="","",G55*(1+H55/100))</f>
        <v/>
      </c>
      <c r="J55" s="9" t="n"/>
      <c r="K55" s="9" t="n"/>
      <c r="L55" s="9" t="n"/>
      <c r="M55" s="9" t="n"/>
      <c r="N55" s="9" t="n"/>
      <c r="O55" s="9" t="n"/>
      <c r="P55" s="9" t="n"/>
      <c r="Q55" s="11">
        <f>IF(OR(O55="",P55=""),"",MIN(O55,P55)-N55)</f>
        <v/>
      </c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10">
        <f>IF(G56="","",G56*(1+H56/100))</f>
        <v/>
      </c>
      <c r="J56" s="9" t="n"/>
      <c r="K56" s="9" t="n"/>
      <c r="L56" s="9" t="n"/>
      <c r="M56" s="9" t="n"/>
      <c r="N56" s="9" t="n"/>
      <c r="O56" s="9" t="n"/>
      <c r="P56" s="9" t="n"/>
      <c r="Q56" s="11">
        <f>IF(OR(O56="",P56=""),"",MIN(O56,P56)-N56)</f>
        <v/>
      </c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10">
        <f>IF(G57="","",G57*(1+H57/100))</f>
        <v/>
      </c>
      <c r="J57" s="9" t="n"/>
      <c r="K57" s="9" t="n"/>
      <c r="L57" s="9" t="n"/>
      <c r="M57" s="9" t="n"/>
      <c r="N57" s="9" t="n"/>
      <c r="O57" s="9" t="n"/>
      <c r="P57" s="9" t="n"/>
      <c r="Q57" s="11">
        <f>IF(OR(O57="",P57=""),"",MIN(O57,P57)-N57)</f>
        <v/>
      </c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10">
        <f>IF(G58="","",G58*(1+H58/100))</f>
        <v/>
      </c>
      <c r="J58" s="9" t="n"/>
      <c r="K58" s="9" t="n"/>
      <c r="L58" s="9" t="n"/>
      <c r="M58" s="9" t="n"/>
      <c r="N58" s="9" t="n"/>
      <c r="O58" s="9" t="n"/>
      <c r="P58" s="9" t="n"/>
      <c r="Q58" s="11">
        <f>IF(OR(O58="",P58=""),"",MIN(O58,P58)-N58)</f>
        <v/>
      </c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10">
        <f>IF(G59="","",G59*(1+H59/100))</f>
        <v/>
      </c>
      <c r="J59" s="9" t="n"/>
      <c r="K59" s="9" t="n"/>
      <c r="L59" s="9" t="n"/>
      <c r="M59" s="9" t="n"/>
      <c r="N59" s="9" t="n"/>
      <c r="O59" s="9" t="n"/>
      <c r="P59" s="9" t="n"/>
      <c r="Q59" s="11">
        <f>IF(OR(O59="",P59=""),"",MIN(O59,P59)-N59)</f>
        <v/>
      </c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10">
        <f>IF(G60="","",G60*(1+H60/100))</f>
        <v/>
      </c>
      <c r="J60" s="9" t="n"/>
      <c r="K60" s="9" t="n"/>
      <c r="L60" s="9" t="n"/>
      <c r="M60" s="9" t="n"/>
      <c r="N60" s="9" t="n"/>
      <c r="O60" s="9" t="n"/>
      <c r="P60" s="9" t="n"/>
      <c r="Q60" s="11">
        <f>IF(OR(O60="",P60=""),"",MIN(O60,P60)-N60)</f>
        <v/>
      </c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10">
        <f>IF(G61="","",G61*(1+H61/100))</f>
        <v/>
      </c>
      <c r="J61" s="9" t="n"/>
      <c r="K61" s="9" t="n"/>
      <c r="L61" s="9" t="n"/>
      <c r="M61" s="9" t="n"/>
      <c r="N61" s="9" t="n"/>
      <c r="O61" s="9" t="n"/>
      <c r="P61" s="9" t="n"/>
      <c r="Q61" s="11">
        <f>IF(OR(O61="",P61=""),"",MIN(O61,P61)-N61)</f>
        <v/>
      </c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10">
        <f>IF(G62="","",G62*(1+H62/100))</f>
        <v/>
      </c>
      <c r="J62" s="9" t="n"/>
      <c r="K62" s="9" t="n"/>
      <c r="L62" s="9" t="n"/>
      <c r="M62" s="9" t="n"/>
      <c r="N62" s="9" t="n"/>
      <c r="O62" s="9" t="n"/>
      <c r="P62" s="9" t="n"/>
      <c r="Q62" s="11">
        <f>IF(OR(O62="",P62=""),"",MIN(O62,P62)-N62)</f>
        <v/>
      </c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10">
        <f>IF(G63="","",G63*(1+H63/100))</f>
        <v/>
      </c>
      <c r="J63" s="9" t="n"/>
      <c r="K63" s="9" t="n"/>
      <c r="L63" s="9" t="n"/>
      <c r="M63" s="9" t="n"/>
      <c r="N63" s="9" t="n"/>
      <c r="O63" s="9" t="n"/>
      <c r="P63" s="9" t="n"/>
      <c r="Q63" s="11">
        <f>IF(OR(O63="",P63=""),"",MIN(O63,P63)-N63)</f>
        <v/>
      </c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10">
        <f>IF(G64="","",G64*(1+H64/100))</f>
        <v/>
      </c>
      <c r="J64" s="9" t="n"/>
      <c r="K64" s="9" t="n"/>
      <c r="L64" s="9" t="n"/>
      <c r="M64" s="9" t="n"/>
      <c r="N64" s="9" t="n"/>
      <c r="O64" s="9" t="n"/>
      <c r="P64" s="9" t="n"/>
      <c r="Q64" s="11">
        <f>IF(OR(O64="",P64=""),"",MIN(O64,P64)-N64)</f>
        <v/>
      </c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10">
        <f>IF(G65="","",G65*(1+H65/100))</f>
        <v/>
      </c>
      <c r="J65" s="9" t="n"/>
      <c r="K65" s="9" t="n"/>
      <c r="L65" s="9" t="n"/>
      <c r="M65" s="9" t="n"/>
      <c r="N65" s="9" t="n"/>
      <c r="O65" s="9" t="n"/>
      <c r="P65" s="9" t="n"/>
      <c r="Q65" s="11">
        <f>IF(OR(O65="",P65=""),"",MIN(O65,P65)-N65)</f>
        <v/>
      </c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7">
      <c r="A67" s="12" t="inlineStr">
        <is>
          <t>※ 파란 셀 = 수식 자동계산 | 소요량·로스율은 대표 확인 필요 | 가격은 유통 확인 필요</t>
        </is>
      </c>
    </row>
  </sheetData>
  <autoFilter ref="A4:Z65"/>
  <mergeCells count="8">
    <mergeCell ref="R3:U3"/>
    <mergeCell ref="A1:Z1"/>
    <mergeCell ref="J3:Q3"/>
    <mergeCell ref="Y3:Z3"/>
    <mergeCell ref="A67:Z67"/>
    <mergeCell ref="A3:I3"/>
    <mergeCell ref="A2:Z2"/>
    <mergeCell ref="V3:X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C8181"/>
    <outlinePr summaryBelow="1" summaryRight="1"/>
    <pageSetUpPr/>
  </sheetPr>
  <dimension ref="A1:Z4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</cols>
  <sheetData>
    <row r="1" ht="30" customHeight="1">
      <c r="A1" s="1" t="inlineStr">
        <is>
          <t>도기/마감기구 자재</t>
        </is>
      </c>
    </row>
    <row r="2">
      <c r="A2" s="2" t="inlineStr">
        <is>
          <t>공정코드: FX | 체크리스트 기반 전체 자재 목록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</row>
    <row r="5">
      <c r="A5" s="6" t="inlineStr">
        <is>
          <t>FX-001</t>
        </is>
      </c>
      <c r="B5" s="6" t="inlineStr">
        <is>
          <t>돔 천장</t>
        </is>
      </c>
      <c r="C5" s="6" t="inlineStr">
        <is>
          <t>—</t>
        </is>
      </c>
      <c r="D5" s="6" t="inlineStr">
        <is>
          <t>욕실 천장 마감</t>
        </is>
      </c>
      <c r="E5" s="6" t="inlineStr">
        <is>
          <t>필수</t>
        </is>
      </c>
      <c r="F5" s="6" t="inlineStr">
        <is>
          <t>세트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</row>
    <row r="6">
      <c r="A6" s="6" t="inlineStr">
        <is>
          <t>FX-002</t>
        </is>
      </c>
      <c r="B6" s="6" t="inlineStr">
        <is>
          <t>돔 천장 점검구</t>
        </is>
      </c>
      <c r="C6" s="6" t="inlineStr">
        <is>
          <t>—</t>
        </is>
      </c>
      <c r="D6" s="6" t="inlineStr">
        <is>
          <t>유지보수 접근</t>
        </is>
      </c>
      <c r="E6" s="6" t="inlineStr">
        <is>
          <t>필수</t>
        </is>
      </c>
      <c r="F6" s="6" t="inlineStr">
        <is>
          <t>개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</row>
    <row r="7">
      <c r="A7" s="6" t="inlineStr">
        <is>
          <t>FX-003</t>
        </is>
      </c>
      <c r="B7" s="6" t="inlineStr">
        <is>
          <t>환풍기</t>
        </is>
      </c>
      <c r="C7" s="6" t="inlineStr">
        <is>
          <t>—</t>
        </is>
      </c>
      <c r="D7" s="6" t="inlineStr">
        <is>
          <t>욕실 환기</t>
        </is>
      </c>
      <c r="E7" s="6" t="inlineStr">
        <is>
          <t>필수</t>
        </is>
      </c>
      <c r="F7" s="6" t="inlineStr">
        <is>
          <t>개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</row>
    <row r="8">
      <c r="A8" s="6" t="inlineStr">
        <is>
          <t>FX-004</t>
        </is>
      </c>
      <c r="B8" s="6" t="inlineStr">
        <is>
          <t>샤워부스/파티션</t>
        </is>
      </c>
      <c r="C8" s="6" t="inlineStr">
        <is>
          <t>—</t>
        </is>
      </c>
      <c r="D8" s="6" t="inlineStr">
        <is>
          <t>욕실 샤워 구획</t>
        </is>
      </c>
      <c r="E8" s="6" t="inlineStr">
        <is>
          <t>선택</t>
        </is>
      </c>
      <c r="F8" s="6" t="inlineStr">
        <is>
          <t>세트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</row>
    <row r="9">
      <c r="A9" s="6" t="inlineStr">
        <is>
          <t>FX-005</t>
        </is>
      </c>
      <c r="B9" s="6" t="inlineStr">
        <is>
          <t>세면대</t>
        </is>
      </c>
      <c r="C9" s="6" t="inlineStr">
        <is>
          <t>—</t>
        </is>
      </c>
      <c r="D9" s="6" t="inlineStr">
        <is>
          <t>욕실 세면 기구</t>
        </is>
      </c>
      <c r="E9" s="6" t="inlineStr">
        <is>
          <t>필수</t>
        </is>
      </c>
      <c r="F9" s="6" t="inlineStr">
        <is>
          <t>개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</row>
    <row r="10">
      <c r="A10" s="6" t="inlineStr">
        <is>
          <t>FX-006</t>
        </is>
      </c>
      <c r="B10" s="6" t="inlineStr">
        <is>
          <t>수전(주방/욕실)</t>
        </is>
      </c>
      <c r="C10" s="6" t="inlineStr">
        <is>
          <t>—</t>
        </is>
      </c>
      <c r="D10" s="6" t="inlineStr">
        <is>
          <t>각종 수전</t>
        </is>
      </c>
      <c r="E10" s="6" t="inlineStr">
        <is>
          <t>필수</t>
        </is>
      </c>
      <c r="F10" s="6" t="inlineStr">
        <is>
          <t>개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</row>
    <row r="11">
      <c r="A11" s="6" t="inlineStr">
        <is>
          <t>FX-007</t>
        </is>
      </c>
      <c r="B11" s="6" t="inlineStr">
        <is>
          <t>양변기</t>
        </is>
      </c>
      <c r="C11" s="6" t="inlineStr">
        <is>
          <t>—</t>
        </is>
      </c>
      <c r="D11" s="6" t="inlineStr">
        <is>
          <t>화장실 변기</t>
        </is>
      </c>
      <c r="E11" s="6" t="inlineStr">
        <is>
          <t>필수</t>
        </is>
      </c>
      <c r="F11" s="6" t="inlineStr">
        <is>
          <t>개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</row>
    <row r="12">
      <c r="A12" s="6" t="inlineStr">
        <is>
          <t>FX-008</t>
        </is>
      </c>
      <c r="B12" s="6" t="inlineStr">
        <is>
          <t>수건걸이</t>
        </is>
      </c>
      <c r="C12" s="6" t="inlineStr">
        <is>
          <t>—</t>
        </is>
      </c>
      <c r="D12" s="6" t="inlineStr">
        <is>
          <t>욕실 액세서리</t>
        </is>
      </c>
      <c r="E12" s="6" t="inlineStr">
        <is>
          <t>필수</t>
        </is>
      </c>
      <c r="F12" s="6" t="inlineStr">
        <is>
          <t>개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</row>
    <row r="13">
      <c r="A13" s="6" t="inlineStr">
        <is>
          <t>FX-009</t>
        </is>
      </c>
      <c r="B13" s="6" t="inlineStr">
        <is>
          <t>휴지걸이</t>
        </is>
      </c>
      <c r="C13" s="6" t="inlineStr">
        <is>
          <t>—</t>
        </is>
      </c>
      <c r="D13" s="6" t="inlineStr">
        <is>
          <t>욕실 액세서리</t>
        </is>
      </c>
      <c r="E13" s="6" t="inlineStr">
        <is>
          <t>필수</t>
        </is>
      </c>
      <c r="F13" s="6" t="inlineStr">
        <is>
          <t>개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</row>
    <row r="14">
      <c r="A14" s="6" t="inlineStr">
        <is>
          <t>FX-010</t>
        </is>
      </c>
      <c r="B14" s="6" t="inlineStr">
        <is>
          <t>스위치</t>
        </is>
      </c>
      <c r="C14" s="6" t="inlineStr">
        <is>
          <t>—</t>
        </is>
      </c>
      <c r="D14" s="6" t="inlineStr">
        <is>
          <t>벽면 조작 장치</t>
        </is>
      </c>
      <c r="E14" s="6" t="inlineStr">
        <is>
          <t>필수</t>
        </is>
      </c>
      <c r="F14" s="6" t="inlineStr">
        <is>
          <t>개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</row>
    <row r="15">
      <c r="A15" s="6" t="inlineStr">
        <is>
          <t>FX-011</t>
        </is>
      </c>
      <c r="B15" s="6" t="inlineStr">
        <is>
          <t>콘센트</t>
        </is>
      </c>
      <c r="C15" s="6" t="inlineStr">
        <is>
          <t>—</t>
        </is>
      </c>
      <c r="D15" s="6" t="inlineStr">
        <is>
          <t>전기 공급 단자</t>
        </is>
      </c>
      <c r="E15" s="6" t="inlineStr">
        <is>
          <t>필수</t>
        </is>
      </c>
      <c r="F15" s="6" t="inlineStr">
        <is>
          <t>개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</row>
    <row r="16">
      <c r="A16" s="6" t="inlineStr">
        <is>
          <t>FX-012</t>
        </is>
      </c>
      <c r="B16" s="6" t="inlineStr">
        <is>
          <t>스위치/콘센트 커버</t>
        </is>
      </c>
      <c r="C16" s="6" t="inlineStr">
        <is>
          <t>—</t>
        </is>
      </c>
      <c r="D16" s="6" t="inlineStr">
        <is>
          <t>기구 외장 커버</t>
        </is>
      </c>
      <c r="E16" s="6" t="inlineStr">
        <is>
          <t>필수</t>
        </is>
      </c>
      <c r="F16" s="6" t="inlineStr">
        <is>
          <t>개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</row>
    <row r="17">
      <c r="A17" s="6" t="inlineStr">
        <is>
          <t>FX-013</t>
        </is>
      </c>
      <c r="B17" s="6" t="inlineStr">
        <is>
          <t>조명(다운라이트 등)</t>
        </is>
      </c>
      <c r="C17" s="6" t="inlineStr">
        <is>
          <t>—</t>
        </is>
      </c>
      <c r="D17" s="6" t="inlineStr">
        <is>
          <t>천장·벽면 (색온도 확인)</t>
        </is>
      </c>
      <c r="E17" s="6" t="inlineStr">
        <is>
          <t>필수</t>
        </is>
      </c>
      <c r="F17" s="6" t="inlineStr">
        <is>
          <t>개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</row>
    <row r="18">
      <c r="A18" s="6" t="inlineStr">
        <is>
          <t>FX-014</t>
        </is>
      </c>
      <c r="B18" s="6" t="inlineStr">
        <is>
          <t>화재 감지기</t>
        </is>
      </c>
      <c r="C18" s="6" t="inlineStr">
        <is>
          <t>—</t>
        </is>
      </c>
      <c r="D18" s="6" t="inlineStr">
        <is>
          <t>화재 안전</t>
        </is>
      </c>
      <c r="E18" s="6" t="inlineStr">
        <is>
          <t>필수</t>
        </is>
      </c>
      <c r="F18" s="6" t="inlineStr">
        <is>
          <t>개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</row>
    <row r="19">
      <c r="A19" s="6" t="inlineStr">
        <is>
          <t>FX-015</t>
        </is>
      </c>
      <c r="B19" s="6" t="inlineStr">
        <is>
          <t>현관 센서등</t>
        </is>
      </c>
      <c r="C19" s="6" t="inlineStr">
        <is>
          <t>—</t>
        </is>
      </c>
      <c r="D19" s="6" t="inlineStr">
        <is>
          <t>자동 조명</t>
        </is>
      </c>
      <c r="E19" s="6" t="inlineStr">
        <is>
          <t>선택</t>
        </is>
      </c>
      <c r="F19" s="6" t="inlineStr">
        <is>
          <t>개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</row>
    <row r="20">
      <c r="A20" s="6" t="inlineStr">
        <is>
          <t>FX-016</t>
        </is>
      </c>
      <c r="B20" s="6" t="inlineStr">
        <is>
          <t>에어컨</t>
        </is>
      </c>
      <c r="C20" s="6" t="inlineStr">
        <is>
          <t>벽걸이/시스템</t>
        </is>
      </c>
      <c r="D20" s="6" t="inlineStr">
        <is>
          <t>냉난방</t>
        </is>
      </c>
      <c r="E20" s="6" t="inlineStr">
        <is>
          <t>필수</t>
        </is>
      </c>
      <c r="F20" s="6" t="inlineStr">
        <is>
          <t>대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/>
    </row>
    <row r="21">
      <c r="A21" s="6" t="inlineStr">
        <is>
          <t>FX-017</t>
        </is>
      </c>
      <c r="B21" s="6" t="inlineStr">
        <is>
          <t>에어컨 실외기</t>
        </is>
      </c>
      <c r="C21" s="6" t="inlineStr">
        <is>
          <t>—</t>
        </is>
      </c>
      <c r="D21" s="6" t="inlineStr">
        <is>
          <t>실외 유닛</t>
        </is>
      </c>
      <c r="E21" s="6" t="inlineStr">
        <is>
          <t>필수</t>
        </is>
      </c>
      <c r="F21" s="6" t="inlineStr">
        <is>
          <t>대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/>
    </row>
    <row r="22">
      <c r="A22" s="6" t="inlineStr">
        <is>
          <t>FX-018</t>
        </is>
      </c>
      <c r="B22" s="6" t="inlineStr">
        <is>
          <t>실외기 배관 테이핑</t>
        </is>
      </c>
      <c r="C22" s="6" t="inlineStr">
        <is>
          <t>—</t>
        </is>
      </c>
      <c r="D22" s="6" t="inlineStr">
        <is>
          <t>배관 마감</t>
        </is>
      </c>
      <c r="E22" s="6" t="inlineStr">
        <is>
          <t>필수</t>
        </is>
      </c>
      <c r="F22" s="6" t="inlineStr">
        <is>
          <t>롤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/>
    </row>
    <row r="23">
      <c r="A23" s="6" t="inlineStr">
        <is>
          <t>FX-019</t>
        </is>
      </c>
      <c r="B23" s="6" t="inlineStr">
        <is>
          <t>방문</t>
        </is>
      </c>
      <c r="C23" s="6" t="inlineStr">
        <is>
          <t>—</t>
        </is>
      </c>
      <c r="D23" s="6" t="inlineStr">
        <is>
          <t>실내문</t>
        </is>
      </c>
      <c r="E23" s="6" t="inlineStr">
        <is>
          <t>필수</t>
        </is>
      </c>
      <c r="F23" s="6" t="inlineStr">
        <is>
          <t>세트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/>
    </row>
    <row r="24">
      <c r="A24" s="6" t="inlineStr">
        <is>
          <t>FX-020</t>
        </is>
      </c>
      <c r="B24" s="6" t="inlineStr">
        <is>
          <t>문손잡이</t>
        </is>
      </c>
      <c r="C24" s="6" t="inlineStr">
        <is>
          <t>—</t>
        </is>
      </c>
      <c r="D24" s="6" t="inlineStr">
        <is>
          <t>문 개폐</t>
        </is>
      </c>
      <c r="E24" s="6" t="inlineStr">
        <is>
          <t>필수</t>
        </is>
      </c>
      <c r="F24" s="6" t="inlineStr">
        <is>
          <t>개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/>
    </row>
    <row r="25">
      <c r="A25" s="6" t="inlineStr">
        <is>
          <t>FX-021</t>
        </is>
      </c>
      <c r="B25" s="6" t="inlineStr">
        <is>
          <t>스토퍼</t>
        </is>
      </c>
      <c r="C25" s="6" t="inlineStr">
        <is>
          <t>—</t>
        </is>
      </c>
      <c r="D25" s="6" t="inlineStr">
        <is>
          <t>문 충격 방지</t>
        </is>
      </c>
      <c r="E25" s="6" t="inlineStr">
        <is>
          <t>필수</t>
        </is>
      </c>
      <c r="F25" s="6" t="inlineStr">
        <is>
          <t>개</t>
        </is>
      </c>
      <c r="G25" s="6" t="n"/>
      <c r="H25" s="6" t="n"/>
      <c r="I25" s="7">
        <f>IF(G25="","",G25*(1+H25/100))</f>
        <v/>
      </c>
      <c r="J25" s="6" t="n"/>
      <c r="K25" s="6" t="n"/>
      <c r="L25" s="8" t="n"/>
      <c r="M25" s="8" t="n"/>
      <c r="N25" s="8" t="n"/>
      <c r="O25" s="8" t="n"/>
      <c r="P25" s="8" t="n"/>
      <c r="Q25" s="8">
        <f>IF(OR(O25="",P25=""),"",MIN(O25,P25)-N25)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inlineStr"/>
    </row>
    <row r="26">
      <c r="A26" s="6" t="inlineStr">
        <is>
          <t>FX-022</t>
        </is>
      </c>
      <c r="B26" s="6" t="inlineStr">
        <is>
          <t>도어클로저</t>
        </is>
      </c>
      <c r="C26" s="6" t="inlineStr">
        <is>
          <t>—</t>
        </is>
      </c>
      <c r="D26" s="6" t="inlineStr">
        <is>
          <t>현관문 자동 닫힘</t>
        </is>
      </c>
      <c r="E26" s="6" t="inlineStr">
        <is>
          <t>선택</t>
        </is>
      </c>
      <c r="F26" s="6" t="inlineStr">
        <is>
          <t>개</t>
        </is>
      </c>
      <c r="G26" s="6" t="n"/>
      <c r="H26" s="6" t="n"/>
      <c r="I26" s="7">
        <f>IF(G26="","",G26*(1+H26/100))</f>
        <v/>
      </c>
      <c r="J26" s="6" t="n"/>
      <c r="K26" s="6" t="n"/>
      <c r="L26" s="8" t="n"/>
      <c r="M26" s="8" t="n"/>
      <c r="N26" s="8" t="n"/>
      <c r="O26" s="8" t="n"/>
      <c r="P26" s="8" t="n"/>
      <c r="Q26" s="8">
        <f>IF(OR(O26="",P26=""),"",MIN(O26,P26)-N26)</f>
        <v/>
      </c>
      <c r="R26" s="6" t="n"/>
      <c r="S26" s="6" t="n"/>
      <c r="T26" s="6" t="n"/>
      <c r="U26" s="6" t="n"/>
      <c r="V26" s="6" t="n"/>
      <c r="W26" s="6" t="n"/>
      <c r="X26" s="6" t="n"/>
      <c r="Y26" s="6" t="n"/>
      <c r="Z26" s="6" t="inlineStr"/>
    </row>
    <row r="27">
      <c r="A27" s="6" t="inlineStr">
        <is>
          <t>FX-023</t>
        </is>
      </c>
      <c r="B27" s="6" t="inlineStr">
        <is>
          <t>도어락</t>
        </is>
      </c>
      <c r="C27" s="6" t="inlineStr">
        <is>
          <t>—</t>
        </is>
      </c>
      <c r="D27" s="6" t="inlineStr">
        <is>
          <t>현관문 잠금</t>
        </is>
      </c>
      <c r="E27" s="6" t="inlineStr">
        <is>
          <t>필수</t>
        </is>
      </c>
      <c r="F27" s="6" t="inlineStr">
        <is>
          <t>개</t>
        </is>
      </c>
      <c r="G27" s="6" t="n"/>
      <c r="H27" s="6" t="n"/>
      <c r="I27" s="7">
        <f>IF(G27="","",G27*(1+H27/100))</f>
        <v/>
      </c>
      <c r="J27" s="6" t="n"/>
      <c r="K27" s="6" t="n"/>
      <c r="L27" s="8" t="n"/>
      <c r="M27" s="8" t="n"/>
      <c r="N27" s="8" t="n"/>
      <c r="O27" s="8" t="n"/>
      <c r="P27" s="8" t="n"/>
      <c r="Q27" s="8">
        <f>IF(OR(O27="",P27=""),"",MIN(O27,P27)-N27)</f>
        <v/>
      </c>
      <c r="R27" s="6" t="n"/>
      <c r="S27" s="6" t="n"/>
      <c r="T27" s="6" t="n"/>
      <c r="U27" s="6" t="n"/>
      <c r="V27" s="6" t="n"/>
      <c r="W27" s="6" t="n"/>
      <c r="X27" s="6" t="n"/>
      <c r="Y27" s="6" t="n"/>
      <c r="Z27" s="6" t="inlineStr"/>
    </row>
    <row r="28">
      <c r="A28" s="6" t="inlineStr">
        <is>
          <t>FX-024</t>
        </is>
      </c>
      <c r="B28" s="6" t="inlineStr">
        <is>
          <t>후드</t>
        </is>
      </c>
      <c r="C28" s="6" t="inlineStr">
        <is>
          <t>—</t>
        </is>
      </c>
      <c r="D28" s="6" t="inlineStr">
        <is>
          <t>주방 환기</t>
        </is>
      </c>
      <c r="E28" s="6" t="inlineStr">
        <is>
          <t>필수</t>
        </is>
      </c>
      <c r="F28" s="6" t="inlineStr">
        <is>
          <t>개</t>
        </is>
      </c>
      <c r="G28" s="6" t="n"/>
      <c r="H28" s="6" t="n"/>
      <c r="I28" s="7">
        <f>IF(G28="","",G28*(1+H28/100))</f>
        <v/>
      </c>
      <c r="J28" s="6" t="n"/>
      <c r="K28" s="6" t="n"/>
      <c r="L28" s="8" t="n"/>
      <c r="M28" s="8" t="n"/>
      <c r="N28" s="8" t="n"/>
      <c r="O28" s="8" t="n"/>
      <c r="P28" s="8" t="n"/>
      <c r="Q28" s="8">
        <f>IF(OR(O28="",P28=""),"",MIN(O28,P28)-N28)</f>
        <v/>
      </c>
      <c r="R28" s="6" t="n"/>
      <c r="S28" s="6" t="n"/>
      <c r="T28" s="6" t="n"/>
      <c r="U28" s="6" t="n"/>
      <c r="V28" s="6" t="n"/>
      <c r="W28" s="6" t="n"/>
      <c r="X28" s="6" t="n"/>
      <c r="Y28" s="6" t="n"/>
      <c r="Z28" s="6" t="inlineStr"/>
    </row>
    <row r="29">
      <c r="A29" s="6" t="inlineStr">
        <is>
          <t>FX-025</t>
        </is>
      </c>
      <c r="B29" s="6" t="inlineStr">
        <is>
          <t>인덕션/가스레인지</t>
        </is>
      </c>
      <c r="C29" s="6" t="inlineStr">
        <is>
          <t>—</t>
        </is>
      </c>
      <c r="D29" s="6" t="inlineStr">
        <is>
          <t>주방 조리 기구</t>
        </is>
      </c>
      <c r="E29" s="6" t="inlineStr">
        <is>
          <t>필수</t>
        </is>
      </c>
      <c r="F29" s="6" t="inlineStr">
        <is>
          <t>대</t>
        </is>
      </c>
      <c r="G29" s="6" t="n"/>
      <c r="H29" s="6" t="n"/>
      <c r="I29" s="7">
        <f>IF(G29="","",G29*(1+H29/100))</f>
        <v/>
      </c>
      <c r="J29" s="6" t="n"/>
      <c r="K29" s="6" t="n"/>
      <c r="L29" s="8" t="n"/>
      <c r="M29" s="8" t="n"/>
      <c r="N29" s="8" t="n"/>
      <c r="O29" s="8" t="n"/>
      <c r="P29" s="8" t="n"/>
      <c r="Q29" s="8">
        <f>IF(OR(O29="",P29=""),"",MIN(O29,P29)-N29)</f>
        <v/>
      </c>
      <c r="R29" s="6" t="n"/>
      <c r="S29" s="6" t="n"/>
      <c r="T29" s="6" t="n"/>
      <c r="U29" s="6" t="n"/>
      <c r="V29" s="6" t="n"/>
      <c r="W29" s="6" t="n"/>
      <c r="X29" s="6" t="n"/>
      <c r="Y29" s="6" t="n"/>
      <c r="Z29" s="6" t="inlineStr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10">
        <f>IF(G30="","",G30*(1+H30/100))</f>
        <v/>
      </c>
      <c r="J30" s="9" t="n"/>
      <c r="K30" s="9" t="n"/>
      <c r="L30" s="9" t="n"/>
      <c r="M30" s="9" t="n"/>
      <c r="N30" s="9" t="n"/>
      <c r="O30" s="9" t="n"/>
      <c r="P30" s="9" t="n"/>
      <c r="Q30" s="11">
        <f>IF(OR(O30="",P30=""),"",MIN(O30,P30)-N30)</f>
        <v/>
      </c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10">
        <f>IF(G31="","",G31*(1+H31/100))</f>
        <v/>
      </c>
      <c r="J31" s="9" t="n"/>
      <c r="K31" s="9" t="n"/>
      <c r="L31" s="9" t="n"/>
      <c r="M31" s="9" t="n"/>
      <c r="N31" s="9" t="n"/>
      <c r="O31" s="9" t="n"/>
      <c r="P31" s="9" t="n"/>
      <c r="Q31" s="11">
        <f>IF(OR(O31="",P31=""),"",MIN(O31,P31)-N31)</f>
        <v/>
      </c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10">
        <f>IF(G32="","",G32*(1+H32/100))</f>
        <v/>
      </c>
      <c r="J32" s="9" t="n"/>
      <c r="K32" s="9" t="n"/>
      <c r="L32" s="9" t="n"/>
      <c r="M32" s="9" t="n"/>
      <c r="N32" s="9" t="n"/>
      <c r="O32" s="9" t="n"/>
      <c r="P32" s="9" t="n"/>
      <c r="Q32" s="11">
        <f>IF(OR(O32="",P32=""),"",MIN(O32,P32)-N32)</f>
        <v/>
      </c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10">
        <f>IF(G33="","",G33*(1+H33/100))</f>
        <v/>
      </c>
      <c r="J33" s="9" t="n"/>
      <c r="K33" s="9" t="n"/>
      <c r="L33" s="9" t="n"/>
      <c r="M33" s="9" t="n"/>
      <c r="N33" s="9" t="n"/>
      <c r="O33" s="9" t="n"/>
      <c r="P33" s="9" t="n"/>
      <c r="Q33" s="11">
        <f>IF(OR(O33="",P33=""),"",MIN(O33,P33)-N33)</f>
        <v/>
      </c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10">
        <f>IF(G34="","",G34*(1+H34/100))</f>
        <v/>
      </c>
      <c r="J34" s="9" t="n"/>
      <c r="K34" s="9" t="n"/>
      <c r="L34" s="9" t="n"/>
      <c r="M34" s="9" t="n"/>
      <c r="N34" s="9" t="n"/>
      <c r="O34" s="9" t="n"/>
      <c r="P34" s="9" t="n"/>
      <c r="Q34" s="11">
        <f>IF(OR(O34="",P34=""),"",MIN(O34,P34)-N34)</f>
        <v/>
      </c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10">
        <f>IF(G35="","",G35*(1+H35/100))</f>
        <v/>
      </c>
      <c r="J35" s="9" t="n"/>
      <c r="K35" s="9" t="n"/>
      <c r="L35" s="9" t="n"/>
      <c r="M35" s="9" t="n"/>
      <c r="N35" s="9" t="n"/>
      <c r="O35" s="9" t="n"/>
      <c r="P35" s="9" t="n"/>
      <c r="Q35" s="11">
        <f>IF(OR(O35="",P35=""),"",MIN(O35,P35)-N35)</f>
        <v/>
      </c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10">
        <f>IF(G36="","",G36*(1+H36/100))</f>
        <v/>
      </c>
      <c r="J36" s="9" t="n"/>
      <c r="K36" s="9" t="n"/>
      <c r="L36" s="9" t="n"/>
      <c r="M36" s="9" t="n"/>
      <c r="N36" s="9" t="n"/>
      <c r="O36" s="9" t="n"/>
      <c r="P36" s="9" t="n"/>
      <c r="Q36" s="11">
        <f>IF(OR(O36="",P36=""),"",MIN(O36,P36)-N36)</f>
        <v/>
      </c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10">
        <f>IF(G37="","",G37*(1+H37/100))</f>
        <v/>
      </c>
      <c r="J37" s="9" t="n"/>
      <c r="K37" s="9" t="n"/>
      <c r="L37" s="9" t="n"/>
      <c r="M37" s="9" t="n"/>
      <c r="N37" s="9" t="n"/>
      <c r="O37" s="9" t="n"/>
      <c r="P37" s="9" t="n"/>
      <c r="Q37" s="11">
        <f>IF(OR(O37="",P37=""),"",MIN(O37,P37)-N37)</f>
        <v/>
      </c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10">
        <f>IF(G38="","",G38*(1+H38/100))</f>
        <v/>
      </c>
      <c r="J38" s="9" t="n"/>
      <c r="K38" s="9" t="n"/>
      <c r="L38" s="9" t="n"/>
      <c r="M38" s="9" t="n"/>
      <c r="N38" s="9" t="n"/>
      <c r="O38" s="9" t="n"/>
      <c r="P38" s="9" t="n"/>
      <c r="Q38" s="11">
        <f>IF(OR(O38="",P38=""),"",MIN(O38,P38)-N38)</f>
        <v/>
      </c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10">
        <f>IF(G39="","",G39*(1+H39/100))</f>
        <v/>
      </c>
      <c r="J39" s="9" t="n"/>
      <c r="K39" s="9" t="n"/>
      <c r="L39" s="9" t="n"/>
      <c r="M39" s="9" t="n"/>
      <c r="N39" s="9" t="n"/>
      <c r="O39" s="9" t="n"/>
      <c r="P39" s="9" t="n"/>
      <c r="Q39" s="11">
        <f>IF(OR(O39="",P39=""),"",MIN(O39,P39)-N39)</f>
        <v/>
      </c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10">
        <f>IF(G40="","",G40*(1+H40/100))</f>
        <v/>
      </c>
      <c r="J40" s="9" t="n"/>
      <c r="K40" s="9" t="n"/>
      <c r="L40" s="9" t="n"/>
      <c r="M40" s="9" t="n"/>
      <c r="N40" s="9" t="n"/>
      <c r="O40" s="9" t="n"/>
      <c r="P40" s="9" t="n"/>
      <c r="Q40" s="11">
        <f>IF(OR(O40="",P40=""),"",MIN(O40,P40)-N40)</f>
        <v/>
      </c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10">
        <f>IF(G41="","",G41*(1+H41/100))</f>
        <v/>
      </c>
      <c r="J41" s="9" t="n"/>
      <c r="K41" s="9" t="n"/>
      <c r="L41" s="9" t="n"/>
      <c r="M41" s="9" t="n"/>
      <c r="N41" s="9" t="n"/>
      <c r="O41" s="9" t="n"/>
      <c r="P41" s="9" t="n"/>
      <c r="Q41" s="11">
        <f>IF(OR(O41="",P41=""),"",MIN(O41,P41)-N41)</f>
        <v/>
      </c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10">
        <f>IF(G42="","",G42*(1+H42/100))</f>
        <v/>
      </c>
      <c r="J42" s="9" t="n"/>
      <c r="K42" s="9" t="n"/>
      <c r="L42" s="9" t="n"/>
      <c r="M42" s="9" t="n"/>
      <c r="N42" s="9" t="n"/>
      <c r="O42" s="9" t="n"/>
      <c r="P42" s="9" t="n"/>
      <c r="Q42" s="11">
        <f>IF(OR(O42="",P42=""),"",MIN(O42,P42)-N42)</f>
        <v/>
      </c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10">
        <f>IF(G43="","",G43*(1+H43/100))</f>
        <v/>
      </c>
      <c r="J43" s="9" t="n"/>
      <c r="K43" s="9" t="n"/>
      <c r="L43" s="9" t="n"/>
      <c r="M43" s="9" t="n"/>
      <c r="N43" s="9" t="n"/>
      <c r="O43" s="9" t="n"/>
      <c r="P43" s="9" t="n"/>
      <c r="Q43" s="11">
        <f>IF(OR(O43="",P43=""),"",MIN(O43,P43)-N43)</f>
        <v/>
      </c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10">
        <f>IF(G44="","",G44*(1+H44/100))</f>
        <v/>
      </c>
      <c r="J44" s="9" t="n"/>
      <c r="K44" s="9" t="n"/>
      <c r="L44" s="9" t="n"/>
      <c r="M44" s="9" t="n"/>
      <c r="N44" s="9" t="n"/>
      <c r="O44" s="9" t="n"/>
      <c r="P44" s="9" t="n"/>
      <c r="Q44" s="11">
        <f>IF(OR(O44="",P44=""),"",MIN(O44,P44)-N44)</f>
        <v/>
      </c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6">
      <c r="A46" s="12" t="inlineStr">
        <is>
          <t>※ 파란 셀 = 수식 자동계산 | 소요량·로스율은 대표 확인 필요 | 가격은 유통 확인 필요</t>
        </is>
      </c>
    </row>
  </sheetData>
  <autoFilter ref="A4:Z44"/>
  <mergeCells count="8">
    <mergeCell ref="R3:U3"/>
    <mergeCell ref="A46:Z46"/>
    <mergeCell ref="A1:Z1"/>
    <mergeCell ref="J3:Q3"/>
    <mergeCell ref="Y3:Z3"/>
    <mergeCell ref="A3:I3"/>
    <mergeCell ref="A2:Z2"/>
    <mergeCell ref="V3:X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38B2AC"/>
    <outlinePr summaryBelow="1" summaryRight="1"/>
    <pageSetUpPr/>
  </sheetPr>
  <dimension ref="A1:Z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</cols>
  <sheetData>
    <row r="1" ht="30" customHeight="1">
      <c r="A1" s="1" t="inlineStr">
        <is>
          <t>준공청소/점검 자재</t>
        </is>
      </c>
    </row>
    <row r="2">
      <c r="A2" s="2" t="inlineStr">
        <is>
          <t>공정코드: FI | 체크리스트 기반 전체 자재 목록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</row>
    <row r="5">
      <c r="A5" s="6" t="inlineStr">
        <is>
          <t>FI-001</t>
        </is>
      </c>
      <c r="B5" s="6" t="inlineStr">
        <is>
          <t>조색 실리콘</t>
        </is>
      </c>
      <c r="C5" s="6" t="inlineStr">
        <is>
          <t>—</t>
        </is>
      </c>
      <c r="D5" s="6" t="inlineStr">
        <is>
          <t>마감재 색상 맞춤 보수</t>
        </is>
      </c>
      <c r="E5" s="6" t="inlineStr">
        <is>
          <t>필수</t>
        </is>
      </c>
      <c r="F5" s="6" t="inlineStr">
        <is>
          <t>개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</row>
    <row r="6">
      <c r="A6" s="6" t="inlineStr">
        <is>
          <t>FI-002</t>
        </is>
      </c>
      <c r="B6" s="6" t="inlineStr">
        <is>
          <t>마스킹 테이프(파란)</t>
        </is>
      </c>
      <c r="C6" s="6" t="inlineStr">
        <is>
          <t>—</t>
        </is>
      </c>
      <c r="D6" s="6" t="inlineStr">
        <is>
          <t>보수 위치 표시</t>
        </is>
      </c>
      <c r="E6" s="6" t="inlineStr">
        <is>
          <t>필수</t>
        </is>
      </c>
      <c r="F6" s="6" t="inlineStr">
        <is>
          <t>롤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</row>
    <row r="7">
      <c r="A7" s="6" t="inlineStr">
        <is>
          <t>FI-003</t>
        </is>
      </c>
      <c r="B7" s="6" t="inlineStr">
        <is>
          <t>세제(준공청소)</t>
        </is>
      </c>
      <c r="C7" s="6" t="inlineStr">
        <is>
          <t>—</t>
        </is>
      </c>
      <c r="D7" s="6" t="inlineStr">
        <is>
          <t>청소용 (락스 등)</t>
        </is>
      </c>
      <c r="E7" s="6" t="inlineStr">
        <is>
          <t>필수</t>
        </is>
      </c>
      <c r="F7" s="6" t="inlineStr">
        <is>
          <t>통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>
        <is>
          <t>수전 사용 금지</t>
        </is>
      </c>
    </row>
    <row r="8">
      <c r="A8" s="6" t="inlineStr">
        <is>
          <t>FI-004</t>
        </is>
      </c>
      <c r="B8" s="6" t="inlineStr">
        <is>
          <t>보양지</t>
        </is>
      </c>
      <c r="C8" s="6" t="inlineStr">
        <is>
          <t>—</t>
        </is>
      </c>
      <c r="D8" s="6" t="inlineStr">
        <is>
          <t>창호·싱크볼 보호</t>
        </is>
      </c>
      <c r="E8" s="6" t="inlineStr">
        <is>
          <t>필수</t>
        </is>
      </c>
      <c r="F8" s="6" t="inlineStr">
        <is>
          <t>롤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</row>
    <row r="9">
      <c r="A9" s="6" t="inlineStr">
        <is>
          <t>FI-005</t>
        </is>
      </c>
      <c r="B9" s="6" t="inlineStr">
        <is>
          <t>여분 타일</t>
        </is>
      </c>
      <c r="C9" s="6" t="inlineStr">
        <is>
          <t>—</t>
        </is>
      </c>
      <c r="D9" s="6" t="inlineStr">
        <is>
          <t>하자 보수용 고객 인계</t>
        </is>
      </c>
      <c r="E9" s="6" t="inlineStr">
        <is>
          <t>필수</t>
        </is>
      </c>
      <c r="F9" s="6" t="inlineStr">
        <is>
          <t>장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</row>
    <row r="10">
      <c r="A10" s="6" t="inlineStr">
        <is>
          <t>FI-006</t>
        </is>
      </c>
      <c r="B10" s="6" t="inlineStr">
        <is>
          <t>여분 마루</t>
        </is>
      </c>
      <c r="C10" s="6" t="inlineStr">
        <is>
          <t>—</t>
        </is>
      </c>
      <c r="D10" s="6" t="inlineStr">
        <is>
          <t>하자 보수용 고객 인계</t>
        </is>
      </c>
      <c r="E10" s="6" t="inlineStr">
        <is>
          <t>필수</t>
        </is>
      </c>
      <c r="F10" s="6" t="inlineStr">
        <is>
          <t>장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</row>
    <row r="11">
      <c r="A11" s="6" t="inlineStr">
        <is>
          <t>FI-007</t>
        </is>
      </c>
      <c r="B11" s="6" t="inlineStr">
        <is>
          <t>여분 필름</t>
        </is>
      </c>
      <c r="C11" s="6" t="inlineStr">
        <is>
          <t>—</t>
        </is>
      </c>
      <c r="D11" s="6" t="inlineStr">
        <is>
          <t>하자 보수용 고객 인계</t>
        </is>
      </c>
      <c r="E11" s="6" t="inlineStr">
        <is>
          <t>필수</t>
        </is>
      </c>
      <c r="F11" s="6" t="inlineStr">
        <is>
          <t>m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</row>
    <row r="12">
      <c r="A12" s="6" t="inlineStr">
        <is>
          <t>FI-008</t>
        </is>
      </c>
      <c r="B12" s="6" t="inlineStr">
        <is>
          <t>스프링클러 커버</t>
        </is>
      </c>
      <c r="C12" s="6" t="inlineStr">
        <is>
          <t>—</t>
        </is>
      </c>
      <c r="D12" s="6" t="inlineStr">
        <is>
          <t>소방 마감 커버</t>
        </is>
      </c>
      <c r="E12" s="6" t="inlineStr">
        <is>
          <t>필수</t>
        </is>
      </c>
      <c r="F12" s="6" t="inlineStr">
        <is>
          <t>개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10">
        <f>IF(G13="","",G13*(1+H13/100))</f>
        <v/>
      </c>
      <c r="J13" s="9" t="n"/>
      <c r="K13" s="9" t="n"/>
      <c r="L13" s="9" t="n"/>
      <c r="M13" s="9" t="n"/>
      <c r="N13" s="9" t="n"/>
      <c r="O13" s="9" t="n"/>
      <c r="P13" s="9" t="n"/>
      <c r="Q13" s="11">
        <f>IF(OR(O13="",P13=""),"",MIN(O13,P13)-N13)</f>
        <v/>
      </c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10">
        <f>IF(G14="","",G14*(1+H14/100))</f>
        <v/>
      </c>
      <c r="J14" s="9" t="n"/>
      <c r="K14" s="9" t="n"/>
      <c r="L14" s="9" t="n"/>
      <c r="M14" s="9" t="n"/>
      <c r="N14" s="9" t="n"/>
      <c r="O14" s="9" t="n"/>
      <c r="P14" s="9" t="n"/>
      <c r="Q14" s="11">
        <f>IF(OR(O14="",P14=""),"",MIN(O14,P14)-N14)</f>
        <v/>
      </c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10">
        <f>IF(G15="","",G15*(1+H15/100))</f>
        <v/>
      </c>
      <c r="J15" s="9" t="n"/>
      <c r="K15" s="9" t="n"/>
      <c r="L15" s="9" t="n"/>
      <c r="M15" s="9" t="n"/>
      <c r="N15" s="9" t="n"/>
      <c r="O15" s="9" t="n"/>
      <c r="P15" s="9" t="n"/>
      <c r="Q15" s="11">
        <f>IF(OR(O15="",P15=""),"",MIN(O15,P15)-N15)</f>
        <v/>
      </c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10">
        <f>IF(G16="","",G16*(1+H16/100))</f>
        <v/>
      </c>
      <c r="J16" s="9" t="n"/>
      <c r="K16" s="9" t="n"/>
      <c r="L16" s="9" t="n"/>
      <c r="M16" s="9" t="n"/>
      <c r="N16" s="9" t="n"/>
      <c r="O16" s="9" t="n"/>
      <c r="P16" s="9" t="n"/>
      <c r="Q16" s="11">
        <f>IF(OR(O16="",P16=""),"",MIN(O16,P16)-N16)</f>
        <v/>
      </c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10">
        <f>IF(G17="","",G17*(1+H17/100))</f>
        <v/>
      </c>
      <c r="J17" s="9" t="n"/>
      <c r="K17" s="9" t="n"/>
      <c r="L17" s="9" t="n"/>
      <c r="M17" s="9" t="n"/>
      <c r="N17" s="9" t="n"/>
      <c r="O17" s="9" t="n"/>
      <c r="P17" s="9" t="n"/>
      <c r="Q17" s="11">
        <f>IF(OR(O17="",P17=""),"",MIN(O17,P17)-N17)</f>
        <v/>
      </c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10">
        <f>IF(G18="","",G18*(1+H18/100))</f>
        <v/>
      </c>
      <c r="J18" s="9" t="n"/>
      <c r="K18" s="9" t="n"/>
      <c r="L18" s="9" t="n"/>
      <c r="M18" s="9" t="n"/>
      <c r="N18" s="9" t="n"/>
      <c r="O18" s="9" t="n"/>
      <c r="P18" s="9" t="n"/>
      <c r="Q18" s="11">
        <f>IF(OR(O18="",P18=""),"",MIN(O18,P18)-N18)</f>
        <v/>
      </c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10">
        <f>IF(G19="","",G19*(1+H19/100))</f>
        <v/>
      </c>
      <c r="J19" s="9" t="n"/>
      <c r="K19" s="9" t="n"/>
      <c r="L19" s="9" t="n"/>
      <c r="M19" s="9" t="n"/>
      <c r="N19" s="9" t="n"/>
      <c r="O19" s="9" t="n"/>
      <c r="P19" s="9" t="n"/>
      <c r="Q19" s="11">
        <f>IF(OR(O19="",P19=""),"",MIN(O19,P19)-N19)</f>
        <v/>
      </c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10">
        <f>IF(G20="","",G20*(1+H20/100))</f>
        <v/>
      </c>
      <c r="J20" s="9" t="n"/>
      <c r="K20" s="9" t="n"/>
      <c r="L20" s="9" t="n"/>
      <c r="M20" s="9" t="n"/>
      <c r="N20" s="9" t="n"/>
      <c r="O20" s="9" t="n"/>
      <c r="P20" s="9" t="n"/>
      <c r="Q20" s="11">
        <f>IF(OR(O20="",P20=""),"",MIN(O20,P20)-N20)</f>
        <v/>
      </c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10">
        <f>IF(G21="","",G21*(1+H21/100))</f>
        <v/>
      </c>
      <c r="J21" s="9" t="n"/>
      <c r="K21" s="9" t="n"/>
      <c r="L21" s="9" t="n"/>
      <c r="M21" s="9" t="n"/>
      <c r="N21" s="9" t="n"/>
      <c r="O21" s="9" t="n"/>
      <c r="P21" s="9" t="n"/>
      <c r="Q21" s="11">
        <f>IF(OR(O21="",P21=""),"",MIN(O21,P21)-N21)</f>
        <v/>
      </c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10">
        <f>IF(G22="","",G22*(1+H22/100))</f>
        <v/>
      </c>
      <c r="J22" s="9" t="n"/>
      <c r="K22" s="9" t="n"/>
      <c r="L22" s="9" t="n"/>
      <c r="M22" s="9" t="n"/>
      <c r="N22" s="9" t="n"/>
      <c r="O22" s="9" t="n"/>
      <c r="P22" s="9" t="n"/>
      <c r="Q22" s="11">
        <f>IF(OR(O22="",P22=""),"",MIN(O22,P22)-N22)</f>
        <v/>
      </c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10">
        <f>IF(G23="","",G23*(1+H23/100))</f>
        <v/>
      </c>
      <c r="J23" s="9" t="n"/>
      <c r="K23" s="9" t="n"/>
      <c r="L23" s="9" t="n"/>
      <c r="M23" s="9" t="n"/>
      <c r="N23" s="9" t="n"/>
      <c r="O23" s="9" t="n"/>
      <c r="P23" s="9" t="n"/>
      <c r="Q23" s="11">
        <f>IF(OR(O23="",P23=""),"",MIN(O23,P23)-N23)</f>
        <v/>
      </c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10">
        <f>IF(G24="","",G24*(1+H24/100))</f>
        <v/>
      </c>
      <c r="J24" s="9" t="n"/>
      <c r="K24" s="9" t="n"/>
      <c r="L24" s="9" t="n"/>
      <c r="M24" s="9" t="n"/>
      <c r="N24" s="9" t="n"/>
      <c r="O24" s="9" t="n"/>
      <c r="P24" s="9" t="n"/>
      <c r="Q24" s="11">
        <f>IF(OR(O24="",P24=""),"",MIN(O24,P24)-N24)</f>
        <v/>
      </c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10">
        <f>IF(G25="","",G25*(1+H25/100))</f>
        <v/>
      </c>
      <c r="J25" s="9" t="n"/>
      <c r="K25" s="9" t="n"/>
      <c r="L25" s="9" t="n"/>
      <c r="M25" s="9" t="n"/>
      <c r="N25" s="9" t="n"/>
      <c r="O25" s="9" t="n"/>
      <c r="P25" s="9" t="n"/>
      <c r="Q25" s="11">
        <f>IF(OR(O25="",P25=""),"",MIN(O25,P25)-N25)</f>
        <v/>
      </c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10">
        <f>IF(G26="","",G26*(1+H26/100))</f>
        <v/>
      </c>
      <c r="J26" s="9" t="n"/>
      <c r="K26" s="9" t="n"/>
      <c r="L26" s="9" t="n"/>
      <c r="M26" s="9" t="n"/>
      <c r="N26" s="9" t="n"/>
      <c r="O26" s="9" t="n"/>
      <c r="P26" s="9" t="n"/>
      <c r="Q26" s="11">
        <f>IF(OR(O26="",P26=""),"",MIN(O26,P26)-N26)</f>
        <v/>
      </c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10">
        <f>IF(G27="","",G27*(1+H27/100))</f>
        <v/>
      </c>
      <c r="J27" s="9" t="n"/>
      <c r="K27" s="9" t="n"/>
      <c r="L27" s="9" t="n"/>
      <c r="M27" s="9" t="n"/>
      <c r="N27" s="9" t="n"/>
      <c r="O27" s="9" t="n"/>
      <c r="P27" s="9" t="n"/>
      <c r="Q27" s="11">
        <f>IF(OR(O27="",P27=""),"",MIN(O27,P27)-N27)</f>
        <v/>
      </c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9">
      <c r="A29" s="12" t="inlineStr">
        <is>
          <t>※ 파란 셀 = 수식 자동계산 | 소요량·로스율은 대표 확인 필요 | 가격은 유통 확인 필요</t>
        </is>
      </c>
    </row>
  </sheetData>
  <autoFilter ref="A4:Z27"/>
  <mergeCells count="8">
    <mergeCell ref="R3:U3"/>
    <mergeCell ref="A1:Z1"/>
    <mergeCell ref="J3:Q3"/>
    <mergeCell ref="Y3:Z3"/>
    <mergeCell ref="A3:I3"/>
    <mergeCell ref="A2:Z2"/>
    <mergeCell ref="V3:X3"/>
    <mergeCell ref="A29:Z2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D8936"/>
    <outlinePr summaryBelow="1" summaryRight="1"/>
    <pageSetUpPr/>
  </sheetPr>
  <dimension ref="A1:O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6" customWidth="1" min="3" max="3"/>
    <col width="10" customWidth="1" min="4" max="4"/>
    <col width="7" customWidth="1" min="5" max="5"/>
    <col width="7" customWidth="1" min="6" max="6"/>
    <col width="7" customWidth="1" min="7" max="7"/>
    <col width="11" customWidth="1" min="8" max="8"/>
    <col width="11" customWidth="1" min="9" max="9"/>
    <col width="12" customWidth="1" min="10" max="10"/>
    <col width="10" customWidth="1" min="11" max="11"/>
    <col width="9" customWidth="1" min="12" max="12"/>
    <col width="8" customWidth="1" min="13" max="13"/>
    <col width="14" customWidth="1" min="14" max="14"/>
    <col width="14" customWidth="1" min="15" max="15"/>
  </cols>
  <sheetData>
    <row r="1">
      <c r="A1" s="1" t="inlineStr">
        <is>
          <t>공정 마스터</t>
        </is>
      </c>
    </row>
    <row r="2">
      <c r="A2" s="2" t="inlineStr">
        <is>
          <t>공정 1개 = 1행 | 순서·단가·가이드 통합</t>
        </is>
      </c>
    </row>
    <row r="3">
      <c r="A3" s="3" t="inlineStr">
        <is>
          <t>기본+순서</t>
        </is>
      </c>
      <c r="B3" s="4" t="n"/>
      <c r="C3" s="4" t="n"/>
      <c r="D3" s="4" t="n"/>
      <c r="E3" s="4" t="n"/>
      <c r="F3" s="4" t="n"/>
      <c r="G3" s="4" t="n"/>
      <c r="H3" s="3" t="inlineStr">
        <is>
          <t>적정 단가</t>
        </is>
      </c>
      <c r="I3" s="4" t="n"/>
      <c r="J3" s="4" t="n"/>
      <c r="K3" s="4" t="n"/>
      <c r="L3" s="4" t="n"/>
      <c r="M3" s="3" t="inlineStr">
        <is>
          <t>가이드</t>
        </is>
      </c>
      <c r="N3" s="4" t="n"/>
      <c r="O3" s="3" t="inlineStr">
        <is>
          <t>자재시트</t>
        </is>
      </c>
    </row>
    <row r="4">
      <c r="A4" s="5" t="inlineStr">
        <is>
          <t>공정코드</t>
        </is>
      </c>
      <c r="B4" s="5" t="inlineStr">
        <is>
          <t>공정명</t>
        </is>
      </c>
      <c r="C4" s="5" t="inlineStr">
        <is>
          <t>순서</t>
        </is>
      </c>
      <c r="D4" s="5" t="inlineStr">
        <is>
          <t>선행공정</t>
        </is>
      </c>
      <c r="E4" s="5" t="inlineStr">
        <is>
          <t>시공일</t>
        </is>
      </c>
      <c r="F4" s="5" t="inlineStr">
        <is>
          <t>양생일</t>
        </is>
      </c>
      <c r="G4" s="5" t="inlineStr">
        <is>
          <t>합계일</t>
        </is>
      </c>
      <c r="H4" s="5" t="inlineStr">
        <is>
          <t>자재비(㎡당)</t>
        </is>
      </c>
      <c r="I4" s="5" t="inlineStr">
        <is>
          <t>인건비(㎡당)</t>
        </is>
      </c>
      <c r="J4" s="5" t="inlineStr">
        <is>
          <t>적정합계</t>
        </is>
      </c>
      <c r="K4" s="5" t="inlineStr">
        <is>
          <t>기능공일당</t>
        </is>
      </c>
      <c r="L4" s="5" t="inlineStr">
        <is>
          <t>㎡당공수</t>
        </is>
      </c>
      <c r="M4" s="5" t="inlineStr">
        <is>
          <t>셀프난이도</t>
        </is>
      </c>
      <c r="N4" s="5" t="inlineStr">
        <is>
          <t>가이드문서</t>
        </is>
      </c>
      <c r="O4" s="5" t="inlineStr">
        <is>
          <t>자재시트</t>
        </is>
      </c>
    </row>
    <row r="5">
      <c r="A5" s="6" t="inlineStr">
        <is>
          <t>PRE</t>
        </is>
      </c>
      <c r="B5" s="6" t="inlineStr">
        <is>
          <t>공사전 준비</t>
        </is>
      </c>
      <c r="C5" s="6" t="n">
        <v>0</v>
      </c>
      <c r="D5" s="6" t="inlineStr">
        <is>
          <t>—</t>
        </is>
      </c>
      <c r="E5" s="6" t="n">
        <v>1</v>
      </c>
      <c r="F5" s="6" t="n">
        <v>0</v>
      </c>
      <c r="G5" s="6">
        <f>E5+F5</f>
        <v/>
      </c>
      <c r="H5" s="6" t="inlineStr">
        <is>
          <t>—</t>
        </is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n">
        <v>0</v>
      </c>
      <c r="M5" s="6" t="inlineStr">
        <is>
          <t>—</t>
        </is>
      </c>
      <c r="N5" s="6" t="inlineStr"/>
      <c r="O5" s="6" t="inlineStr">
        <is>
          <t>자재_01_공사전</t>
        </is>
      </c>
    </row>
    <row r="6">
      <c r="A6" s="6" t="inlineStr">
        <is>
          <t>PROC-01</t>
        </is>
      </c>
      <c r="B6" s="6" t="inlineStr">
        <is>
          <t>철거</t>
        </is>
      </c>
      <c r="C6" s="6" t="n">
        <v>1</v>
      </c>
      <c r="D6" s="6" t="inlineStr">
        <is>
          <t>—</t>
        </is>
      </c>
      <c r="E6" s="6" t="n">
        <v>2</v>
      </c>
      <c r="F6" s="6" t="n">
        <v>0</v>
      </c>
      <c r="G6" s="6">
        <f>E6+F6</f>
        <v/>
      </c>
      <c r="H6" s="6" t="inlineStr">
        <is>
          <t>—</t>
        </is>
      </c>
      <c r="I6" s="6" t="inlineStr">
        <is>
          <t>—</t>
        </is>
      </c>
      <c r="J6" s="6" t="inlineStr">
        <is>
          <t>—</t>
        </is>
      </c>
      <c r="K6" s="6" t="inlineStr">
        <is>
          <t>20만/일</t>
        </is>
      </c>
      <c r="L6" s="6" t="n">
        <v>0</v>
      </c>
      <c r="M6" s="6" t="inlineStr">
        <is>
          <t>하</t>
        </is>
      </c>
      <c r="N6" s="6" t="inlineStr"/>
      <c r="O6" s="6" t="inlineStr">
        <is>
          <t>자재_02_철거</t>
        </is>
      </c>
    </row>
    <row r="7">
      <c r="A7" s="6" t="inlineStr">
        <is>
          <t>PROC-02</t>
        </is>
      </c>
      <c r="B7" s="6" t="inlineStr">
        <is>
          <t>설비(배관)</t>
        </is>
      </c>
      <c r="C7" s="6" t="n">
        <v>2</v>
      </c>
      <c r="D7" s="6" t="inlineStr">
        <is>
          <t>PROC-01</t>
        </is>
      </c>
      <c r="E7" s="6" t="n">
        <v>2</v>
      </c>
      <c r="F7" s="6" t="n">
        <v>0</v>
      </c>
      <c r="G7" s="6">
        <f>E7+F7</f>
        <v/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25만/일</t>
        </is>
      </c>
      <c r="L7" s="6" t="n">
        <v>0</v>
      </c>
      <c r="M7" s="6" t="inlineStr">
        <is>
          <t>상</t>
        </is>
      </c>
      <c r="N7" s="6" t="inlineStr"/>
      <c r="O7" s="6" t="inlineStr">
        <is>
          <t>자재_03_설비</t>
        </is>
      </c>
    </row>
    <row r="8">
      <c r="A8" s="6" t="inlineStr">
        <is>
          <t>PROC-03</t>
        </is>
      </c>
      <c r="B8" s="6" t="inlineStr">
        <is>
          <t>전기</t>
        </is>
      </c>
      <c r="C8" s="6" t="n">
        <v>3</v>
      </c>
      <c r="D8" s="6" t="inlineStr">
        <is>
          <t>PROC-01</t>
        </is>
      </c>
      <c r="E8" s="6" t="n">
        <v>1</v>
      </c>
      <c r="F8" s="6" t="n">
        <v>0</v>
      </c>
      <c r="G8" s="6">
        <f>E8+F8</f>
        <v/>
      </c>
      <c r="H8" s="6" t="inlineStr">
        <is>
          <t>—</t>
        </is>
      </c>
      <c r="I8" s="6" t="inlineStr">
        <is>
          <t>—</t>
        </is>
      </c>
      <c r="J8" s="6" t="inlineStr">
        <is>
          <t>—</t>
        </is>
      </c>
      <c r="K8" s="6" t="inlineStr">
        <is>
          <t>25만/일</t>
        </is>
      </c>
      <c r="L8" s="6" t="n">
        <v>0</v>
      </c>
      <c r="M8" s="6" t="inlineStr">
        <is>
          <t>상</t>
        </is>
      </c>
      <c r="N8" s="6" t="inlineStr"/>
      <c r="O8" s="6" t="inlineStr">
        <is>
          <t>자재_04_전기</t>
        </is>
      </c>
    </row>
    <row r="9">
      <c r="A9" s="6" t="inlineStr">
        <is>
          <t>PROC-04</t>
        </is>
      </c>
      <c r="B9" s="6" t="inlineStr">
        <is>
          <t>방수</t>
        </is>
      </c>
      <c r="C9" s="6" t="n">
        <v>4</v>
      </c>
      <c r="D9" s="6" t="inlineStr">
        <is>
          <t>PROC-02</t>
        </is>
      </c>
      <c r="E9" s="6" t="n">
        <v>1</v>
      </c>
      <c r="F9" s="6" t="n">
        <v>2</v>
      </c>
      <c r="G9" s="6">
        <f>E9+F9</f>
        <v/>
      </c>
      <c r="H9" s="6" t="inlineStr">
        <is>
          <t>1~2만</t>
        </is>
      </c>
      <c r="I9" s="6" t="inlineStr">
        <is>
          <t>2~3만</t>
        </is>
      </c>
      <c r="J9" s="6" t="inlineStr">
        <is>
          <t>3~5만/㎡</t>
        </is>
      </c>
      <c r="K9" s="6" t="inlineStr">
        <is>
          <t>25만/일</t>
        </is>
      </c>
      <c r="L9" s="6" t="n">
        <v>0.1</v>
      </c>
      <c r="M9" s="6" t="inlineStr">
        <is>
          <t>중</t>
        </is>
      </c>
      <c r="N9" s="6" t="inlineStr"/>
      <c r="O9" s="6" t="inlineStr">
        <is>
          <t>자재_05_방수</t>
        </is>
      </c>
    </row>
    <row r="10">
      <c r="A10" s="6" t="inlineStr">
        <is>
          <t>PROC-05</t>
        </is>
      </c>
      <c r="B10" s="6" t="inlineStr">
        <is>
          <t>창호</t>
        </is>
      </c>
      <c r="C10" s="6" t="n">
        <v>5</v>
      </c>
      <c r="D10" s="6" t="inlineStr">
        <is>
          <t>PROC-01</t>
        </is>
      </c>
      <c r="E10" s="6" t="n">
        <v>1</v>
      </c>
      <c r="F10" s="6" t="n">
        <v>0</v>
      </c>
      <c r="G10" s="6">
        <f>E10+F10</f>
        <v/>
      </c>
      <c r="H10" s="6" t="inlineStr">
        <is>
          <t>—</t>
        </is>
      </c>
      <c r="I10" s="6" t="inlineStr">
        <is>
          <t>—</t>
        </is>
      </c>
      <c r="J10" s="6" t="inlineStr">
        <is>
          <t>—</t>
        </is>
      </c>
      <c r="K10" s="6" t="inlineStr">
        <is>
          <t>—</t>
        </is>
      </c>
      <c r="L10" s="6" t="n">
        <v>0</v>
      </c>
      <c r="M10" s="6" t="inlineStr">
        <is>
          <t>상</t>
        </is>
      </c>
      <c r="N10" s="6" t="inlineStr"/>
      <c r="O10" s="6" t="inlineStr">
        <is>
          <t>자재_06_창호</t>
        </is>
      </c>
    </row>
    <row r="11">
      <c r="A11" s="6" t="inlineStr">
        <is>
          <t>PROC-06</t>
        </is>
      </c>
      <c r="B11" s="6" t="inlineStr">
        <is>
          <t>목공</t>
        </is>
      </c>
      <c r="C11" s="6" t="n">
        <v>6</v>
      </c>
      <c r="D11" s="6" t="inlineStr">
        <is>
          <t>PROC-04</t>
        </is>
      </c>
      <c r="E11" s="6" t="n">
        <v>3</v>
      </c>
      <c r="F11" s="6" t="n">
        <v>1</v>
      </c>
      <c r="G11" s="6">
        <f>E11+F11</f>
        <v/>
      </c>
      <c r="H11" s="6" t="inlineStr">
        <is>
          <t>2~5만</t>
        </is>
      </c>
      <c r="I11" s="6" t="inlineStr">
        <is>
          <t>3~5만</t>
        </is>
      </c>
      <c r="J11" s="6" t="inlineStr">
        <is>
          <t>5~10만/㎡</t>
        </is>
      </c>
      <c r="K11" s="6" t="inlineStr">
        <is>
          <t>28만/일</t>
        </is>
      </c>
      <c r="L11" s="6" t="n">
        <v>0.12</v>
      </c>
      <c r="M11" s="6" t="inlineStr">
        <is>
          <t>상</t>
        </is>
      </c>
      <c r="N11" s="6" t="inlineStr"/>
      <c r="O11" s="6" t="inlineStr">
        <is>
          <t>자재_07_목공</t>
        </is>
      </c>
    </row>
    <row r="12">
      <c r="A12" s="6" t="inlineStr">
        <is>
          <t>PROC-07</t>
        </is>
      </c>
      <c r="B12" s="6" t="inlineStr">
        <is>
          <t>필름</t>
        </is>
      </c>
      <c r="C12" s="6" t="n">
        <v>7</v>
      </c>
      <c r="D12" s="6" t="inlineStr">
        <is>
          <t>PROC-06</t>
        </is>
      </c>
      <c r="E12" s="6" t="n">
        <v>1</v>
      </c>
      <c r="F12" s="6" t="n">
        <v>0</v>
      </c>
      <c r="G12" s="6">
        <f>E12+F12</f>
        <v/>
      </c>
      <c r="H12" s="6" t="inlineStr">
        <is>
          <t>1~3만</t>
        </is>
      </c>
      <c r="I12" s="6" t="inlineStr">
        <is>
          <t>1~2만</t>
        </is>
      </c>
      <c r="J12" s="6" t="inlineStr">
        <is>
          <t>2~5만/㎡</t>
        </is>
      </c>
      <c r="K12" s="6" t="inlineStr">
        <is>
          <t>20만/일</t>
        </is>
      </c>
      <c r="L12" s="6" t="n">
        <v>0.05</v>
      </c>
      <c r="M12" s="6" t="inlineStr">
        <is>
          <t>중</t>
        </is>
      </c>
      <c r="N12" s="6" t="inlineStr"/>
      <c r="O12" s="6" t="inlineStr">
        <is>
          <t>자재_08_필름</t>
        </is>
      </c>
    </row>
    <row r="13">
      <c r="A13" s="6" t="inlineStr">
        <is>
          <t>PROC-08</t>
        </is>
      </c>
      <c r="B13" s="6" t="inlineStr">
        <is>
          <t>타일</t>
        </is>
      </c>
      <c r="C13" s="6" t="n">
        <v>8</v>
      </c>
      <c r="D13" s="6" t="inlineStr">
        <is>
          <t>PROC-04</t>
        </is>
      </c>
      <c r="E13" s="6" t="n">
        <v>3</v>
      </c>
      <c r="F13" s="6" t="n">
        <v>1</v>
      </c>
      <c r="G13" s="6">
        <f>E13+F13</f>
        <v/>
      </c>
      <c r="H13" s="6" t="inlineStr">
        <is>
          <t>3~8만</t>
        </is>
      </c>
      <c r="I13" s="6" t="inlineStr">
        <is>
          <t>3~5만</t>
        </is>
      </c>
      <c r="J13" s="6" t="inlineStr">
        <is>
          <t>6~13만/㎡</t>
        </is>
      </c>
      <c r="K13" s="6" t="inlineStr">
        <is>
          <t>30만/일</t>
        </is>
      </c>
      <c r="L13" s="6" t="n">
        <v>0.15</v>
      </c>
      <c r="M13" s="6" t="inlineStr">
        <is>
          <t>상</t>
        </is>
      </c>
      <c r="N13" s="6" t="inlineStr"/>
      <c r="O13" s="6" t="inlineStr">
        <is>
          <t>자재_09_타일</t>
        </is>
      </c>
    </row>
    <row r="14">
      <c r="A14" s="6" t="inlineStr">
        <is>
          <t>PROC-09</t>
        </is>
      </c>
      <c r="B14" s="6" t="inlineStr">
        <is>
          <t>도장</t>
        </is>
      </c>
      <c r="C14" s="6" t="n">
        <v>9</v>
      </c>
      <c r="D14" s="6" t="inlineStr">
        <is>
          <t>PROC-06</t>
        </is>
      </c>
      <c r="E14" s="6" t="n">
        <v>2</v>
      </c>
      <c r="F14" s="6" t="n">
        <v>1</v>
      </c>
      <c r="G14" s="6">
        <f>E14+F14</f>
        <v/>
      </c>
      <c r="H14" s="6" t="inlineStr">
        <is>
          <t>0.3~1만</t>
        </is>
      </c>
      <c r="I14" s="6" t="inlineStr">
        <is>
          <t>0.5~1만</t>
        </is>
      </c>
      <c r="J14" s="6" t="inlineStr">
        <is>
          <t>1~2만/㎡</t>
        </is>
      </c>
      <c r="K14" s="6" t="inlineStr">
        <is>
          <t>20만/일</t>
        </is>
      </c>
      <c r="L14" s="6" t="n">
        <v>0.05</v>
      </c>
      <c r="M14" s="6" t="inlineStr">
        <is>
          <t>하</t>
        </is>
      </c>
      <c r="N14" s="6" t="inlineStr"/>
      <c r="O14" s="6" t="inlineStr">
        <is>
          <t>자재_10_도장</t>
        </is>
      </c>
    </row>
    <row r="15">
      <c r="A15" s="6" t="inlineStr">
        <is>
          <t>PROC-10</t>
        </is>
      </c>
      <c r="B15" s="6" t="inlineStr">
        <is>
          <t>마루/바닥</t>
        </is>
      </c>
      <c r="C15" s="6" t="n">
        <v>10</v>
      </c>
      <c r="D15" s="6" t="inlineStr">
        <is>
          <t>PROC-09</t>
        </is>
      </c>
      <c r="E15" s="6" t="n">
        <v>2</v>
      </c>
      <c r="F15" s="6" t="n">
        <v>0</v>
      </c>
      <c r="G15" s="6">
        <f>E15+F15</f>
        <v/>
      </c>
      <c r="H15" s="6" t="inlineStr">
        <is>
          <t>2~6만</t>
        </is>
      </c>
      <c r="I15" s="6" t="inlineStr">
        <is>
          <t>1~3만</t>
        </is>
      </c>
      <c r="J15" s="6" t="inlineStr">
        <is>
          <t>3~9만/㎡</t>
        </is>
      </c>
      <c r="K15" s="6" t="inlineStr">
        <is>
          <t>25만/일</t>
        </is>
      </c>
      <c r="L15" s="6" t="n">
        <v>0.08</v>
      </c>
      <c r="M15" s="6" t="inlineStr">
        <is>
          <t>중</t>
        </is>
      </c>
      <c r="N15" s="6" t="inlineStr"/>
      <c r="O15" s="6" t="inlineStr">
        <is>
          <t>자재_11_마루</t>
        </is>
      </c>
    </row>
    <row r="16">
      <c r="A16" s="6" t="inlineStr">
        <is>
          <t>PROC-11</t>
        </is>
      </c>
      <c r="B16" s="6" t="inlineStr">
        <is>
          <t>도배</t>
        </is>
      </c>
      <c r="C16" s="6" t="n">
        <v>11</v>
      </c>
      <c r="D16" s="6" t="inlineStr">
        <is>
          <t>PROC-09</t>
        </is>
      </c>
      <c r="E16" s="6" t="n">
        <v>2</v>
      </c>
      <c r="F16" s="6" t="n">
        <v>0</v>
      </c>
      <c r="G16" s="6">
        <f>E16+F16</f>
        <v/>
      </c>
      <c r="H16" s="6" t="inlineStr">
        <is>
          <t>0.5~2만</t>
        </is>
      </c>
      <c r="I16" s="6" t="inlineStr">
        <is>
          <t>0.5~1만</t>
        </is>
      </c>
      <c r="J16" s="6" t="inlineStr">
        <is>
          <t>1~3만/㎡</t>
        </is>
      </c>
      <c r="K16" s="6" t="inlineStr">
        <is>
          <t>22만/일</t>
        </is>
      </c>
      <c r="L16" s="6" t="n">
        <v>0.06</v>
      </c>
      <c r="M16" s="6" t="inlineStr">
        <is>
          <t>하</t>
        </is>
      </c>
      <c r="N16" s="6" t="inlineStr"/>
      <c r="O16" s="6" t="inlineStr">
        <is>
          <t>자재_12_도배</t>
        </is>
      </c>
    </row>
    <row r="17">
      <c r="A17" s="6" t="inlineStr">
        <is>
          <t>PROC-12</t>
        </is>
      </c>
      <c r="B17" s="6" t="inlineStr">
        <is>
          <t>가구</t>
        </is>
      </c>
      <c r="C17" s="6" t="n">
        <v>12</v>
      </c>
      <c r="D17" s="6" t="inlineStr">
        <is>
          <t>PROC-11</t>
        </is>
      </c>
      <c r="E17" s="6" t="n">
        <v>3</v>
      </c>
      <c r="F17" s="6" t="n">
        <v>0</v>
      </c>
      <c r="G17" s="6">
        <f>E17+F17</f>
        <v/>
      </c>
      <c r="H17" s="6" t="inlineStr">
        <is>
          <t>—</t>
        </is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n">
        <v>0</v>
      </c>
      <c r="M17" s="6" t="inlineStr">
        <is>
          <t>상</t>
        </is>
      </c>
      <c r="N17" s="6" t="inlineStr"/>
      <c r="O17" s="6" t="inlineStr">
        <is>
          <t>자재_13_가구</t>
        </is>
      </c>
    </row>
    <row r="18">
      <c r="A18" s="6" t="inlineStr">
        <is>
          <t>PROC-13</t>
        </is>
      </c>
      <c r="B18" s="6" t="inlineStr">
        <is>
          <t>도기/마감</t>
        </is>
      </c>
      <c r="C18" s="6" t="n">
        <v>13</v>
      </c>
      <c r="D18" s="6" t="inlineStr">
        <is>
          <t>PROC-12</t>
        </is>
      </c>
      <c r="E18" s="6" t="n">
        <v>2</v>
      </c>
      <c r="F18" s="6" t="n">
        <v>0</v>
      </c>
      <c r="G18" s="6">
        <f>E18+F18</f>
        <v/>
      </c>
      <c r="H18" s="6" t="inlineStr">
        <is>
          <t>—</t>
        </is>
      </c>
      <c r="I18" s="6" t="inlineStr">
        <is>
          <t>—</t>
        </is>
      </c>
      <c r="J18" s="6" t="inlineStr">
        <is>
          <t>—</t>
        </is>
      </c>
      <c r="K18" s="6" t="inlineStr">
        <is>
          <t>—</t>
        </is>
      </c>
      <c r="L18" s="6" t="n">
        <v>0</v>
      </c>
      <c r="M18" s="6" t="inlineStr">
        <is>
          <t>중</t>
        </is>
      </c>
      <c r="N18" s="6" t="inlineStr"/>
      <c r="O18" s="6" t="inlineStr">
        <is>
          <t>자재_14_도기마감</t>
        </is>
      </c>
    </row>
    <row r="19">
      <c r="A19" s="6" t="inlineStr">
        <is>
          <t>PROC-14</t>
        </is>
      </c>
      <c r="B19" s="6" t="inlineStr">
        <is>
          <t>준공점검</t>
        </is>
      </c>
      <c r="C19" s="6" t="n">
        <v>14</v>
      </c>
      <c r="D19" s="6" t="inlineStr">
        <is>
          <t>PROC-13</t>
        </is>
      </c>
      <c r="E19" s="6" t="n">
        <v>1</v>
      </c>
      <c r="F19" s="6" t="n">
        <v>0</v>
      </c>
      <c r="G19" s="6">
        <f>E19+F19</f>
        <v/>
      </c>
      <c r="H19" s="6" t="inlineStr">
        <is>
          <t>—</t>
        </is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n">
        <v>0</v>
      </c>
      <c r="M19" s="6" t="inlineStr">
        <is>
          <t>하</t>
        </is>
      </c>
      <c r="N19" s="6" t="inlineStr"/>
      <c r="O19" s="6" t="inlineStr">
        <is>
          <t>자재_15_준공</t>
        </is>
      </c>
    </row>
  </sheetData>
  <mergeCells count="6">
    <mergeCell ref="H3:L3"/>
    <mergeCell ref="A2:O2"/>
    <mergeCell ref="A3:G3"/>
    <mergeCell ref="O3"/>
    <mergeCell ref="A1:O1"/>
    <mergeCell ref="M3:N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FC8181"/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5" customWidth="1" min="4" max="4"/>
    <col width="8" customWidth="1" min="5" max="5"/>
    <col width="30" customWidth="1" min="6" max="6"/>
    <col width="18" customWidth="1" min="7" max="7"/>
  </cols>
  <sheetData>
    <row r="1">
      <c r="A1" s="1" t="inlineStr">
        <is>
          <t>자재 호환성</t>
        </is>
      </c>
    </row>
    <row r="2">
      <c r="A2" s="2" t="inlineStr">
        <is>
          <t>NG/조건부만 기록</t>
        </is>
      </c>
    </row>
    <row r="4">
      <c r="A4" s="5" t="inlineStr">
        <is>
          <t>자재코드A</t>
        </is>
      </c>
      <c r="B4" s="5" t="inlineStr">
        <is>
          <t>자재명A</t>
        </is>
      </c>
      <c r="C4" s="5" t="inlineStr">
        <is>
          <t>자재코드B</t>
        </is>
      </c>
      <c r="D4" s="5" t="inlineStr">
        <is>
          <t>자재명B</t>
        </is>
      </c>
      <c r="E4" s="5" t="inlineStr">
        <is>
          <t>판정</t>
        </is>
      </c>
      <c r="F4" s="5" t="inlineStr">
        <is>
          <t>사유</t>
        </is>
      </c>
      <c r="G4" s="5" t="inlineStr">
        <is>
          <t>대체추천</t>
        </is>
      </c>
    </row>
    <row r="5">
      <c r="A5" s="6" t="inlineStr">
        <is>
          <t>WP-004</t>
        </is>
      </c>
      <c r="B5" s="6" t="inlineStr">
        <is>
          <t>우레탄 방수재</t>
        </is>
      </c>
      <c r="C5" s="6" t="inlineStr">
        <is>
          <t>TL-007</t>
        </is>
      </c>
      <c r="D5" s="6" t="inlineStr">
        <is>
          <t>타일본드(시멘트)</t>
        </is>
      </c>
      <c r="E5" s="6" t="inlineStr">
        <is>
          <t>NG</t>
        </is>
      </c>
      <c r="F5" s="6" t="inlineStr">
        <is>
          <t>우레탄 위 시멘트 본드 부착력 없음</t>
        </is>
      </c>
      <c r="G5" s="6" t="inlineStr">
        <is>
          <t>에폭시 본드</t>
        </is>
      </c>
    </row>
    <row r="6">
      <c r="A6" s="6" t="inlineStr">
        <is>
          <t>WP-001</t>
        </is>
      </c>
      <c r="B6" s="6" t="inlineStr">
        <is>
          <t>수성 방수액</t>
        </is>
      </c>
      <c r="C6" s="6" t="inlineStr">
        <is>
          <t>TL-001</t>
        </is>
      </c>
      <c r="D6" s="6" t="inlineStr">
        <is>
          <t>포세린 타일</t>
        </is>
      </c>
      <c r="E6" s="6" t="inlineStr">
        <is>
          <t>조건부</t>
        </is>
      </c>
      <c r="F6" s="6" t="inlineStr">
        <is>
          <t>완전 경화(24~48h) 후에만 가능</t>
        </is>
      </c>
      <c r="G6" s="6" t="inlineStr">
        <is>
          <t>—</t>
        </is>
      </c>
    </row>
    <row r="7">
      <c r="A7" s="6" t="inlineStr">
        <is>
          <t>PT-001</t>
        </is>
      </c>
      <c r="B7" s="6" t="inlineStr">
        <is>
          <t>수성 페인트</t>
        </is>
      </c>
      <c r="C7" s="6" t="inlineStr">
        <is>
          <t>PT-002</t>
        </is>
      </c>
      <c r="D7" s="6" t="inlineStr">
        <is>
          <t>수성 페인트(컬러)</t>
        </is>
      </c>
      <c r="E7" s="6" t="inlineStr">
        <is>
          <t>조건부</t>
        </is>
      </c>
      <c r="F7" s="6" t="inlineStr">
        <is>
          <t>하도 건조 후 상도. 동시 도포 불가</t>
        </is>
      </c>
      <c r="G7" s="6" t="inlineStr">
        <is>
          <t>—</t>
        </is>
      </c>
    </row>
    <row r="8">
      <c r="A8" s="6" t="inlineStr">
        <is>
          <t>WP-001</t>
        </is>
      </c>
      <c r="B8" s="6" t="inlineStr">
        <is>
          <t>수성 방수액</t>
        </is>
      </c>
      <c r="C8" s="6" t="inlineStr">
        <is>
          <t>WP-008</t>
        </is>
      </c>
      <c r="D8" s="6" t="inlineStr">
        <is>
          <t>셀프레벨링</t>
        </is>
      </c>
      <c r="E8" s="6" t="inlineStr">
        <is>
          <t>조건부</t>
        </is>
      </c>
      <c r="F8" s="6" t="inlineStr">
        <is>
          <t>방수 완전 경화 후 타설</t>
        </is>
      </c>
      <c r="G8" s="6" t="inlineStr">
        <is>
          <t>—</t>
        </is>
      </c>
    </row>
    <row r="9">
      <c r="A9" s="6" t="inlineStr">
        <is>
          <t>FN-011</t>
        </is>
      </c>
      <c r="B9" s="6" t="inlineStr">
        <is>
          <t>EVA 본드</t>
        </is>
      </c>
      <c r="C9" s="6" t="inlineStr">
        <is>
          <t>—</t>
        </is>
      </c>
      <c r="D9" s="6" t="inlineStr">
        <is>
          <t>수분 노출면</t>
        </is>
      </c>
      <c r="E9" s="6" t="inlineStr">
        <is>
          <t>NG</t>
        </is>
      </c>
      <c r="F9" s="6" t="inlineStr">
        <is>
          <t>열가소성이라 수분에 약함</t>
        </is>
      </c>
      <c r="G9" s="6" t="inlineStr">
        <is>
          <t>PUR 본드</t>
        </is>
      </c>
    </row>
  </sheetData>
  <mergeCells count="2">
    <mergeCell ref="A2:G2"/>
    <mergeCell ref="A1:G1"/>
  </mergeCells>
  <dataValidations count="1">
    <dataValidation sqref="E5:E100" showDropDown="0" showInputMessage="0" showErrorMessage="0" allowBlank="1" type="list">
      <formula1>"NG,조건부"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9F7AEA"/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0" customWidth="1" min="4" max="4"/>
    <col width="10" customWidth="1" min="5" max="5"/>
    <col width="14" customWidth="1" min="6" max="6"/>
    <col width="10" customWidth="1" min="7" max="7"/>
    <col width="16" customWidth="1" min="8" max="8"/>
  </cols>
  <sheetData>
    <row r="1">
      <c r="A1" s="1" t="inlineStr">
        <is>
          <t>공급사 테이블</t>
        </is>
      </c>
    </row>
    <row r="3">
      <c r="A3" s="5" t="inlineStr">
        <is>
          <t>공급사코드</t>
        </is>
      </c>
      <c r="B3" s="5" t="inlineStr">
        <is>
          <t>공급사명</t>
        </is>
      </c>
      <c r="C3" s="5" t="inlineStr">
        <is>
          <t>취급카테고리</t>
        </is>
      </c>
      <c r="D3" s="5" t="inlineStr">
        <is>
          <t>리드타임</t>
        </is>
      </c>
      <c r="E3" s="5" t="inlineStr">
        <is>
          <t>최소주문</t>
        </is>
      </c>
      <c r="F3" s="5" t="inlineStr">
        <is>
          <t>반품조건</t>
        </is>
      </c>
      <c r="G3" s="5" t="inlineStr">
        <is>
          <t>결제조건</t>
        </is>
      </c>
      <c r="H3" s="5" t="inlineStr">
        <is>
          <t>연락처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38B2AC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공간 유형별 표준 면적</t>
        </is>
      </c>
    </row>
    <row r="3">
      <c r="A3" s="5" t="inlineStr">
        <is>
          <t>평형대</t>
        </is>
      </c>
      <c r="B3" s="5" t="inlineStr">
        <is>
          <t>전용면적(㎡)</t>
        </is>
      </c>
      <c r="C3" s="5" t="inlineStr">
        <is>
          <t>욕실(㎡)</t>
        </is>
      </c>
      <c r="D3" s="5" t="inlineStr">
        <is>
          <t>주방(㎡)</t>
        </is>
      </c>
      <c r="E3" s="5" t="inlineStr">
        <is>
          <t>거실(㎡)</t>
        </is>
      </c>
      <c r="F3" s="5" t="inlineStr">
        <is>
          <t>안방(㎡)</t>
        </is>
      </c>
      <c r="G3" s="5" t="inlineStr">
        <is>
          <t>작은방(㎡)</t>
        </is>
      </c>
      <c r="H3" s="5" t="inlineStr">
        <is>
          <t>베란다(㎡)</t>
        </is>
      </c>
    </row>
    <row r="4">
      <c r="A4" s="6" t="inlineStr">
        <is>
          <t>18평</t>
        </is>
      </c>
      <c r="B4" s="6" t="n">
        <v>59</v>
      </c>
      <c r="C4" s="6" t="n">
        <v>3.5</v>
      </c>
      <c r="D4" s="6" t="n">
        <v>5</v>
      </c>
      <c r="E4" s="6" t="n">
        <v>14</v>
      </c>
      <c r="F4" s="6" t="n">
        <v>10</v>
      </c>
      <c r="G4" s="6" t="n">
        <v>7</v>
      </c>
      <c r="H4" s="6" t="n">
        <v>5</v>
      </c>
    </row>
    <row r="5">
      <c r="A5" s="6" t="inlineStr">
        <is>
          <t>25평</t>
        </is>
      </c>
      <c r="B5" s="6" t="n">
        <v>84</v>
      </c>
      <c r="C5" s="6" t="n">
        <v>4.5</v>
      </c>
      <c r="D5" s="6" t="n">
        <v>7</v>
      </c>
      <c r="E5" s="6" t="n">
        <v>20</v>
      </c>
      <c r="F5" s="6" t="n">
        <v>13</v>
      </c>
      <c r="G5" s="6" t="n">
        <v>9</v>
      </c>
      <c r="H5" s="6" t="n">
        <v>7</v>
      </c>
    </row>
    <row r="6">
      <c r="A6" s="6" t="inlineStr">
        <is>
          <t>32평</t>
        </is>
      </c>
      <c r="B6" s="6" t="n">
        <v>105</v>
      </c>
      <c r="C6" s="6" t="n">
        <v>5</v>
      </c>
      <c r="D6" s="6" t="n">
        <v>8</v>
      </c>
      <c r="E6" s="6" t="n">
        <v>25</v>
      </c>
      <c r="F6" s="6" t="n">
        <v>15</v>
      </c>
      <c r="G6" s="6" t="n">
        <v>10</v>
      </c>
      <c r="H6" s="6" t="n">
        <v>8</v>
      </c>
    </row>
    <row r="7">
      <c r="A7" s="6" t="inlineStr">
        <is>
          <t>34평</t>
        </is>
      </c>
      <c r="B7" s="6" t="n">
        <v>112</v>
      </c>
      <c r="C7" s="6" t="n">
        <v>5.5</v>
      </c>
      <c r="D7" s="6" t="n">
        <v>9</v>
      </c>
      <c r="E7" s="6" t="n">
        <v>28</v>
      </c>
      <c r="F7" s="6" t="n">
        <v>16</v>
      </c>
      <c r="G7" s="6" t="n">
        <v>11</v>
      </c>
      <c r="H7" s="6" t="n">
        <v>9</v>
      </c>
    </row>
    <row r="8">
      <c r="A8" s="6" t="inlineStr">
        <is>
          <t>43평</t>
        </is>
      </c>
      <c r="B8" s="6" t="n">
        <v>142</v>
      </c>
      <c r="C8" s="6" t="n">
        <v>6</v>
      </c>
      <c r="D8" s="6" t="n">
        <v>11</v>
      </c>
      <c r="E8" s="6" t="n">
        <v>35</v>
      </c>
      <c r="F8" s="6" t="n">
        <v>20</v>
      </c>
      <c r="G8" s="6" t="n">
        <v>13</v>
      </c>
      <c r="H8" s="6" t="n">
        <v>11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2026-03-31T01:53:53Z</dcterms:created>
  <dcterms:modified xmlns:dcterms="http://purl.org/dc/terms/" xmlns:xsi="http://www.w3.org/2001/XMLSchema-instance" xsi:type="dcterms:W3CDTF">2026-03-31T01:53:54Z</dcterms:modified>
</cp:coreProperties>
</file>