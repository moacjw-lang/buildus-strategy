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자재마스터" sheetId="1" state="visible" r:id="rId1"/>
    <sheet xmlns:r="http://schemas.openxmlformats.org/officeDocument/2006/relationships" name="2_공정자재매핑" sheetId="2" state="visible" r:id="rId2"/>
    <sheet xmlns:r="http://schemas.openxmlformats.org/officeDocument/2006/relationships" name="3_공정마스터" sheetId="3" state="visible" r:id="rId3"/>
    <sheet xmlns:r="http://schemas.openxmlformats.org/officeDocument/2006/relationships" name="4_호환성" sheetId="4" state="visible" r:id="rId4"/>
    <sheet xmlns:r="http://schemas.openxmlformats.org/officeDocument/2006/relationships" name="5_공급사" sheetId="5" state="visible" r:id="rId5"/>
    <sheet xmlns:r="http://schemas.openxmlformats.org/officeDocument/2006/relationships" name="6_면적참조" sheetId="6" state="visible" r:id="rId6"/>
    <sheet xmlns:r="http://schemas.openxmlformats.org/officeDocument/2006/relationships" name="견적시뮬레이터" sheetId="7" state="visible" r:id="rId7"/>
    <sheet xmlns:r="http://schemas.openxmlformats.org/officeDocument/2006/relationships" name="8_QA" sheetId="8" state="visible" r:id="rId8"/>
    <sheet xmlns:r="http://schemas.openxmlformats.org/officeDocument/2006/relationships" name="9_SEO" sheetId="9" state="visible" r:id="rId9"/>
  </sheets>
  <definedNames>
    <definedName name="_xlnm._FilterDatabase" localSheetId="0" hidden="1">'1_자재마스터'!$A$4:$AF$9</definedName>
    <definedName name="_xlnm._FilterDatabase" localSheetId="1" hidden="1">'2_공정자재매핑'!$A$4:$J$14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4299E1"/>
      <sz val="11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color rgb="00718096"/>
      <sz val="9"/>
    </font>
    <font>
      <name val="맑은 고딕"/>
      <b val="1"/>
      <color rgb="00E53E3E"/>
      <sz val="10"/>
    </font>
    <font>
      <name val="맑은 고딕"/>
      <b val="1"/>
      <color rgb="00D69E2E"/>
      <sz val="10"/>
    </font>
    <font>
      <name val="맑은 고딕"/>
      <b val="1"/>
      <sz val="16"/>
    </font>
    <font>
      <name val="맑은 고딕"/>
      <b val="1"/>
      <sz val="10"/>
    </font>
    <font>
      <name val="맑은 고딕"/>
      <b val="1"/>
      <sz val="11"/>
    </font>
    <font>
      <name val="맑은 고딕"/>
      <b val="1"/>
      <sz val="12"/>
    </font>
    <font>
      <name val="맑은 고딕"/>
      <b val="1"/>
      <color rgb="0022543D"/>
      <sz val="14"/>
    </font>
    <font>
      <name val="맑은 고딕"/>
      <b val="1"/>
      <color rgb="0022543D"/>
      <sz val="12"/>
    </font>
  </fonts>
  <fills count="9">
    <fill>
      <patternFill/>
    </fill>
    <fill>
      <patternFill patternType="gray125"/>
    </fill>
    <fill>
      <patternFill patternType="solid">
        <fgColor rgb="004A5568"/>
        <bgColor rgb="004A5568"/>
      </patternFill>
    </fill>
    <fill>
      <patternFill patternType="solid">
        <fgColor rgb="002D3748"/>
        <bgColor rgb="002D3748"/>
      </patternFill>
    </fill>
    <fill>
      <patternFill patternType="solid">
        <fgColor rgb="00EBF8FF"/>
        <bgColor rgb="00EBF8FF"/>
      </patternFill>
    </fill>
    <fill>
      <patternFill patternType="solid">
        <fgColor rgb="00F7FAFC"/>
        <bgColor rgb="00F7FAFC"/>
      </patternFill>
    </fill>
    <fill>
      <patternFill patternType="solid">
        <fgColor rgb="00FFFFF0"/>
        <bgColor rgb="00FFFFF0"/>
      </patternFill>
    </fill>
    <fill>
      <patternFill patternType="solid">
        <fgColor rgb="00F0FFF4"/>
        <bgColor rgb="00F0FFF4"/>
      </patternFill>
    </fill>
    <fill>
      <patternFill patternType="solid">
        <fgColor rgb="00C6F6D5"/>
        <bgColor rgb="00C6F6D5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D69E2E"/>
      </left>
      <right style="medium">
        <color rgb="00D69E2E"/>
      </right>
      <top style="medium">
        <color rgb="00D69E2E"/>
      </top>
      <bottom style="medium">
        <color rgb="00D69E2E"/>
      </bottom>
    </border>
    <border>
      <top style="double">
        <color rgb="0022543D"/>
      </top>
      <bottom style="double">
        <color rgb="0022543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3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165" fontId="4" fillId="5" borderId="1" applyAlignment="1" pivotButton="0" quotePrefix="0" xfId="0">
      <alignment vertical="center" wrapText="1"/>
    </xf>
    <xf numFmtId="0" fontId="8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3" borderId="1" pivotButton="0" quotePrefix="0" xfId="0"/>
    <xf numFmtId="0" fontId="4" fillId="0" borderId="1" pivotButton="0" quotePrefix="0" xfId="0"/>
    <xf numFmtId="164" fontId="10" fillId="6" borderId="2" pivotButton="0" quotePrefix="0" xfId="0"/>
    <xf numFmtId="0" fontId="10" fillId="6" borderId="2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2" fontId="4" fillId="0" borderId="1" applyAlignment="1" pivotButton="0" quotePrefix="0" xfId="0">
      <alignment vertical="center" wrapText="1"/>
    </xf>
    <xf numFmtId="2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3" fontId="4" fillId="7" borderId="1" applyAlignment="1" pivotButton="0" quotePrefix="0" xfId="0">
      <alignment vertical="center" wrapText="1"/>
    </xf>
    <xf numFmtId="0" fontId="11" fillId="0" borderId="0" pivotButton="0" quotePrefix="0" xfId="0"/>
    <xf numFmtId="3" fontId="12" fillId="8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299E1"/>
    <outlinePr summaryBelow="1" summaryRight="1"/>
    <pageSetUpPr/>
  </sheetPr>
  <dimension ref="A1:AF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  <col width="10" customWidth="1" min="5" max="5"/>
    <col width="8" customWidth="1" min="6" max="6"/>
    <col width="5" customWidth="1" min="7" max="7"/>
    <col width="12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10" customWidth="1" min="15" max="15"/>
    <col width="9" customWidth="1" min="16" max="16"/>
    <col width="12" customWidth="1" min="17" max="17"/>
    <col width="8" customWidth="1" min="18" max="18"/>
    <col width="8" customWidth="1" min="19" max="19"/>
    <col width="9" customWidth="1" min="20" max="20"/>
    <col width="15" customWidth="1" min="21" max="21"/>
    <col width="10" customWidth="1" min="22" max="22"/>
    <col width="8" customWidth="1" min="23" max="23"/>
    <col width="8" customWidth="1" min="24" max="24"/>
    <col width="10" customWidth="1" min="25" max="25"/>
    <col width="8" customWidth="1" min="26" max="26"/>
    <col width="30" customWidth="1" min="27" max="27"/>
    <col width="25" customWidth="1" min="28" max="28"/>
    <col width="18" customWidth="1" min="29" max="29"/>
    <col width="10" customWidth="1" min="30" max="30"/>
    <col width="8" customWidth="1" min="31" max="31"/>
    <col width="14" customWidth="1" min="32" max="32"/>
  </cols>
  <sheetData>
    <row r="1" ht="30" customHeight="1">
      <c r="A1" s="1" t="inlineStr">
        <is>
          <t>자재 마스터</t>
        </is>
      </c>
    </row>
    <row r="2" ht="20" customHeight="1">
      <c r="A2" s="2" t="inlineStr">
        <is>
          <t>자재 1개 = 1행 | 가격·배송·샘플·설명·등급 통합</t>
        </is>
      </c>
    </row>
    <row r="3">
      <c r="A3" s="3" t="inlineStr">
        <is>
          <t>기본 정보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4" t="n"/>
      <c r="W3" s="3" t="inlineStr">
        <is>
          <t>샘플</t>
        </is>
      </c>
      <c r="X3" s="4" t="n"/>
      <c r="Y3" s="4" t="n"/>
      <c r="Z3" s="4" t="n"/>
      <c r="AA3" s="3" t="inlineStr">
        <is>
          <t>상품 설명</t>
        </is>
      </c>
      <c r="AB3" s="4" t="n"/>
      <c r="AC3" s="4" t="n"/>
      <c r="AD3" s="3" t="inlineStr">
        <is>
          <t>스타일/등급</t>
        </is>
      </c>
      <c r="AE3" s="4" t="n"/>
      <c r="AF3" s="4" t="n"/>
    </row>
    <row r="4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브랜드</t>
        </is>
      </c>
      <c r="E4" s="5" t="inlineStr">
        <is>
          <t>제조사</t>
        </is>
      </c>
      <c r="F4" s="5" t="inlineStr">
        <is>
          <t>카테고리</t>
        </is>
      </c>
      <c r="G4" s="5" t="inlineStr">
        <is>
          <t>단위</t>
        </is>
      </c>
      <c r="H4" s="5" t="inlineStr">
        <is>
          <t>판매단위</t>
        </is>
      </c>
      <c r="I4" s="5" t="inlineStr">
        <is>
          <t>판매단위수량</t>
        </is>
      </c>
      <c r="J4" s="5" t="inlineStr">
        <is>
          <t>도매가</t>
        </is>
      </c>
      <c r="K4" s="5" t="inlineStr">
        <is>
          <t>업체가</t>
        </is>
      </c>
      <c r="L4" s="5" t="inlineStr">
        <is>
          <t>판매가</t>
        </is>
      </c>
      <c r="M4" s="5" t="inlineStr">
        <is>
          <t>쿠팡가</t>
        </is>
      </c>
      <c r="N4" s="5" t="inlineStr">
        <is>
          <t>네이버최저가</t>
        </is>
      </c>
      <c r="O4" s="5" t="inlineStr">
        <is>
          <t>절약금액</t>
        </is>
      </c>
      <c r="P4" s="5" t="inlineStr">
        <is>
          <t>절약률(%)</t>
        </is>
      </c>
      <c r="Q4" s="5" t="inlineStr">
        <is>
          <t>시장가조사일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예상배송일</t>
        </is>
      </c>
      <c r="U4" s="5" t="inlineStr">
        <is>
          <t>배송비기준</t>
        </is>
      </c>
      <c r="V4" s="5" t="inlineStr">
        <is>
          <t>공급사코드</t>
        </is>
      </c>
      <c r="W4" s="5" t="inlineStr">
        <is>
          <t>샘플가능</t>
        </is>
      </c>
      <c r="X4" s="5" t="inlineStr">
        <is>
          <t>샘플크기</t>
        </is>
      </c>
      <c r="Y4" s="5" t="inlineStr">
        <is>
          <t>샘플무료유료</t>
        </is>
      </c>
      <c r="Z4" s="5" t="inlineStr">
        <is>
          <t>샘플비용</t>
        </is>
      </c>
      <c r="AA4" s="5" t="inlineStr">
        <is>
          <t>한줄요약</t>
        </is>
      </c>
      <c r="AB4" s="5" t="inlineStr">
        <is>
          <t>특징</t>
        </is>
      </c>
      <c r="AC4" s="5" t="inlineStr">
        <is>
          <t>주의사항</t>
        </is>
      </c>
      <c r="AD4" s="5" t="inlineStr">
        <is>
          <t>스타일태그</t>
        </is>
      </c>
      <c r="AE4" s="5" t="inlineStr">
        <is>
          <t>등급</t>
        </is>
      </c>
      <c r="AF4" s="5" t="inlineStr">
        <is>
          <t>추천공간</t>
        </is>
      </c>
    </row>
    <row r="5">
      <c r="A5" s="6" t="inlineStr">
        <is>
          <t>WP-001</t>
        </is>
      </c>
      <c r="B5" s="6" t="inlineStr">
        <is>
          <t>수성 방수액</t>
        </is>
      </c>
      <c r="C5" s="6" t="inlineStr">
        <is>
          <t>18L</t>
        </is>
      </c>
      <c r="D5" s="6" t="inlineStr">
        <is>
          <t>아이나비</t>
        </is>
      </c>
      <c r="E5" s="6" t="inlineStr">
        <is>
          <t>OO화학</t>
        </is>
      </c>
      <c r="F5" s="6" t="inlineStr">
        <is>
          <t>방수</t>
        </is>
      </c>
      <c r="G5" s="6" t="inlineStr">
        <is>
          <t>L</t>
        </is>
      </c>
      <c r="H5" s="6" t="inlineStr">
        <is>
          <t>통(18L)</t>
        </is>
      </c>
      <c r="I5" s="6" t="n">
        <v>18</v>
      </c>
      <c r="J5" s="7" t="n">
        <v>35000</v>
      </c>
      <c r="K5" s="7" t="n">
        <v>42000</v>
      </c>
      <c r="L5" s="7" t="n">
        <v>45000</v>
      </c>
      <c r="M5" s="7" t="n">
        <v>58000</v>
      </c>
      <c r="N5" s="7" t="n">
        <v>52000</v>
      </c>
      <c r="O5" s="7">
        <f>MIN(M5,N5)-L5</f>
        <v/>
      </c>
      <c r="P5" s="8">
        <f>IF(MIN(M5,N5)=0,"",O5/MIN(M5,N5)*100)</f>
        <v/>
      </c>
      <c r="Q5" s="6" t="inlineStr">
        <is>
          <t>2026-04-01</t>
        </is>
      </c>
      <c r="R5" s="6" t="n">
        <v>20</v>
      </c>
      <c r="S5" s="6" t="inlineStr">
        <is>
          <t>화물</t>
        </is>
      </c>
      <c r="T5" s="6" t="inlineStr">
        <is>
          <t>2~3일</t>
        </is>
      </c>
      <c r="U5" s="6" t="inlineStr">
        <is>
          <t>착불/5만이상무료</t>
        </is>
      </c>
      <c r="V5" s="6" t="inlineStr">
        <is>
          <t>SUP-001</t>
        </is>
      </c>
      <c r="W5" s="6" t="inlineStr">
        <is>
          <t>N</t>
        </is>
      </c>
      <c r="X5" s="6" t="inlineStr">
        <is>
          <t>—</t>
        </is>
      </c>
      <c r="Y5" s="6" t="inlineStr">
        <is>
          <t>—</t>
        </is>
      </c>
      <c r="Z5" s="6" t="inlineStr"/>
      <c r="AA5" s="6" t="inlineStr">
        <is>
          <t>욕실 바닥/벽 방수. 2회 도포로 완벽 방수.</t>
        </is>
      </c>
      <c r="AB5" s="6" t="inlineStr">
        <is>
          <t>수성/친환경, 2회도포, 부직포보강 권장</t>
        </is>
      </c>
      <c r="AC5" s="6" t="inlineStr">
        <is>
          <t>5도 이하 시공 불가</t>
        </is>
      </c>
      <c r="AD5" s="6" t="inlineStr">
        <is>
          <t>—</t>
        </is>
      </c>
      <c r="AE5" s="6" t="inlineStr">
        <is>
          <t>표준</t>
        </is>
      </c>
      <c r="AF5" s="6" t="inlineStr">
        <is>
          <t>욕실, 베란다</t>
        </is>
      </c>
    </row>
    <row r="6">
      <c r="A6" s="6" t="inlineStr">
        <is>
          <t>WP-002</t>
        </is>
      </c>
      <c r="B6" s="6" t="inlineStr">
        <is>
          <t>부직포</t>
        </is>
      </c>
      <c r="C6" s="6" t="inlineStr">
        <is>
          <t>1m폭×50m</t>
        </is>
      </c>
      <c r="D6" s="6" t="inlineStr">
        <is>
          <t>—</t>
        </is>
      </c>
      <c r="E6" s="6" t="inlineStr">
        <is>
          <t>OO섬유</t>
        </is>
      </c>
      <c r="F6" s="6" t="inlineStr">
        <is>
          <t>방수</t>
        </is>
      </c>
      <c r="G6" s="6" t="inlineStr">
        <is>
          <t>㎡</t>
        </is>
      </c>
      <c r="H6" s="6" t="inlineStr">
        <is>
          <t>롤(50㎡)</t>
        </is>
      </c>
      <c r="I6" s="6" t="n">
        <v>50</v>
      </c>
      <c r="J6" s="7" t="n">
        <v>12000</v>
      </c>
      <c r="K6" s="7" t="n">
        <v>14000</v>
      </c>
      <c r="L6" s="7" t="n">
        <v>15000</v>
      </c>
      <c r="M6" s="7" t="n">
        <v>22000</v>
      </c>
      <c r="N6" s="7" t="n">
        <v>18000</v>
      </c>
      <c r="O6" s="7">
        <f>MIN(M6,N6)-L6</f>
        <v/>
      </c>
      <c r="P6" s="8">
        <f>IF(MIN(M6,N6)=0,"",O6/MIN(M6,N6)*100)</f>
        <v/>
      </c>
      <c r="Q6" s="6" t="inlineStr">
        <is>
          <t>2026-04-01</t>
        </is>
      </c>
      <c r="R6" s="6" t="n">
        <v>3</v>
      </c>
      <c r="S6" s="6" t="inlineStr">
        <is>
          <t>택배</t>
        </is>
      </c>
      <c r="T6" s="6" t="inlineStr">
        <is>
          <t>1~2일</t>
        </is>
      </c>
      <c r="U6" s="6" t="inlineStr">
        <is>
          <t>3만이상무료</t>
        </is>
      </c>
      <c r="V6" s="6" t="inlineStr">
        <is>
          <t>SUP-001</t>
        </is>
      </c>
      <c r="W6" s="6" t="inlineStr">
        <is>
          <t>N</t>
        </is>
      </c>
      <c r="X6" s="6" t="inlineStr">
        <is>
          <t>—</t>
        </is>
      </c>
      <c r="Y6" s="6" t="inlineStr">
        <is>
          <t>—</t>
        </is>
      </c>
      <c r="Z6" s="6" t="inlineStr"/>
      <c r="AA6" s="6" t="inlineStr">
        <is>
          <t>방수 보강용 부직포. 코너/배관부 집중 시공.</t>
        </is>
      </c>
      <c r="AB6" s="6" t="inlineStr">
        <is>
          <t>겹침5cm, 코너보강</t>
        </is>
      </c>
      <c r="AC6" s="6" t="inlineStr">
        <is>
          <t>접히지 않게 시공</t>
        </is>
      </c>
      <c r="AD6" s="6" t="inlineStr">
        <is>
          <t>—</t>
        </is>
      </c>
      <c r="AE6" s="6" t="inlineStr">
        <is>
          <t>표준</t>
        </is>
      </c>
      <c r="AF6" s="6" t="inlineStr">
        <is>
          <t>욕실</t>
        </is>
      </c>
    </row>
    <row r="7">
      <c r="A7" s="6" t="inlineStr">
        <is>
          <t>TL-012</t>
        </is>
      </c>
      <c r="B7" s="6" t="inlineStr">
        <is>
          <t>폴리싱 타일</t>
        </is>
      </c>
      <c r="C7" s="6" t="inlineStr">
        <is>
          <t>600×600</t>
        </is>
      </c>
      <c r="D7" s="6" t="inlineStr">
        <is>
          <t>동서</t>
        </is>
      </c>
      <c r="E7" s="6" t="inlineStr">
        <is>
          <t>동서세라믹</t>
        </is>
      </c>
      <c r="F7" s="6" t="inlineStr">
        <is>
          <t>타일</t>
        </is>
      </c>
      <c r="G7" s="6" t="inlineStr">
        <is>
          <t>장</t>
        </is>
      </c>
      <c r="H7" s="6" t="inlineStr">
        <is>
          <t>박스(8장)</t>
        </is>
      </c>
      <c r="I7" s="6" t="n">
        <v>8</v>
      </c>
      <c r="J7" s="7" t="n">
        <v>3500</v>
      </c>
      <c r="K7" s="7" t="n">
        <v>4200</v>
      </c>
      <c r="L7" s="7" t="n">
        <v>4800</v>
      </c>
      <c r="M7" s="7" t="n">
        <v>6500</v>
      </c>
      <c r="N7" s="7" t="n">
        <v>5800</v>
      </c>
      <c r="O7" s="7">
        <f>MIN(M7,N7)-L7</f>
        <v/>
      </c>
      <c r="P7" s="8">
        <f>IF(MIN(M7,N7)=0,"",O7/MIN(M7,N7)*100)</f>
        <v/>
      </c>
      <c r="Q7" s="6" t="inlineStr">
        <is>
          <t>2026-04-01</t>
        </is>
      </c>
      <c r="R7" s="6" t="n">
        <v>25</v>
      </c>
      <c r="S7" s="6" t="inlineStr">
        <is>
          <t>화물</t>
        </is>
      </c>
      <c r="T7" s="6" t="inlineStr">
        <is>
          <t>3~5일</t>
        </is>
      </c>
      <c r="U7" s="6" t="inlineStr">
        <is>
          <t>착불</t>
        </is>
      </c>
      <c r="V7" s="6" t="inlineStr">
        <is>
          <t>SUP-002</t>
        </is>
      </c>
      <c r="W7" s="6" t="inlineStr">
        <is>
          <t>Y</t>
        </is>
      </c>
      <c r="X7" s="6" t="inlineStr">
        <is>
          <t>1장</t>
        </is>
      </c>
      <c r="Y7" s="6" t="inlineStr">
        <is>
          <t>무료</t>
        </is>
      </c>
      <c r="Z7" s="6" t="n">
        <v>0</v>
      </c>
      <c r="AA7" s="6" t="inlineStr">
        <is>
          <t>광택 폴리싱 타일. 모던/미니멀 욕실에 적합.</t>
        </is>
      </c>
      <c r="AB7" s="6" t="inlineStr">
        <is>
          <t>내구성높음, 미끄럼주의</t>
        </is>
      </c>
      <c r="AC7" s="6" t="inlineStr">
        <is>
          <t>욕실바닥은 논슬립 권장</t>
        </is>
      </c>
      <c r="AD7" s="6" t="inlineStr">
        <is>
          <t>모던</t>
        </is>
      </c>
      <c r="AE7" s="6" t="inlineStr">
        <is>
          <t>표준</t>
        </is>
      </c>
      <c r="AF7" s="6" t="inlineStr">
        <is>
          <t>욕실 벽, 거실</t>
        </is>
      </c>
    </row>
    <row r="8">
      <c r="A8" s="6" t="inlineStr">
        <is>
          <t>PT-005</t>
        </is>
      </c>
      <c r="B8" s="6" t="inlineStr">
        <is>
          <t>수성 페인트</t>
        </is>
      </c>
      <c r="C8" s="6" t="inlineStr">
        <is>
          <t>4L</t>
        </is>
      </c>
      <c r="D8" s="6" t="inlineStr">
        <is>
          <t>KCC</t>
        </is>
      </c>
      <c r="E8" s="6" t="inlineStr">
        <is>
          <t>KCC</t>
        </is>
      </c>
      <c r="F8" s="6" t="inlineStr">
        <is>
          <t>도장</t>
        </is>
      </c>
      <c r="G8" s="6" t="inlineStr">
        <is>
          <t>L</t>
        </is>
      </c>
      <c r="H8" s="6" t="inlineStr">
        <is>
          <t>캔(4L)</t>
        </is>
      </c>
      <c r="I8" s="6" t="n">
        <v>4</v>
      </c>
      <c r="J8" s="7" t="n">
        <v>18000</v>
      </c>
      <c r="K8" s="7" t="n">
        <v>22000</v>
      </c>
      <c r="L8" s="7" t="n">
        <v>25000</v>
      </c>
      <c r="M8" s="7" t="n">
        <v>35000</v>
      </c>
      <c r="N8" s="7" t="n">
        <v>32000</v>
      </c>
      <c r="O8" s="7">
        <f>MIN(M8,N8)-L8</f>
        <v/>
      </c>
      <c r="P8" s="8">
        <f>IF(MIN(M8,N8)=0,"",O8/MIN(M8,N8)*100)</f>
        <v/>
      </c>
      <c r="Q8" s="6" t="inlineStr">
        <is>
          <t>2026-04-01</t>
        </is>
      </c>
      <c r="R8" s="6" t="n">
        <v>5</v>
      </c>
      <c r="S8" s="6" t="inlineStr">
        <is>
          <t>택배</t>
        </is>
      </c>
      <c r="T8" s="6" t="inlineStr">
        <is>
          <t>1~2일</t>
        </is>
      </c>
      <c r="U8" s="6" t="inlineStr">
        <is>
          <t>3만이상무료</t>
        </is>
      </c>
      <c r="V8" s="6" t="inlineStr">
        <is>
          <t>SUP-003</t>
        </is>
      </c>
      <c r="W8" s="6" t="inlineStr">
        <is>
          <t>Y</t>
        </is>
      </c>
      <c r="X8" s="6" t="inlineStr">
        <is>
          <t>100ml</t>
        </is>
      </c>
      <c r="Y8" s="6" t="inlineStr">
        <is>
          <t>무료</t>
        </is>
      </c>
      <c r="Z8" s="6" t="n">
        <v>0</v>
      </c>
      <c r="AA8" s="6" t="inlineStr">
        <is>
          <t>실내 벽면/천장용 수성 페인트.</t>
        </is>
      </c>
      <c r="AB8" s="6" t="inlineStr">
        <is>
          <t>냄새적음, 빠른건조, 셀프도장적합</t>
        </is>
      </c>
      <c r="AC8" s="6" t="inlineStr">
        <is>
          <t>환기 필수</t>
        </is>
      </c>
      <c r="AD8" s="6" t="inlineStr">
        <is>
          <t>—</t>
        </is>
      </c>
      <c r="AE8" s="6" t="inlineStr">
        <is>
          <t>경제</t>
        </is>
      </c>
      <c r="AF8" s="6" t="inlineStr">
        <is>
          <t>거실, 안방, 작은방</t>
        </is>
      </c>
    </row>
    <row r="9">
      <c r="A9" s="6" t="inlineStr">
        <is>
          <t>FL-003</t>
        </is>
      </c>
      <c r="B9" s="6" t="inlineStr">
        <is>
          <t>강마루</t>
        </is>
      </c>
      <c r="C9" s="6" t="inlineStr">
        <is>
          <t>1210×193×8T</t>
        </is>
      </c>
      <c r="D9" s="6" t="inlineStr">
        <is>
          <t>한화</t>
        </is>
      </c>
      <c r="E9" s="6" t="inlineStr">
        <is>
          <t>한화L&amp;C</t>
        </is>
      </c>
      <c r="F9" s="6" t="inlineStr">
        <is>
          <t>마루</t>
        </is>
      </c>
      <c r="G9" s="6" t="inlineStr">
        <is>
          <t>장</t>
        </is>
      </c>
      <c r="H9" s="6" t="inlineStr">
        <is>
          <t>박스(8장/1.87㎡)</t>
        </is>
      </c>
      <c r="I9" s="6" t="n">
        <v>8</v>
      </c>
      <c r="J9" s="7" t="n">
        <v>4500</v>
      </c>
      <c r="K9" s="7" t="n">
        <v>5500</v>
      </c>
      <c r="L9" s="7" t="n">
        <v>6200</v>
      </c>
      <c r="M9" s="7" t="n">
        <v>9000</v>
      </c>
      <c r="N9" s="7" t="n">
        <v>8200</v>
      </c>
      <c r="O9" s="7">
        <f>MIN(M9,N9)-L9</f>
        <v/>
      </c>
      <c r="P9" s="8">
        <f>IF(MIN(M9,N9)=0,"",O9/MIN(M9,N9)*100)</f>
        <v/>
      </c>
      <c r="Q9" s="6" t="inlineStr">
        <is>
          <t>2026-04-01</t>
        </is>
      </c>
      <c r="R9" s="6" t="n">
        <v>12</v>
      </c>
      <c r="S9" s="6" t="inlineStr">
        <is>
          <t>화물</t>
        </is>
      </c>
      <c r="T9" s="6" t="inlineStr">
        <is>
          <t>3~5일</t>
        </is>
      </c>
      <c r="U9" s="6" t="inlineStr">
        <is>
          <t>착불</t>
        </is>
      </c>
      <c r="V9" s="6" t="inlineStr">
        <is>
          <t>SUP-004</t>
        </is>
      </c>
      <c r="W9" s="6" t="inlineStr">
        <is>
          <t>Y</t>
        </is>
      </c>
      <c r="X9" s="6" t="inlineStr">
        <is>
          <t>1장</t>
        </is>
      </c>
      <c r="Y9" s="6" t="inlineStr">
        <is>
          <t>유료</t>
        </is>
      </c>
      <c r="Z9" s="6" t="n">
        <v>3000</v>
      </c>
      <c r="AA9" s="6" t="inlineStr">
        <is>
          <t>클릭 방식 강마루. 셀프 시공 가능.</t>
        </is>
      </c>
      <c r="AB9" s="6" t="inlineStr">
        <is>
          <t>클릭시공, 고내구성</t>
        </is>
      </c>
      <c r="AC9" s="6" t="inlineStr">
        <is>
          <t>습기 많은 곳 불가</t>
        </is>
      </c>
      <c r="AD9" s="6" t="inlineStr">
        <is>
          <t>모던</t>
        </is>
      </c>
      <c r="AE9" s="6" t="inlineStr">
        <is>
          <t>표준</t>
        </is>
      </c>
      <c r="AF9" s="6" t="inlineStr">
        <is>
          <t>거실, 안방</t>
        </is>
      </c>
    </row>
    <row r="10">
      <c r="A10" s="9" t="inlineStr">
        <is>
          <t>※ 절약금액/절약률은 수식 자동 계산 (파란 셀)</t>
        </is>
      </c>
    </row>
    <row r="11">
      <c r="A11" s="9" t="inlineStr">
        <is>
          <t>※ 판매단위수량: 올림 계산에 사용 (예: 18L통 → 수량 2.97L면 1통)</t>
        </is>
      </c>
    </row>
    <row r="12">
      <c r="A12" s="9" t="inlineStr">
        <is>
          <t>※ 시장가조사일: 월 1회 업데이트 권장</t>
        </is>
      </c>
    </row>
  </sheetData>
  <autoFilter ref="A4:AF9"/>
  <mergeCells count="11">
    <mergeCell ref="A10:AF10"/>
    <mergeCell ref="W3:Z3"/>
    <mergeCell ref="A1:AF1"/>
    <mergeCell ref="J3:Q3"/>
    <mergeCell ref="R3:V3"/>
    <mergeCell ref="AD3:AF3"/>
    <mergeCell ref="A12:AF12"/>
    <mergeCell ref="A3:I3"/>
    <mergeCell ref="AA3:AC3"/>
    <mergeCell ref="A2:AF2"/>
    <mergeCell ref="A11:A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8BB78"/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8" customWidth="1" min="4" max="4"/>
    <col width="12" customWidth="1" min="5" max="5"/>
    <col width="8" customWidth="1" min="6" max="6"/>
    <col width="6" customWidth="1" min="7" max="7"/>
    <col width="12" customWidth="1" min="8" max="8"/>
    <col width="9" customWidth="1" min="9" max="9"/>
    <col width="13" customWidth="1" min="10" max="10"/>
  </cols>
  <sheetData>
    <row r="1">
      <c r="A1" s="1" t="inlineStr">
        <is>
          <t>공정-자재 매핑</t>
        </is>
      </c>
    </row>
    <row r="2">
      <c r="A2" s="2" t="inlineStr">
        <is>
          <t>공정 × 자재 조합 | 소요량·로스율 포함 → 물량 자동 산출</t>
        </is>
      </c>
    </row>
    <row r="4">
      <c r="A4" s="5" t="inlineStr">
        <is>
          <t>공정코드</t>
        </is>
      </c>
      <c r="B4" s="5" t="inlineStr">
        <is>
          <t>공정명</t>
        </is>
      </c>
      <c r="C4" s="5" t="inlineStr">
        <is>
          <t>자재코드</t>
        </is>
      </c>
      <c r="D4" s="5" t="inlineStr">
        <is>
          <t>자재명</t>
        </is>
      </c>
      <c r="E4" s="5" t="inlineStr">
        <is>
          <t>용도</t>
        </is>
      </c>
      <c r="F4" s="5" t="inlineStr">
        <is>
          <t>필수/선택</t>
        </is>
      </c>
      <c r="G4" s="5" t="inlineStr">
        <is>
          <t>단위</t>
        </is>
      </c>
      <c r="H4" s="5" t="inlineStr">
        <is>
          <t>1㎡당 소요량</t>
        </is>
      </c>
      <c r="I4" s="5" t="inlineStr">
        <is>
          <t>로스율(%)</t>
        </is>
      </c>
      <c r="J4" s="5" t="inlineStr">
        <is>
          <t>실소요량(1㎡)</t>
        </is>
      </c>
    </row>
    <row r="5">
      <c r="A5" s="6" t="inlineStr">
        <is>
          <t>PROC-04</t>
        </is>
      </c>
      <c r="B5" s="6" t="inlineStr">
        <is>
          <t>방수</t>
        </is>
      </c>
      <c r="C5" s="6" t="inlineStr">
        <is>
          <t>WP-001</t>
        </is>
      </c>
      <c r="D5" s="6" t="inlineStr">
        <is>
          <t>수성 방수액</t>
        </is>
      </c>
      <c r="E5" s="6" t="inlineStr">
        <is>
          <t>방수층 형성</t>
        </is>
      </c>
      <c r="F5" s="6" t="inlineStr">
        <is>
          <t>필수</t>
        </is>
      </c>
      <c r="G5" s="6" t="inlineStr">
        <is>
          <t>L</t>
        </is>
      </c>
      <c r="H5" s="6" t="n">
        <v>0.6</v>
      </c>
      <c r="I5" s="6" t="n">
        <v>10</v>
      </c>
      <c r="J5" s="10">
        <f>H5*(1+I5/100)</f>
        <v/>
      </c>
    </row>
    <row r="6">
      <c r="A6" s="6" t="inlineStr">
        <is>
          <t>PROC-04</t>
        </is>
      </c>
      <c r="B6" s="6" t="inlineStr">
        <is>
          <t>방수</t>
        </is>
      </c>
      <c r="C6" s="6" t="inlineStr">
        <is>
          <t>WP-002</t>
        </is>
      </c>
      <c r="D6" s="6" t="inlineStr">
        <is>
          <t>부직포</t>
        </is>
      </c>
      <c r="E6" s="6" t="inlineStr">
        <is>
          <t>보강재</t>
        </is>
      </c>
      <c r="F6" s="6" t="inlineStr">
        <is>
          <t>필수</t>
        </is>
      </c>
      <c r="G6" s="6" t="inlineStr">
        <is>
          <t>㎡</t>
        </is>
      </c>
      <c r="H6" s="6" t="n">
        <v>1.05</v>
      </c>
      <c r="I6" s="6" t="n">
        <v>5</v>
      </c>
      <c r="J6" s="10">
        <f>H6*(1+I6/100)</f>
        <v/>
      </c>
    </row>
    <row r="7">
      <c r="A7" s="6" t="inlineStr">
        <is>
          <t>PROC-04</t>
        </is>
      </c>
      <c r="B7" s="6" t="inlineStr">
        <is>
          <t>방수</t>
        </is>
      </c>
      <c r="C7" s="6" t="inlineStr">
        <is>
          <t>WP-003</t>
        </is>
      </c>
      <c r="D7" s="6" t="inlineStr">
        <is>
          <t>프라이머</t>
        </is>
      </c>
      <c r="E7" s="6" t="inlineStr">
        <is>
          <t>바탕 처리</t>
        </is>
      </c>
      <c r="F7" s="6" t="inlineStr">
        <is>
          <t>선택</t>
        </is>
      </c>
      <c r="G7" s="6" t="inlineStr">
        <is>
          <t>L</t>
        </is>
      </c>
      <c r="H7" s="6" t="n">
        <v>0.1</v>
      </c>
      <c r="I7" s="6" t="n">
        <v>5</v>
      </c>
      <c r="J7" s="10">
        <f>H7*(1+I7/100)</f>
        <v/>
      </c>
    </row>
    <row r="8">
      <c r="A8" s="6" t="inlineStr">
        <is>
          <t>PROC-08</t>
        </is>
      </c>
      <c r="B8" s="6" t="inlineStr">
        <is>
          <t>타일</t>
        </is>
      </c>
      <c r="C8" s="6" t="inlineStr">
        <is>
          <t>TL-012</t>
        </is>
      </c>
      <c r="D8" s="6" t="inlineStr">
        <is>
          <t>폴리싱 타일 600×600</t>
        </is>
      </c>
      <c r="E8" s="6" t="inlineStr">
        <is>
          <t>바닥 마감</t>
        </is>
      </c>
      <c r="F8" s="6" t="inlineStr">
        <is>
          <t>필수</t>
        </is>
      </c>
      <c r="G8" s="6" t="inlineStr">
        <is>
          <t>장</t>
        </is>
      </c>
      <c r="H8" s="6" t="n">
        <v>2.8</v>
      </c>
      <c r="I8" s="6" t="n">
        <v>10</v>
      </c>
      <c r="J8" s="10">
        <f>H8*(1+I8/100)</f>
        <v/>
      </c>
    </row>
    <row r="9">
      <c r="A9" s="6" t="inlineStr">
        <is>
          <t>PROC-08</t>
        </is>
      </c>
      <c r="B9" s="6" t="inlineStr">
        <is>
          <t>타일</t>
        </is>
      </c>
      <c r="C9" s="6" t="inlineStr">
        <is>
          <t>BA-001</t>
        </is>
      </c>
      <c r="D9" s="6" t="inlineStr">
        <is>
          <t>타일 본드</t>
        </is>
      </c>
      <c r="E9" s="6" t="inlineStr">
        <is>
          <t>접착</t>
        </is>
      </c>
      <c r="F9" s="6" t="inlineStr">
        <is>
          <t>필수</t>
        </is>
      </c>
      <c r="G9" s="6" t="inlineStr">
        <is>
          <t>kg</t>
        </is>
      </c>
      <c r="H9" s="6" t="n">
        <v>4.5</v>
      </c>
      <c r="I9" s="6" t="n">
        <v>5</v>
      </c>
      <c r="J9" s="10">
        <f>H9*(1+I9/100)</f>
        <v/>
      </c>
    </row>
    <row r="10">
      <c r="A10" s="6" t="inlineStr">
        <is>
          <t>PROC-08</t>
        </is>
      </c>
      <c r="B10" s="6" t="inlineStr">
        <is>
          <t>타일</t>
        </is>
      </c>
      <c r="C10" s="6" t="inlineStr">
        <is>
          <t>GR-001</t>
        </is>
      </c>
      <c r="D10" s="6" t="inlineStr">
        <is>
          <t>줄눈재</t>
        </is>
      </c>
      <c r="E10" s="6" t="inlineStr">
        <is>
          <t>줄눈</t>
        </is>
      </c>
      <c r="F10" s="6" t="inlineStr">
        <is>
          <t>필수</t>
        </is>
      </c>
      <c r="G10" s="6" t="inlineStr">
        <is>
          <t>kg</t>
        </is>
      </c>
      <c r="H10" s="6" t="n">
        <v>0.5</v>
      </c>
      <c r="I10" s="6" t="n">
        <v>10</v>
      </c>
      <c r="J10" s="10">
        <f>H10*(1+I10/100)</f>
        <v/>
      </c>
    </row>
    <row r="11">
      <c r="A11" s="6" t="inlineStr">
        <is>
          <t>PROC-09</t>
        </is>
      </c>
      <c r="B11" s="6" t="inlineStr">
        <is>
          <t>도장</t>
        </is>
      </c>
      <c r="C11" s="6" t="inlineStr">
        <is>
          <t>PT-005</t>
        </is>
      </c>
      <c r="D11" s="6" t="inlineStr">
        <is>
          <t>수성 페인트</t>
        </is>
      </c>
      <c r="E11" s="6" t="inlineStr">
        <is>
          <t>벽면 도장</t>
        </is>
      </c>
      <c r="F11" s="6" t="inlineStr">
        <is>
          <t>필수</t>
        </is>
      </c>
      <c r="G11" s="6" t="inlineStr">
        <is>
          <t>L</t>
        </is>
      </c>
      <c r="H11" s="6" t="n">
        <v>0.15</v>
      </c>
      <c r="I11" s="6" t="n">
        <v>5</v>
      </c>
      <c r="J11" s="10">
        <f>H11*(1+I11/100)</f>
        <v/>
      </c>
    </row>
    <row r="12">
      <c r="A12" s="6" t="inlineStr">
        <is>
          <t>PROC-09</t>
        </is>
      </c>
      <c r="B12" s="6" t="inlineStr">
        <is>
          <t>도장</t>
        </is>
      </c>
      <c r="C12" s="6" t="inlineStr">
        <is>
          <t>PT-010</t>
        </is>
      </c>
      <c r="D12" s="6" t="inlineStr">
        <is>
          <t>퍼티</t>
        </is>
      </c>
      <c r="E12" s="6" t="inlineStr">
        <is>
          <t>면 고르기</t>
        </is>
      </c>
      <c r="F12" s="6" t="inlineStr">
        <is>
          <t>필수</t>
        </is>
      </c>
      <c r="G12" s="6" t="inlineStr">
        <is>
          <t>kg</t>
        </is>
      </c>
      <c r="H12" s="6" t="n">
        <v>0.3</v>
      </c>
      <c r="I12" s="6" t="n">
        <v>10</v>
      </c>
      <c r="J12" s="10">
        <f>H12*(1+I12/100)</f>
        <v/>
      </c>
    </row>
    <row r="13">
      <c r="A13" s="6" t="inlineStr">
        <is>
          <t>PROC-11</t>
        </is>
      </c>
      <c r="B13" s="6" t="inlineStr">
        <is>
          <t>도배</t>
        </is>
      </c>
      <c r="C13" s="6" t="inlineStr">
        <is>
          <t>WP-050</t>
        </is>
      </c>
      <c r="D13" s="6" t="inlineStr">
        <is>
          <t>합지벽지</t>
        </is>
      </c>
      <c r="E13" s="6" t="inlineStr">
        <is>
          <t>벽면 마감</t>
        </is>
      </c>
      <c r="F13" s="6" t="inlineStr">
        <is>
          <t>필수</t>
        </is>
      </c>
      <c r="G13" s="6" t="inlineStr">
        <is>
          <t>롤</t>
        </is>
      </c>
      <c r="H13" s="6" t="n">
        <v>0.12</v>
      </c>
      <c r="I13" s="6" t="n">
        <v>8</v>
      </c>
      <c r="J13" s="10">
        <f>H13*(1+I13/100)</f>
        <v/>
      </c>
    </row>
    <row r="14">
      <c r="A14" s="6" t="inlineStr">
        <is>
          <t>PROC-10</t>
        </is>
      </c>
      <c r="B14" s="6" t="inlineStr">
        <is>
          <t>마루</t>
        </is>
      </c>
      <c r="C14" s="6" t="inlineStr">
        <is>
          <t>FL-003</t>
        </is>
      </c>
      <c r="D14" s="6" t="inlineStr">
        <is>
          <t>강마루</t>
        </is>
      </c>
      <c r="E14" s="6" t="inlineStr">
        <is>
          <t>바닥 마감</t>
        </is>
      </c>
      <c r="F14" s="6" t="inlineStr">
        <is>
          <t>필수</t>
        </is>
      </c>
      <c r="G14" s="6" t="inlineStr">
        <is>
          <t>장</t>
        </is>
      </c>
      <c r="H14" s="6" t="n">
        <v>5.35</v>
      </c>
      <c r="I14" s="6" t="n">
        <v>5</v>
      </c>
      <c r="J14" s="10">
        <f>H14*(1+I14/100)</f>
        <v/>
      </c>
    </row>
    <row r="15">
      <c r="A15" s="9" t="inlineStr">
        <is>
          <t>※ 실소요량 = 소요량 × (1 + 로스율%) — 자동 계산</t>
        </is>
      </c>
    </row>
    <row r="16">
      <c r="A16" s="9" t="inlineStr">
        <is>
          <t>※ 견적 시뮬레이터에서 면적 × 실소요량으로 총 물량 산출</t>
        </is>
      </c>
    </row>
  </sheetData>
  <autoFilter ref="A4:J14"/>
  <mergeCells count="4">
    <mergeCell ref="A15:J15"/>
    <mergeCell ref="A16:J16"/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8936"/>
    <outlinePr summaryBelow="1" summaryRight="1"/>
    <pageSetUpPr/>
  </sheetPr>
  <dimension ref="A1:N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10" customWidth="1" min="4" max="4"/>
    <col width="7" customWidth="1" min="5" max="5"/>
    <col width="7" customWidth="1" min="6" max="6"/>
    <col width="7" customWidth="1" min="7" max="7"/>
    <col width="11" customWidth="1" min="8" max="8"/>
    <col width="11" customWidth="1" min="9" max="9"/>
    <col width="12" customWidth="1" min="10" max="10"/>
    <col width="10" customWidth="1" min="11" max="11"/>
    <col width="12" customWidth="1" min="12" max="12"/>
    <col width="8" customWidth="1" min="13" max="13"/>
    <col width="18" customWidth="1" min="14" max="14"/>
  </cols>
  <sheetData>
    <row r="1">
      <c r="A1" s="1" t="inlineStr">
        <is>
          <t>공정 마스터</t>
        </is>
      </c>
    </row>
    <row r="2">
      <c r="A2" s="2" t="inlineStr">
        <is>
          <t>공정 1개 = 1행 | 순서·단가·가이드 통합</t>
        </is>
      </c>
    </row>
    <row r="3">
      <c r="A3" s="3" t="inlineStr">
        <is>
          <t>기본 + 순서</t>
        </is>
      </c>
      <c r="B3" s="4" t="n"/>
      <c r="C3" s="4" t="n"/>
      <c r="D3" s="4" t="n"/>
      <c r="E3" s="4" t="n"/>
      <c r="F3" s="4" t="n"/>
      <c r="G3" s="4" t="n"/>
      <c r="H3" s="3" t="inlineStr">
        <is>
          <t>적정 단가</t>
        </is>
      </c>
      <c r="I3" s="4" t="n"/>
      <c r="J3" s="4" t="n"/>
      <c r="K3" s="4" t="n"/>
      <c r="L3" s="4" t="n"/>
      <c r="M3" s="3" t="inlineStr">
        <is>
          <t>가이드</t>
        </is>
      </c>
      <c r="N3" s="4" t="n"/>
    </row>
    <row r="4">
      <c r="A4" s="5" t="inlineStr">
        <is>
          <t>공정코드</t>
        </is>
      </c>
      <c r="B4" s="5" t="inlineStr">
        <is>
          <t>공정명</t>
        </is>
      </c>
      <c r="C4" s="5" t="inlineStr">
        <is>
          <t>순서</t>
        </is>
      </c>
      <c r="D4" s="5" t="inlineStr">
        <is>
          <t>선행공정</t>
        </is>
      </c>
      <c r="E4" s="5" t="inlineStr">
        <is>
          <t>시공일</t>
        </is>
      </c>
      <c r="F4" s="5" t="inlineStr">
        <is>
          <t>양생일</t>
        </is>
      </c>
      <c r="G4" s="5" t="inlineStr">
        <is>
          <t>합계일</t>
        </is>
      </c>
      <c r="H4" s="5" t="inlineStr">
        <is>
          <t>자재비(㎡당)</t>
        </is>
      </c>
      <c r="I4" s="5" t="inlineStr">
        <is>
          <t>인건비(㎡당)</t>
        </is>
      </c>
      <c r="J4" s="5" t="inlineStr">
        <is>
          <t>적정합계범위</t>
        </is>
      </c>
      <c r="K4" s="5" t="inlineStr">
        <is>
          <t>기능공일당</t>
        </is>
      </c>
      <c r="L4" s="5" t="inlineStr">
        <is>
          <t>㎡당공수(인·일)</t>
        </is>
      </c>
      <c r="M4" s="5" t="inlineStr">
        <is>
          <t>셀프난이도</t>
        </is>
      </c>
      <c r="N4" s="5" t="inlineStr">
        <is>
          <t>가이드문서</t>
        </is>
      </c>
    </row>
    <row r="5">
      <c r="A5" s="6" t="inlineStr">
        <is>
          <t>PROC-01</t>
        </is>
      </c>
      <c r="B5" s="6" t="inlineStr">
        <is>
          <t>철거</t>
        </is>
      </c>
      <c r="C5" s="6" t="n">
        <v>1</v>
      </c>
      <c r="D5" s="6" t="inlineStr">
        <is>
          <t>—</t>
        </is>
      </c>
      <c r="E5" s="6" t="n">
        <v>2</v>
      </c>
      <c r="F5" s="6" t="n">
        <v>0</v>
      </c>
      <c r="G5" s="6">
        <f>E5+F5</f>
        <v/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20만/일</t>
        </is>
      </c>
      <c r="L5" s="6" t="n">
        <v>0</v>
      </c>
      <c r="M5" s="6" t="inlineStr">
        <is>
          <t>하</t>
        </is>
      </c>
      <c r="N5" s="6" t="inlineStr"/>
    </row>
    <row r="6">
      <c r="A6" s="6" t="inlineStr">
        <is>
          <t>PROC-02</t>
        </is>
      </c>
      <c r="B6" s="6" t="inlineStr">
        <is>
          <t>설비(배관)</t>
        </is>
      </c>
      <c r="C6" s="6" t="n">
        <v>2</v>
      </c>
      <c r="D6" s="6" t="inlineStr">
        <is>
          <t>PROC-01</t>
        </is>
      </c>
      <c r="E6" s="6" t="n">
        <v>2</v>
      </c>
      <c r="F6" s="6" t="n">
        <v>0</v>
      </c>
      <c r="G6" s="6">
        <f>E6+F6</f>
        <v/>
      </c>
      <c r="H6" s="6" t="inlineStr">
        <is>
          <t>—</t>
        </is>
      </c>
      <c r="I6" s="6" t="inlineStr">
        <is>
          <t>—</t>
        </is>
      </c>
      <c r="J6" s="6" t="inlineStr">
        <is>
          <t>—</t>
        </is>
      </c>
      <c r="K6" s="6" t="inlineStr">
        <is>
          <t>25만/일</t>
        </is>
      </c>
      <c r="L6" s="6" t="n">
        <v>0</v>
      </c>
      <c r="M6" s="6" t="inlineStr">
        <is>
          <t>상</t>
        </is>
      </c>
      <c r="N6" s="6" t="inlineStr"/>
    </row>
    <row r="7">
      <c r="A7" s="6" t="inlineStr">
        <is>
          <t>PROC-03</t>
        </is>
      </c>
      <c r="B7" s="6" t="inlineStr">
        <is>
          <t>전기</t>
        </is>
      </c>
      <c r="C7" s="6" t="n">
        <v>3</v>
      </c>
      <c r="D7" s="6" t="inlineStr">
        <is>
          <t>PROC-01</t>
        </is>
      </c>
      <c r="E7" s="6" t="n">
        <v>1</v>
      </c>
      <c r="F7" s="6" t="n">
        <v>0</v>
      </c>
      <c r="G7" s="6">
        <f>E7+F7</f>
        <v/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25만/일</t>
        </is>
      </c>
      <c r="L7" s="6" t="n">
        <v>0</v>
      </c>
      <c r="M7" s="6" t="inlineStr">
        <is>
          <t>상</t>
        </is>
      </c>
      <c r="N7" s="6" t="inlineStr"/>
    </row>
    <row r="8">
      <c r="A8" s="6" t="inlineStr">
        <is>
          <t>PROC-04</t>
        </is>
      </c>
      <c r="B8" s="6" t="inlineStr">
        <is>
          <t>방수</t>
        </is>
      </c>
      <c r="C8" s="6" t="n">
        <v>4</v>
      </c>
      <c r="D8" s="6" t="inlineStr">
        <is>
          <t>PROC-02</t>
        </is>
      </c>
      <c r="E8" s="6" t="n">
        <v>1</v>
      </c>
      <c r="F8" s="6" t="n">
        <v>2</v>
      </c>
      <c r="G8" s="6">
        <f>E8+F8</f>
        <v/>
      </c>
      <c r="H8" s="6" t="inlineStr">
        <is>
          <t>1~2만</t>
        </is>
      </c>
      <c r="I8" s="6" t="inlineStr">
        <is>
          <t>2~3만</t>
        </is>
      </c>
      <c r="J8" s="6" t="inlineStr">
        <is>
          <t>3~5만/㎡</t>
        </is>
      </c>
      <c r="K8" s="6" t="inlineStr">
        <is>
          <t>25만/일</t>
        </is>
      </c>
      <c r="L8" s="6" t="n">
        <v>0.1</v>
      </c>
      <c r="M8" s="6" t="inlineStr">
        <is>
          <t>중</t>
        </is>
      </c>
      <c r="N8" s="6" t="inlineStr">
        <is>
          <t>방수_시공가이드.md</t>
        </is>
      </c>
    </row>
    <row r="9">
      <c r="A9" s="6" t="inlineStr">
        <is>
          <t>PROC-05</t>
        </is>
      </c>
      <c r="B9" s="6" t="inlineStr">
        <is>
          <t>창호</t>
        </is>
      </c>
      <c r="C9" s="6" t="n">
        <v>5</v>
      </c>
      <c r="D9" s="6" t="inlineStr">
        <is>
          <t>PROC-01</t>
        </is>
      </c>
      <c r="E9" s="6" t="n">
        <v>1</v>
      </c>
      <c r="F9" s="6" t="n">
        <v>0</v>
      </c>
      <c r="G9" s="6">
        <f>E9+F9</f>
        <v/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n">
        <v>0</v>
      </c>
      <c r="M9" s="6" t="inlineStr">
        <is>
          <t>상</t>
        </is>
      </c>
      <c r="N9" s="6" t="inlineStr"/>
    </row>
    <row r="10">
      <c r="A10" s="6" t="inlineStr">
        <is>
          <t>PROC-06</t>
        </is>
      </c>
      <c r="B10" s="6" t="inlineStr">
        <is>
          <t>목공</t>
        </is>
      </c>
      <c r="C10" s="6" t="n">
        <v>6</v>
      </c>
      <c r="D10" s="6" t="inlineStr">
        <is>
          <t>PROC-04</t>
        </is>
      </c>
      <c r="E10" s="6" t="n">
        <v>3</v>
      </c>
      <c r="F10" s="6" t="n">
        <v>1</v>
      </c>
      <c r="G10" s="6">
        <f>E10+F10</f>
        <v/>
      </c>
      <c r="H10" s="6" t="inlineStr">
        <is>
          <t>2~5만</t>
        </is>
      </c>
      <c r="I10" s="6" t="inlineStr">
        <is>
          <t>3~5만</t>
        </is>
      </c>
      <c r="J10" s="6" t="inlineStr">
        <is>
          <t>5~10만/㎡</t>
        </is>
      </c>
      <c r="K10" s="6" t="inlineStr">
        <is>
          <t>28만/일</t>
        </is>
      </c>
      <c r="L10" s="6" t="n">
        <v>0.12</v>
      </c>
      <c r="M10" s="6" t="inlineStr">
        <is>
          <t>상</t>
        </is>
      </c>
      <c r="N10" s="6" t="inlineStr"/>
    </row>
    <row r="11">
      <c r="A11" s="6" t="inlineStr">
        <is>
          <t>PROC-07</t>
        </is>
      </c>
      <c r="B11" s="6" t="inlineStr">
        <is>
          <t>필름</t>
        </is>
      </c>
      <c r="C11" s="6" t="n">
        <v>7</v>
      </c>
      <c r="D11" s="6" t="inlineStr">
        <is>
          <t>PROC-06</t>
        </is>
      </c>
      <c r="E11" s="6" t="n">
        <v>1</v>
      </c>
      <c r="F11" s="6" t="n">
        <v>0</v>
      </c>
      <c r="G11" s="6">
        <f>E11+F11</f>
        <v/>
      </c>
      <c r="H11" s="6" t="inlineStr">
        <is>
          <t>1~3만</t>
        </is>
      </c>
      <c r="I11" s="6" t="inlineStr">
        <is>
          <t>1~2만</t>
        </is>
      </c>
      <c r="J11" s="6" t="inlineStr">
        <is>
          <t>2~5만/㎡</t>
        </is>
      </c>
      <c r="K11" s="6" t="inlineStr">
        <is>
          <t>20만/일</t>
        </is>
      </c>
      <c r="L11" s="6" t="n">
        <v>0.05</v>
      </c>
      <c r="M11" s="6" t="inlineStr">
        <is>
          <t>중</t>
        </is>
      </c>
      <c r="N11" s="6" t="inlineStr"/>
    </row>
    <row r="12">
      <c r="A12" s="6" t="inlineStr">
        <is>
          <t>PROC-08</t>
        </is>
      </c>
      <c r="B12" s="6" t="inlineStr">
        <is>
          <t>타일</t>
        </is>
      </c>
      <c r="C12" s="6" t="n">
        <v>8</v>
      </c>
      <c r="D12" s="6" t="inlineStr">
        <is>
          <t>PROC-04</t>
        </is>
      </c>
      <c r="E12" s="6" t="n">
        <v>3</v>
      </c>
      <c r="F12" s="6" t="n">
        <v>1</v>
      </c>
      <c r="G12" s="6">
        <f>E12+F12</f>
        <v/>
      </c>
      <c r="H12" s="6" t="inlineStr">
        <is>
          <t>3~8만</t>
        </is>
      </c>
      <c r="I12" s="6" t="inlineStr">
        <is>
          <t>3~5만</t>
        </is>
      </c>
      <c r="J12" s="6" t="inlineStr">
        <is>
          <t>6~13만/㎡</t>
        </is>
      </c>
      <c r="K12" s="6" t="inlineStr">
        <is>
          <t>30만/일</t>
        </is>
      </c>
      <c r="L12" s="6" t="n">
        <v>0.15</v>
      </c>
      <c r="M12" s="6" t="inlineStr">
        <is>
          <t>상</t>
        </is>
      </c>
      <c r="N12" s="6" t="inlineStr">
        <is>
          <t>타일_시공가이드.md</t>
        </is>
      </c>
    </row>
    <row r="13">
      <c r="A13" s="6" t="inlineStr">
        <is>
          <t>PROC-09</t>
        </is>
      </c>
      <c r="B13" s="6" t="inlineStr">
        <is>
          <t>도장</t>
        </is>
      </c>
      <c r="C13" s="6" t="n">
        <v>9</v>
      </c>
      <c r="D13" s="6" t="inlineStr">
        <is>
          <t>PROC-06</t>
        </is>
      </c>
      <c r="E13" s="6" t="n">
        <v>2</v>
      </c>
      <c r="F13" s="6" t="n">
        <v>1</v>
      </c>
      <c r="G13" s="6">
        <f>E13+F13</f>
        <v/>
      </c>
      <c r="H13" s="6" t="inlineStr">
        <is>
          <t>0.3~1만</t>
        </is>
      </c>
      <c r="I13" s="6" t="inlineStr">
        <is>
          <t>0.5~1만</t>
        </is>
      </c>
      <c r="J13" s="6" t="inlineStr">
        <is>
          <t>1~2만/㎡</t>
        </is>
      </c>
      <c r="K13" s="6" t="inlineStr">
        <is>
          <t>20만/일</t>
        </is>
      </c>
      <c r="L13" s="6" t="n">
        <v>0.05</v>
      </c>
      <c r="M13" s="6" t="inlineStr">
        <is>
          <t>하</t>
        </is>
      </c>
      <c r="N13" s="6" t="inlineStr">
        <is>
          <t>도장_시공가이드.md</t>
        </is>
      </c>
    </row>
    <row r="14">
      <c r="A14" s="6" t="inlineStr">
        <is>
          <t>PROC-10</t>
        </is>
      </c>
      <c r="B14" s="6" t="inlineStr">
        <is>
          <t>마루/바닥</t>
        </is>
      </c>
      <c r="C14" s="6" t="n">
        <v>10</v>
      </c>
      <c r="D14" s="6" t="inlineStr">
        <is>
          <t>PROC-09</t>
        </is>
      </c>
      <c r="E14" s="6" t="n">
        <v>2</v>
      </c>
      <c r="F14" s="6" t="n">
        <v>0</v>
      </c>
      <c r="G14" s="6">
        <f>E14+F14</f>
        <v/>
      </c>
      <c r="H14" s="6" t="inlineStr">
        <is>
          <t>2~6만</t>
        </is>
      </c>
      <c r="I14" s="6" t="inlineStr">
        <is>
          <t>1~3만</t>
        </is>
      </c>
      <c r="J14" s="6" t="inlineStr">
        <is>
          <t>3~9만/㎡</t>
        </is>
      </c>
      <c r="K14" s="6" t="inlineStr">
        <is>
          <t>25만/일</t>
        </is>
      </c>
      <c r="L14" s="6" t="n">
        <v>0.08</v>
      </c>
      <c r="M14" s="6" t="inlineStr">
        <is>
          <t>중</t>
        </is>
      </c>
      <c r="N14" s="6" t="inlineStr">
        <is>
          <t>마루_시공가이드.md</t>
        </is>
      </c>
    </row>
    <row r="15">
      <c r="A15" s="6" t="inlineStr">
        <is>
          <t>PROC-11</t>
        </is>
      </c>
      <c r="B15" s="6" t="inlineStr">
        <is>
          <t>도배</t>
        </is>
      </c>
      <c r="C15" s="6" t="n">
        <v>11</v>
      </c>
      <c r="D15" s="6" t="inlineStr">
        <is>
          <t>PROC-09</t>
        </is>
      </c>
      <c r="E15" s="6" t="n">
        <v>2</v>
      </c>
      <c r="F15" s="6" t="n">
        <v>0</v>
      </c>
      <c r="G15" s="6">
        <f>E15+F15</f>
        <v/>
      </c>
      <c r="H15" s="6" t="inlineStr">
        <is>
          <t>0.5~2만</t>
        </is>
      </c>
      <c r="I15" s="6" t="inlineStr">
        <is>
          <t>0.5~1만</t>
        </is>
      </c>
      <c r="J15" s="6" t="inlineStr">
        <is>
          <t>1~3만/㎡</t>
        </is>
      </c>
      <c r="K15" s="6" t="inlineStr">
        <is>
          <t>22만/일</t>
        </is>
      </c>
      <c r="L15" s="6" t="n">
        <v>0.06</v>
      </c>
      <c r="M15" s="6" t="inlineStr">
        <is>
          <t>하</t>
        </is>
      </c>
      <c r="N15" s="6" t="inlineStr">
        <is>
          <t>도배_시공가이드.md</t>
        </is>
      </c>
    </row>
    <row r="16">
      <c r="A16" s="6" t="inlineStr">
        <is>
          <t>PROC-12</t>
        </is>
      </c>
      <c r="B16" s="6" t="inlineStr">
        <is>
          <t>가구/도기</t>
        </is>
      </c>
      <c r="C16" s="6" t="n">
        <v>12</v>
      </c>
      <c r="D16" s="6" t="inlineStr">
        <is>
          <t>PROC-11</t>
        </is>
      </c>
      <c r="E16" s="6" t="n">
        <v>2</v>
      </c>
      <c r="F16" s="6" t="n">
        <v>0</v>
      </c>
      <c r="G16" s="6">
        <f>E16+F16</f>
        <v/>
      </c>
      <c r="H16" s="6" t="inlineStr">
        <is>
          <t>—</t>
        </is>
      </c>
      <c r="I16" s="6" t="inlineStr">
        <is>
          <t>—</t>
        </is>
      </c>
      <c r="J16" s="6" t="inlineStr">
        <is>
          <t>—</t>
        </is>
      </c>
      <c r="K16" s="6" t="inlineStr">
        <is>
          <t>—</t>
        </is>
      </c>
      <c r="L16" s="6" t="n">
        <v>0</v>
      </c>
      <c r="M16" s="6" t="inlineStr">
        <is>
          <t>중</t>
        </is>
      </c>
      <c r="N16" s="6" t="inlineStr"/>
    </row>
    <row r="17">
      <c r="A17" s="6" t="inlineStr">
        <is>
          <t>PROC-13</t>
        </is>
      </c>
      <c r="B17" s="6" t="inlineStr">
        <is>
          <t>준공점검</t>
        </is>
      </c>
      <c r="C17" s="6" t="n">
        <v>13</v>
      </c>
      <c r="D17" s="6" t="inlineStr">
        <is>
          <t>PROC-12</t>
        </is>
      </c>
      <c r="E17" s="6" t="n">
        <v>1</v>
      </c>
      <c r="F17" s="6" t="n">
        <v>0</v>
      </c>
      <c r="G17" s="6">
        <f>E17+F17</f>
        <v/>
      </c>
      <c r="H17" s="6" t="inlineStr">
        <is>
          <t>—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n">
        <v>0</v>
      </c>
      <c r="M17" s="6" t="inlineStr">
        <is>
          <t>하</t>
        </is>
      </c>
      <c r="N17" s="6" t="inlineStr"/>
    </row>
  </sheetData>
  <mergeCells count="5">
    <mergeCell ref="H3:L3"/>
    <mergeCell ref="A3:G3"/>
    <mergeCell ref="A2:N2"/>
    <mergeCell ref="M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C8181"/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5" customWidth="1" min="4" max="4"/>
    <col width="8" customWidth="1" min="5" max="5"/>
    <col width="30" customWidth="1" min="6" max="6"/>
    <col width="18" customWidth="1" min="7" max="7"/>
  </cols>
  <sheetData>
    <row r="1">
      <c r="A1" s="1" t="inlineStr">
        <is>
          <t>자재 호환성</t>
        </is>
      </c>
    </row>
    <row r="2">
      <c r="A2" s="2" t="inlineStr">
        <is>
          <t>NG/조건부만 기록 (OK는 기록 안 함)</t>
        </is>
      </c>
    </row>
    <row r="4">
      <c r="A4" s="5" t="inlineStr">
        <is>
          <t>자재코드A</t>
        </is>
      </c>
      <c r="B4" s="5" t="inlineStr">
        <is>
          <t>자재명A</t>
        </is>
      </c>
      <c r="C4" s="5" t="inlineStr">
        <is>
          <t>자재코드B</t>
        </is>
      </c>
      <c r="D4" s="5" t="inlineStr">
        <is>
          <t>자재명B</t>
        </is>
      </c>
      <c r="E4" s="5" t="inlineStr">
        <is>
          <t>판정</t>
        </is>
      </c>
      <c r="F4" s="5" t="inlineStr">
        <is>
          <t>사유</t>
        </is>
      </c>
      <c r="G4" s="5" t="inlineStr">
        <is>
          <t>대체추천</t>
        </is>
      </c>
    </row>
    <row r="5">
      <c r="A5" s="6" t="inlineStr">
        <is>
          <t>WP-010</t>
        </is>
      </c>
      <c r="B5" s="6" t="inlineStr">
        <is>
          <t>유성 방수재</t>
        </is>
      </c>
      <c r="C5" s="6" t="inlineStr">
        <is>
          <t>BA-003</t>
        </is>
      </c>
      <c r="D5" s="6" t="inlineStr">
        <is>
          <t>수성 타일본드</t>
        </is>
      </c>
      <c r="E5" s="6" t="inlineStr">
        <is>
          <t>NG</t>
        </is>
      </c>
      <c r="F5" s="6" t="inlineStr">
        <is>
          <t>유성 위에 수성 부착력 없음</t>
        </is>
      </c>
      <c r="G5" s="6" t="inlineStr">
        <is>
          <t>BA-007 (에폭시)</t>
        </is>
      </c>
    </row>
    <row r="6">
      <c r="A6" s="6" t="inlineStr">
        <is>
          <t>WP-020</t>
        </is>
      </c>
      <c r="B6" s="6" t="inlineStr">
        <is>
          <t>시멘트 방수재</t>
        </is>
      </c>
      <c r="C6" s="6" t="inlineStr">
        <is>
          <t>TL-050</t>
        </is>
      </c>
      <c r="D6" s="6" t="inlineStr">
        <is>
          <t>PVC 타일</t>
        </is>
      </c>
      <c r="E6" s="6" t="inlineStr">
        <is>
          <t>조건부</t>
        </is>
      </c>
      <c r="F6" s="6" t="inlineStr">
        <is>
          <t>완전 경화(72시간) 후에만 가능</t>
        </is>
      </c>
      <c r="G6" s="6" t="inlineStr">
        <is>
          <t>—</t>
        </is>
      </c>
    </row>
    <row r="7">
      <c r="A7" s="6" t="inlineStr">
        <is>
          <t>PT-005</t>
        </is>
      </c>
      <c r="B7" s="6" t="inlineStr">
        <is>
          <t>수성 페인트</t>
        </is>
      </c>
      <c r="C7" s="6" t="inlineStr">
        <is>
          <t>PT-020</t>
        </is>
      </c>
      <c r="D7" s="6" t="inlineStr">
        <is>
          <t>유성 페인트</t>
        </is>
      </c>
      <c r="E7" s="6" t="inlineStr">
        <is>
          <t>NG</t>
        </is>
      </c>
      <c r="F7" s="6" t="inlineStr">
        <is>
          <t>같은 면에 혼용 불가</t>
        </is>
      </c>
      <c r="G7" s="6" t="inlineStr">
        <is>
          <t>수성으로 통일</t>
        </is>
      </c>
    </row>
  </sheetData>
  <mergeCells count="2">
    <mergeCell ref="A2:F2"/>
    <mergeCell ref="A1:F1"/>
  </mergeCells>
  <dataValidations count="1">
    <dataValidation sqref="E5:E100" showDropDown="0" showInputMessage="0" showErrorMessage="0" allowBlank="1" error="NG 또는 조건부만 입력" type="list">
      <formula1>"NG,조건부"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F7AEA"/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0" customWidth="1" min="4" max="4"/>
    <col width="10" customWidth="1" min="5" max="5"/>
    <col width="14" customWidth="1" min="6" max="6"/>
    <col width="10" customWidth="1" min="7" max="7"/>
    <col width="16" customWidth="1" min="8" max="8"/>
  </cols>
  <sheetData>
    <row r="1">
      <c r="A1" s="1" t="inlineStr">
        <is>
          <t>공급사 테이블</t>
        </is>
      </c>
    </row>
    <row r="2">
      <c r="A2" s="2" t="inlineStr">
        <is>
          <t>공급사 1개 = 1행 | 자재마스터에서 공급사코드(FK)로 연결</t>
        </is>
      </c>
    </row>
    <row r="4">
      <c r="A4" s="5" t="inlineStr">
        <is>
          <t>공급사코드</t>
        </is>
      </c>
      <c r="B4" s="5" t="inlineStr">
        <is>
          <t>공급사명</t>
        </is>
      </c>
      <c r="C4" s="5" t="inlineStr">
        <is>
          <t>취급카테고리</t>
        </is>
      </c>
      <c r="D4" s="5" t="inlineStr">
        <is>
          <t>리드타임</t>
        </is>
      </c>
      <c r="E4" s="5" t="inlineStr">
        <is>
          <t>최소주문</t>
        </is>
      </c>
      <c r="F4" s="5" t="inlineStr">
        <is>
          <t>반품조건</t>
        </is>
      </c>
      <c r="G4" s="5" t="inlineStr">
        <is>
          <t>결제조건</t>
        </is>
      </c>
      <c r="H4" s="5" t="inlineStr">
        <is>
          <t>연락처</t>
        </is>
      </c>
    </row>
    <row r="5">
      <c r="A5" s="6" t="inlineStr">
        <is>
          <t>SUP-001</t>
        </is>
      </c>
      <c r="B5" s="6" t="inlineStr">
        <is>
          <t>OO건자재</t>
        </is>
      </c>
      <c r="C5" s="6" t="inlineStr">
        <is>
          <t>방수, 도장</t>
        </is>
      </c>
      <c r="D5" s="6" t="inlineStr">
        <is>
          <t>2영업일</t>
        </is>
      </c>
      <c r="E5" s="6" t="inlineStr">
        <is>
          <t>10만원</t>
        </is>
      </c>
      <c r="F5" s="6" t="inlineStr">
        <is>
          <t>미개봉 7일</t>
        </is>
      </c>
      <c r="G5" s="6" t="inlineStr">
        <is>
          <t>월말정산</t>
        </is>
      </c>
      <c r="H5" s="6" t="inlineStr">
        <is>
          <t>010-XXXX-XXXX</t>
        </is>
      </c>
    </row>
    <row r="6">
      <c r="A6" s="6" t="inlineStr">
        <is>
          <t>SUP-002</t>
        </is>
      </c>
      <c r="B6" s="6" t="inlineStr">
        <is>
          <t>XX세라믹</t>
        </is>
      </c>
      <c r="C6" s="6" t="inlineStr">
        <is>
          <t>타일</t>
        </is>
      </c>
      <c r="D6" s="6" t="inlineStr">
        <is>
          <t>3~5영업일</t>
        </is>
      </c>
      <c r="E6" s="6" t="inlineStr">
        <is>
          <t>30만원</t>
        </is>
      </c>
      <c r="F6" s="6" t="inlineStr">
        <is>
          <t>파손만 교환</t>
        </is>
      </c>
      <c r="G6" s="6" t="inlineStr">
        <is>
          <t>선결제</t>
        </is>
      </c>
      <c r="H6" s="6" t="inlineStr">
        <is>
          <t>010-XXXX-XXXX</t>
        </is>
      </c>
    </row>
    <row r="7">
      <c r="A7" s="6" t="inlineStr">
        <is>
          <t>SUP-003</t>
        </is>
      </c>
      <c r="B7" s="6" t="inlineStr">
        <is>
          <t>KCC대리점</t>
        </is>
      </c>
      <c r="C7" s="6" t="inlineStr">
        <is>
          <t>도장</t>
        </is>
      </c>
      <c r="D7" s="6" t="inlineStr">
        <is>
          <t>1~2영업일</t>
        </is>
      </c>
      <c r="E7" s="6" t="inlineStr">
        <is>
          <t>5만원</t>
        </is>
      </c>
      <c r="F7" s="6" t="inlineStr">
        <is>
          <t>미개봉 14일</t>
        </is>
      </c>
      <c r="G7" s="6" t="inlineStr">
        <is>
          <t>월말정산</t>
        </is>
      </c>
      <c r="H7" s="6" t="inlineStr">
        <is>
          <t>010-XXXX-XXXX</t>
        </is>
      </c>
    </row>
    <row r="8">
      <c r="A8" s="6" t="inlineStr">
        <is>
          <t>SUP-004</t>
        </is>
      </c>
      <c r="B8" s="6" t="inlineStr">
        <is>
          <t>한화마루</t>
        </is>
      </c>
      <c r="C8" s="6" t="inlineStr">
        <is>
          <t>마루</t>
        </is>
      </c>
      <c r="D8" s="6" t="inlineStr">
        <is>
          <t>3~5영업일</t>
        </is>
      </c>
      <c r="E8" s="6" t="inlineStr">
        <is>
          <t>20만원</t>
        </is>
      </c>
      <c r="F8" s="6" t="inlineStr">
        <is>
          <t>미개봉 7일</t>
        </is>
      </c>
      <c r="G8" s="6" t="inlineStr">
        <is>
          <t>선결제</t>
        </is>
      </c>
      <c r="H8" s="6" t="inlineStr">
        <is>
          <t>010-XXXX-XXXX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8B2AC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공간 유형별 표준 면적</t>
        </is>
      </c>
    </row>
    <row r="2">
      <c r="A2" s="2" t="inlineStr">
        <is>
          <t>비용 분석기 기본값 | 사용자가 직접 입력 안 할 때 참조</t>
        </is>
      </c>
    </row>
    <row r="4">
      <c r="A4" s="5" t="inlineStr">
        <is>
          <t>평형대</t>
        </is>
      </c>
      <c r="B4" s="5" t="inlineStr">
        <is>
          <t>전용면적(㎡)</t>
        </is>
      </c>
      <c r="C4" s="5" t="inlineStr">
        <is>
          <t>욕실(㎡)</t>
        </is>
      </c>
      <c r="D4" s="5" t="inlineStr">
        <is>
          <t>주방(㎡)</t>
        </is>
      </c>
      <c r="E4" s="5" t="inlineStr">
        <is>
          <t>거실(㎡)</t>
        </is>
      </c>
      <c r="F4" s="5" t="inlineStr">
        <is>
          <t>안방(㎡)</t>
        </is>
      </c>
      <c r="G4" s="5" t="inlineStr">
        <is>
          <t>작은방(㎡)</t>
        </is>
      </c>
      <c r="H4" s="5" t="inlineStr">
        <is>
          <t>베란다(㎡)</t>
        </is>
      </c>
    </row>
    <row r="5">
      <c r="A5" s="6" t="inlineStr">
        <is>
          <t>18평</t>
        </is>
      </c>
      <c r="B5" s="6" t="n">
        <v>59</v>
      </c>
      <c r="C5" s="6" t="n">
        <v>3.5</v>
      </c>
      <c r="D5" s="6" t="n">
        <v>5</v>
      </c>
      <c r="E5" s="6" t="n">
        <v>14</v>
      </c>
      <c r="F5" s="6" t="n">
        <v>10</v>
      </c>
      <c r="G5" s="6" t="n">
        <v>7</v>
      </c>
      <c r="H5" s="6" t="n">
        <v>5</v>
      </c>
    </row>
    <row r="6">
      <c r="A6" s="6" t="inlineStr">
        <is>
          <t>25평</t>
        </is>
      </c>
      <c r="B6" s="6" t="n">
        <v>84</v>
      </c>
      <c r="C6" s="6" t="n">
        <v>4.5</v>
      </c>
      <c r="D6" s="6" t="n">
        <v>7</v>
      </c>
      <c r="E6" s="6" t="n">
        <v>20</v>
      </c>
      <c r="F6" s="6" t="n">
        <v>13</v>
      </c>
      <c r="G6" s="6" t="n">
        <v>9</v>
      </c>
      <c r="H6" s="6" t="n">
        <v>7</v>
      </c>
    </row>
    <row r="7">
      <c r="A7" s="6" t="inlineStr">
        <is>
          <t>32평</t>
        </is>
      </c>
      <c r="B7" s="6" t="n">
        <v>105</v>
      </c>
      <c r="C7" s="6" t="n">
        <v>5</v>
      </c>
      <c r="D7" s="6" t="n">
        <v>8</v>
      </c>
      <c r="E7" s="6" t="n">
        <v>25</v>
      </c>
      <c r="F7" s="6" t="n">
        <v>15</v>
      </c>
      <c r="G7" s="6" t="n">
        <v>10</v>
      </c>
      <c r="H7" s="6" t="n">
        <v>8</v>
      </c>
    </row>
    <row r="8">
      <c r="A8" s="6" t="inlineStr">
        <is>
          <t>34평</t>
        </is>
      </c>
      <c r="B8" s="6" t="n">
        <v>112</v>
      </c>
      <c r="C8" s="6" t="n">
        <v>5.5</v>
      </c>
      <c r="D8" s="6" t="n">
        <v>9</v>
      </c>
      <c r="E8" s="6" t="n">
        <v>28</v>
      </c>
      <c r="F8" s="6" t="n">
        <v>16</v>
      </c>
      <c r="G8" s="6" t="n">
        <v>11</v>
      </c>
      <c r="H8" s="6" t="n">
        <v>9</v>
      </c>
    </row>
    <row r="9">
      <c r="A9" s="6" t="inlineStr">
        <is>
          <t>43평</t>
        </is>
      </c>
      <c r="B9" s="6" t="n">
        <v>142</v>
      </c>
      <c r="C9" s="6" t="n">
        <v>6</v>
      </c>
      <c r="D9" s="6" t="n">
        <v>11</v>
      </c>
      <c r="E9" s="6" t="n">
        <v>35</v>
      </c>
      <c r="F9" s="6" t="n">
        <v>20</v>
      </c>
      <c r="G9" s="6" t="n">
        <v>13</v>
      </c>
      <c r="H9" s="6" t="n">
        <v>11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8BB78"/>
    <outlinePr summaryBelow="1" summaryRight="1"/>
    <pageSetUpPr/>
  </sheetPr>
  <dimension ref="A1:L48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6" customWidth="1" min="4" max="4"/>
    <col width="11" customWidth="1" min="5" max="5"/>
    <col width="11" customWidth="1" min="6" max="6"/>
    <col width="9" customWidth="1" min="7" max="7"/>
    <col width="11" customWidth="1" min="8" max="8"/>
    <col width="10" customWidth="1" min="9" max="9"/>
    <col width="11" customWidth="1" min="10" max="10"/>
    <col width="10" customWidth="1" min="11" max="11"/>
    <col width="14" customWidth="1" min="12" max="12"/>
  </cols>
  <sheetData>
    <row r="1">
      <c r="A1" s="11" t="inlineStr">
        <is>
          <t>빌드어스 자동 견적 시뮬레이터</t>
        </is>
      </c>
    </row>
    <row r="2">
      <c r="A2" s="2" t="inlineStr">
        <is>
          <t>면적 입력 → 자재 물량·비용 자동 산출 | 자재마스터·매핑 테이블 연동</t>
        </is>
      </c>
    </row>
    <row r="4">
      <c r="A4" s="12" t="inlineStr">
        <is>
          <t>▼ 입력 영역 — 아래 노란 셀에 면적(㎡)을 입력하세요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13" t="inlineStr">
        <is>
          <t>공간</t>
        </is>
      </c>
      <c r="B5" s="13" t="inlineStr">
        <is>
          <t>면적(㎡)</t>
        </is>
      </c>
    </row>
    <row r="6">
      <c r="A6" s="14" t="inlineStr">
        <is>
          <t>욕실 바닥</t>
        </is>
      </c>
      <c r="B6" s="15" t="n">
        <v>4.5</v>
      </c>
    </row>
    <row r="7">
      <c r="A7" s="14" t="inlineStr">
        <is>
          <t>욕실 벽</t>
        </is>
      </c>
      <c r="B7" s="15" t="n">
        <v>12</v>
      </c>
    </row>
    <row r="8">
      <c r="A8" s="14" t="inlineStr">
        <is>
          <t>주방</t>
        </is>
      </c>
      <c r="B8" s="15" t="n">
        <v>7</v>
      </c>
    </row>
    <row r="9">
      <c r="A9" s="14" t="inlineStr">
        <is>
          <t>거실</t>
        </is>
      </c>
      <c r="B9" s="15" t="n">
        <v>20</v>
      </c>
    </row>
    <row r="10">
      <c r="A10" s="14" t="inlineStr">
        <is>
          <t>안방</t>
        </is>
      </c>
      <c r="B10" s="15" t="n">
        <v>13</v>
      </c>
    </row>
    <row r="11">
      <c r="A11" s="14" t="inlineStr">
        <is>
          <t>작은방</t>
        </is>
      </c>
      <c r="B11" s="15" t="n">
        <v>9</v>
      </c>
    </row>
    <row r="12">
      <c r="A12" s="14" t="inlineStr">
        <is>
          <t>베란다</t>
        </is>
      </c>
      <c r="B12" s="15" t="n">
        <v>7</v>
      </c>
    </row>
    <row r="14">
      <c r="A14" s="12" t="inlineStr">
        <is>
          <t>▼ 공정 선택 — 시공할 공정에 O 입력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13" t="inlineStr">
        <is>
          <t>공정</t>
        </is>
      </c>
      <c r="B15" s="13" t="inlineStr">
        <is>
          <t>시공 여부</t>
        </is>
      </c>
      <c r="C15" s="13" t="inlineStr">
        <is>
          <t>적용 공간</t>
        </is>
      </c>
    </row>
    <row r="16">
      <c r="A16" s="14" t="inlineStr">
        <is>
          <t>방수</t>
        </is>
      </c>
      <c r="B16" s="16" t="inlineStr">
        <is>
          <t>O</t>
        </is>
      </c>
      <c r="C16" s="14" t="inlineStr">
        <is>
          <t>욕실 바닥</t>
        </is>
      </c>
    </row>
    <row r="17">
      <c r="A17" s="14" t="inlineStr">
        <is>
          <t>타일</t>
        </is>
      </c>
      <c r="B17" s="16" t="inlineStr">
        <is>
          <t>O</t>
        </is>
      </c>
      <c r="C17" s="14" t="inlineStr">
        <is>
          <t>욕실 바닥+벽</t>
        </is>
      </c>
    </row>
    <row r="18">
      <c r="A18" s="14" t="inlineStr">
        <is>
          <t>도장</t>
        </is>
      </c>
      <c r="B18" s="16" t="inlineStr">
        <is>
          <t>O</t>
        </is>
      </c>
      <c r="C18" s="14" t="inlineStr">
        <is>
          <t>거실+안방+작은방</t>
        </is>
      </c>
    </row>
    <row r="19">
      <c r="A19" s="14" t="inlineStr">
        <is>
          <t>마루</t>
        </is>
      </c>
      <c r="B19" s="16" t="inlineStr">
        <is>
          <t>O</t>
        </is>
      </c>
      <c r="C19" s="14" t="inlineStr">
        <is>
          <t>거실+안방+작은방</t>
        </is>
      </c>
    </row>
    <row r="20">
      <c r="A20" s="14" t="inlineStr">
        <is>
          <t>도배</t>
        </is>
      </c>
      <c r="B20" s="16" t="inlineStr">
        <is>
          <t>O</t>
        </is>
      </c>
      <c r="C20" s="14" t="inlineStr">
        <is>
          <t>거실+안방+작은방</t>
        </is>
      </c>
    </row>
    <row r="22">
      <c r="A22" s="12" t="inlineStr">
        <is>
          <t>▼ 견적 결과 — 자동 계산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5" t="inlineStr">
        <is>
          <t>공정</t>
        </is>
      </c>
      <c r="B23" s="5" t="inlineStr">
        <is>
          <t>자재명</t>
        </is>
      </c>
      <c r="C23" s="5" t="inlineStr">
        <is>
          <t>규격</t>
        </is>
      </c>
      <c r="D23" s="5" t="inlineStr">
        <is>
          <t>단위</t>
        </is>
      </c>
      <c r="E23" s="5" t="inlineStr">
        <is>
          <t>적용면적(㎡)</t>
        </is>
      </c>
      <c r="F23" s="5" t="inlineStr">
        <is>
          <t>1㎡당소요량</t>
        </is>
      </c>
      <c r="G23" s="5" t="inlineStr">
        <is>
          <t>로스율(%)</t>
        </is>
      </c>
      <c r="H23" s="5" t="inlineStr">
        <is>
          <t>실소요량(총)</t>
        </is>
      </c>
      <c r="I23" s="5" t="inlineStr">
        <is>
          <t>판매단위</t>
        </is>
      </c>
      <c r="J23" s="5" t="inlineStr">
        <is>
          <t>필요수량(올림)</t>
        </is>
      </c>
      <c r="K23" s="5" t="inlineStr">
        <is>
          <t>단가</t>
        </is>
      </c>
      <c r="L23" s="5" t="inlineStr">
        <is>
          <t>자재비</t>
        </is>
      </c>
    </row>
    <row r="24">
      <c r="A24" s="17" t="inlineStr">
        <is>
          <t>방수</t>
        </is>
      </c>
      <c r="B24" s="17" t="inlineStr">
        <is>
          <t>수성 방수액</t>
        </is>
      </c>
      <c r="C24" s="17" t="inlineStr">
        <is>
          <t>18L</t>
        </is>
      </c>
      <c r="D24" s="17" t="inlineStr">
        <is>
          <t>L</t>
        </is>
      </c>
      <c r="E24" s="18">
        <f>B6</f>
        <v/>
      </c>
      <c r="F24" s="19" t="n">
        <v>0.6</v>
      </c>
      <c r="G24" s="17" t="n">
        <v>10</v>
      </c>
      <c r="H24" s="20">
        <f>E24*F24*(1+G24/100)</f>
        <v/>
      </c>
      <c r="I24" s="17" t="n">
        <v>18</v>
      </c>
      <c r="J24" s="21">
        <f>CEILING(H24/I24,1)</f>
        <v/>
      </c>
      <c r="K24" s="22" t="n">
        <v>45000</v>
      </c>
      <c r="L24" s="23">
        <f>J24*K24</f>
        <v/>
      </c>
    </row>
    <row r="25">
      <c r="A25" s="17" t="inlineStr">
        <is>
          <t>방수</t>
        </is>
      </c>
      <c r="B25" s="17" t="inlineStr">
        <is>
          <t>부직포</t>
        </is>
      </c>
      <c r="C25" s="17" t="inlineStr">
        <is>
          <t>1m×50m</t>
        </is>
      </c>
      <c r="D25" s="17" t="inlineStr">
        <is>
          <t>㎡</t>
        </is>
      </c>
      <c r="E25" s="18">
        <f>B6</f>
        <v/>
      </c>
      <c r="F25" s="19" t="n">
        <v>1.05</v>
      </c>
      <c r="G25" s="17" t="n">
        <v>5</v>
      </c>
      <c r="H25" s="20">
        <f>E25*F25*(1+G25/100)</f>
        <v/>
      </c>
      <c r="I25" s="17" t="n">
        <v>50</v>
      </c>
      <c r="J25" s="21">
        <f>CEILING(H25/I25,1)</f>
        <v/>
      </c>
      <c r="K25" s="22" t="n">
        <v>15000</v>
      </c>
      <c r="L25" s="23">
        <f>J25*K25</f>
        <v/>
      </c>
    </row>
    <row r="26">
      <c r="A26" s="17" t="inlineStr">
        <is>
          <t>타일</t>
        </is>
      </c>
      <c r="B26" s="17" t="inlineStr">
        <is>
          <t>폴리싱 타일</t>
        </is>
      </c>
      <c r="C26" s="17" t="inlineStr">
        <is>
          <t>600×600</t>
        </is>
      </c>
      <c r="D26" s="17" t="inlineStr">
        <is>
          <t>장</t>
        </is>
      </c>
      <c r="E26" s="18">
        <f>B6+B7</f>
        <v/>
      </c>
      <c r="F26" s="19" t="n">
        <v>2.8</v>
      </c>
      <c r="G26" s="17" t="n">
        <v>10</v>
      </c>
      <c r="H26" s="20">
        <f>E26*F26*(1+G26/100)</f>
        <v/>
      </c>
      <c r="I26" s="17" t="n">
        <v>8</v>
      </c>
      <c r="J26" s="21">
        <f>CEILING(H26/I26,1)</f>
        <v/>
      </c>
      <c r="K26" s="22" t="n">
        <v>4800</v>
      </c>
      <c r="L26" s="23">
        <f>J26*K26</f>
        <v/>
      </c>
    </row>
    <row r="27">
      <c r="A27" s="17" t="inlineStr">
        <is>
          <t>타일</t>
        </is>
      </c>
      <c r="B27" s="17" t="inlineStr">
        <is>
          <t>타일 본드</t>
        </is>
      </c>
      <c r="C27" s="17" t="inlineStr">
        <is>
          <t>20kg</t>
        </is>
      </c>
      <c r="D27" s="17" t="inlineStr">
        <is>
          <t>kg</t>
        </is>
      </c>
      <c r="E27" s="18">
        <f>B6+B7</f>
        <v/>
      </c>
      <c r="F27" s="19" t="n">
        <v>4.5</v>
      </c>
      <c r="G27" s="17" t="n">
        <v>5</v>
      </c>
      <c r="H27" s="20">
        <f>E27*F27*(1+G27/100)</f>
        <v/>
      </c>
      <c r="I27" s="17" t="n">
        <v>20</v>
      </c>
      <c r="J27" s="21">
        <f>CEILING(H27/I27,1)</f>
        <v/>
      </c>
      <c r="K27" s="22" t="n">
        <v>18000</v>
      </c>
      <c r="L27" s="23">
        <f>J27*K27</f>
        <v/>
      </c>
    </row>
    <row r="28">
      <c r="A28" s="17" t="inlineStr">
        <is>
          <t>타일</t>
        </is>
      </c>
      <c r="B28" s="17" t="inlineStr">
        <is>
          <t>줄눈재</t>
        </is>
      </c>
      <c r="C28" s="17" t="inlineStr">
        <is>
          <t>5kg</t>
        </is>
      </c>
      <c r="D28" s="17" t="inlineStr">
        <is>
          <t>kg</t>
        </is>
      </c>
      <c r="E28" s="18">
        <f>B6+B7</f>
        <v/>
      </c>
      <c r="F28" s="19" t="n">
        <v>0.5</v>
      </c>
      <c r="G28" s="17" t="n">
        <v>10</v>
      </c>
      <c r="H28" s="20">
        <f>E28*F28*(1+G28/100)</f>
        <v/>
      </c>
      <c r="I28" s="17" t="n">
        <v>5</v>
      </c>
      <c r="J28" s="21">
        <f>CEILING(H28/I28,1)</f>
        <v/>
      </c>
      <c r="K28" s="22" t="n">
        <v>8000</v>
      </c>
      <c r="L28" s="23">
        <f>J28*K28</f>
        <v/>
      </c>
    </row>
    <row r="29">
      <c r="A29" s="17" t="inlineStr">
        <is>
          <t>도장</t>
        </is>
      </c>
      <c r="B29" s="17" t="inlineStr">
        <is>
          <t>수성 페인트</t>
        </is>
      </c>
      <c r="C29" s="17" t="inlineStr">
        <is>
          <t>4L</t>
        </is>
      </c>
      <c r="D29" s="17" t="inlineStr">
        <is>
          <t>L</t>
        </is>
      </c>
      <c r="E29" s="18">
        <f>B8+B9+B10</f>
        <v/>
      </c>
      <c r="F29" s="19" t="n">
        <v>0.15</v>
      </c>
      <c r="G29" s="17" t="n">
        <v>5</v>
      </c>
      <c r="H29" s="20">
        <f>E29*F29*(1+G29/100)</f>
        <v/>
      </c>
      <c r="I29" s="17" t="n">
        <v>4</v>
      </c>
      <c r="J29" s="21">
        <f>CEILING(H29/I29,1)</f>
        <v/>
      </c>
      <c r="K29" s="22" t="n">
        <v>25000</v>
      </c>
      <c r="L29" s="23">
        <f>J29*K29</f>
        <v/>
      </c>
    </row>
    <row r="30">
      <c r="A30" s="17" t="inlineStr">
        <is>
          <t>도장</t>
        </is>
      </c>
      <c r="B30" s="17" t="inlineStr">
        <is>
          <t>퍼티</t>
        </is>
      </c>
      <c r="C30" s="17" t="inlineStr">
        <is>
          <t>10kg</t>
        </is>
      </c>
      <c r="D30" s="17" t="inlineStr">
        <is>
          <t>kg</t>
        </is>
      </c>
      <c r="E30" s="18">
        <f>B8+B9+B10</f>
        <v/>
      </c>
      <c r="F30" s="19" t="n">
        <v>0.3</v>
      </c>
      <c r="G30" s="17" t="n">
        <v>10</v>
      </c>
      <c r="H30" s="20">
        <f>E30*F30*(1+G30/100)</f>
        <v/>
      </c>
      <c r="I30" s="17" t="n">
        <v>10</v>
      </c>
      <c r="J30" s="21">
        <f>CEILING(H30/I30,1)</f>
        <v/>
      </c>
      <c r="K30" s="22" t="n">
        <v>12000</v>
      </c>
      <c r="L30" s="23">
        <f>J30*K30</f>
        <v/>
      </c>
    </row>
    <row r="31">
      <c r="A31" s="17" t="inlineStr">
        <is>
          <t>마루</t>
        </is>
      </c>
      <c r="B31" s="17" t="inlineStr">
        <is>
          <t>강마루</t>
        </is>
      </c>
      <c r="C31" s="17" t="inlineStr">
        <is>
          <t>1210×193</t>
        </is>
      </c>
      <c r="D31" s="17" t="inlineStr">
        <is>
          <t>장</t>
        </is>
      </c>
      <c r="E31" s="18">
        <f>B8+B9+B10</f>
        <v/>
      </c>
      <c r="F31" s="19" t="n">
        <v>5.35</v>
      </c>
      <c r="G31" s="17" t="n">
        <v>5</v>
      </c>
      <c r="H31" s="20">
        <f>E31*F31*(1+G31/100)</f>
        <v/>
      </c>
      <c r="I31" s="17" t="n">
        <v>8</v>
      </c>
      <c r="J31" s="21">
        <f>CEILING(H31/I31,1)</f>
        <v/>
      </c>
      <c r="K31" s="22" t="n">
        <v>6200</v>
      </c>
      <c r="L31" s="23">
        <f>J31*K31</f>
        <v/>
      </c>
    </row>
    <row r="32">
      <c r="A32" s="17" t="inlineStr">
        <is>
          <t>도배</t>
        </is>
      </c>
      <c r="B32" s="17" t="inlineStr">
        <is>
          <t>합지벽지</t>
        </is>
      </c>
      <c r="C32" s="17" t="inlineStr">
        <is>
          <t>롤(16.5㎡)</t>
        </is>
      </c>
      <c r="D32" s="17" t="inlineStr">
        <is>
          <t>롤</t>
        </is>
      </c>
      <c r="E32" s="18">
        <f>B8+B9+B10</f>
        <v/>
      </c>
      <c r="F32" s="19" t="n">
        <v>0.12</v>
      </c>
      <c r="G32" s="17" t="n">
        <v>8</v>
      </c>
      <c r="H32" s="20">
        <f>E32*F32*(1+G32/100)</f>
        <v/>
      </c>
      <c r="I32" s="17" t="n">
        <v>1</v>
      </c>
      <c r="J32" s="21">
        <f>CEILING(H32/I32,1)</f>
        <v/>
      </c>
      <c r="K32" s="22" t="n">
        <v>15000</v>
      </c>
      <c r="L32" s="23">
        <f>J32*K32</f>
        <v/>
      </c>
    </row>
    <row r="33">
      <c r="A33" s="24" t="inlineStr">
        <is>
          <t>합계</t>
        </is>
      </c>
      <c r="L33" s="25">
        <f>SUM(L24:L32)</f>
        <v/>
      </c>
    </row>
    <row r="35">
      <c r="A35" s="12" t="inlineStr">
        <is>
          <t>▼ 비용 비교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5" t="inlineStr">
        <is>
          <t>구분</t>
        </is>
      </c>
      <c r="B36" s="5" t="inlineStr">
        <is>
          <t>금액</t>
        </is>
      </c>
      <c r="C36" s="5" t="inlineStr">
        <is>
          <t>절약</t>
        </is>
      </c>
    </row>
    <row r="37">
      <c r="A37" s="17" t="inlineStr">
        <is>
          <t>빌드어스 (셀프 자재비)</t>
        </is>
      </c>
      <c r="B37" s="22">
        <f>L33</f>
        <v/>
      </c>
      <c r="C37" s="17" t="inlineStr">
        <is>
          <t>—</t>
        </is>
      </c>
    </row>
    <row r="38">
      <c r="A38" s="17" t="inlineStr">
        <is>
          <t>인터넷 최저가 구매 시 (추정)</t>
        </is>
      </c>
      <c r="B38" s="22">
        <f>L33*1.15</f>
        <v/>
      </c>
      <c r="C38" s="23">
        <f>B38-B37</f>
        <v/>
      </c>
    </row>
    <row r="39">
      <c r="A39" s="17" t="inlineStr">
        <is>
          <t>업체 의뢰 시 (자재+인건비)</t>
        </is>
      </c>
      <c r="B39" s="22">
        <f>L33*2.5</f>
        <v/>
      </c>
      <c r="C39" s="23">
        <f>B39-B37</f>
        <v/>
      </c>
    </row>
    <row r="42">
      <c r="A42" s="24" t="inlineStr">
        <is>
          <t>사용법</t>
        </is>
      </c>
    </row>
    <row r="43">
      <c r="A43" s="9" t="inlineStr">
        <is>
          <t>1. 노란색 셀에 실제 면적(㎡)을 입력하세요 (기본값: 25평 기준)</t>
        </is>
      </c>
    </row>
    <row r="44">
      <c r="A44" s="9" t="inlineStr">
        <is>
          <t>2. 공정 선택에서 시공할 공정에 O를 입력하세요</t>
        </is>
      </c>
    </row>
    <row r="45">
      <c r="A45" s="9" t="inlineStr">
        <is>
          <t>3. 견적 결과가 자동으로 계산됩니다</t>
        </is>
      </c>
    </row>
    <row r="46">
      <c r="A46" s="9" t="inlineStr">
        <is>
          <t>4. 자재 단가를 변경하면 자재마스터 시트의 판매가를 수정하세요</t>
        </is>
      </c>
    </row>
    <row r="47">
      <c r="A47" s="9" t="inlineStr">
        <is>
          <t>5. 새로운 자재를 추가하려면 견적 결과 표에 행을 추가하고 수식을 복사하세요</t>
        </is>
      </c>
    </row>
    <row r="48">
      <c r="A48" s="9" t="inlineStr">
        <is>
          <t>※ 파란 셀 = 수식(자동계산) | 노란 셀 = 입력 | 초록 셀 = 결과</t>
        </is>
      </c>
    </row>
  </sheetData>
  <mergeCells count="13">
    <mergeCell ref="A2:L2"/>
    <mergeCell ref="A42:L42"/>
    <mergeCell ref="A43:L43"/>
    <mergeCell ref="A47:L47"/>
    <mergeCell ref="A1:L1"/>
    <mergeCell ref="A45:L45"/>
    <mergeCell ref="A46:L46"/>
    <mergeCell ref="A14:L14"/>
    <mergeCell ref="A44:L44"/>
    <mergeCell ref="A22:L22"/>
    <mergeCell ref="A35:L35"/>
    <mergeCell ref="A4:L4"/>
    <mergeCell ref="A48:L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8B2AC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12" customWidth="1" min="4" max="4"/>
    <col width="14" customWidth="1" min="5" max="5"/>
  </cols>
  <sheetData>
    <row r="1">
      <c r="A1" s="1" t="inlineStr">
        <is>
          <t>체크리스트 Q&amp;A 변환</t>
        </is>
      </c>
    </row>
    <row r="3">
      <c r="A3" s="5" t="inlineStr">
        <is>
          <t>공정</t>
        </is>
      </c>
      <c r="B3" s="5" t="inlineStr">
        <is>
          <t>질문</t>
        </is>
      </c>
      <c r="C3" s="5" t="inlineStr">
        <is>
          <t>답변</t>
        </is>
      </c>
      <c r="D3" s="5" t="inlineStr">
        <is>
          <t>관련자재코드</t>
        </is>
      </c>
      <c r="E3" s="5" t="inlineStr">
        <is>
          <t>출처</t>
        </is>
      </c>
    </row>
    <row r="4">
      <c r="A4" s="6" t="inlineStr">
        <is>
          <t>방수</t>
        </is>
      </c>
      <c r="B4" s="6" t="inlineStr">
        <is>
          <t>욕실 방수 꼭 해야 하나요?</t>
        </is>
      </c>
      <c r="C4" s="6" t="inlineStr">
        <is>
          <t>네, 필수. 안 하면 아래층 누수 → 보상 문제.</t>
        </is>
      </c>
      <c r="D4" s="6" t="inlineStr">
        <is>
          <t>WP-001</t>
        </is>
      </c>
      <c r="E4" s="6" t="inlineStr">
        <is>
          <t>체크리스트04 #3</t>
        </is>
      </c>
    </row>
    <row r="5">
      <c r="A5" s="6" t="inlineStr">
        <is>
          <t>방수</t>
        </is>
      </c>
      <c r="B5" s="6" t="inlineStr">
        <is>
          <t>방수 위에 타일 바로 붙여도 되나요?</t>
        </is>
      </c>
      <c r="C5" s="6" t="inlineStr">
        <is>
          <t>경화(24~48시간) 후 가능. 덜 마른 상태 시공 시 방수층 손상.</t>
        </is>
      </c>
      <c r="D5" s="6" t="inlineStr">
        <is>
          <t>BA-001</t>
        </is>
      </c>
      <c r="E5" s="6" t="inlineStr">
        <is>
          <t>체크리스트04 #7</t>
        </is>
      </c>
    </row>
    <row r="6">
      <c r="A6" s="6" t="inlineStr">
        <is>
          <t>타일</t>
        </is>
      </c>
      <c r="B6" s="6" t="inlineStr">
        <is>
          <t>타일 본드 종류가 중요한가요?</t>
        </is>
      </c>
      <c r="C6" s="6" t="inlineStr">
        <is>
          <t>매우 중요. 방수 위는 반드시 시멘트 기반 or 에폭시 본드 사용.</t>
        </is>
      </c>
      <c r="D6" s="6" t="inlineStr">
        <is>
          <t>BA-001</t>
        </is>
      </c>
      <c r="E6" s="6" t="inlineStr">
        <is>
          <t>체크리스트08 #5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8B2AC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0" customWidth="1" min="4" max="4"/>
    <col width="20" customWidth="1" min="5" max="5"/>
  </cols>
  <sheetData>
    <row r="1">
      <c r="A1" s="1" t="inlineStr">
        <is>
          <t>SEO 키워드 리스트</t>
        </is>
      </c>
    </row>
    <row r="3">
      <c r="A3" s="5" t="inlineStr">
        <is>
          <t>키워드</t>
        </is>
      </c>
      <c r="B3" s="5" t="inlineStr">
        <is>
          <t>월간검색량</t>
        </is>
      </c>
      <c r="C3" s="5" t="inlineStr">
        <is>
          <t>경쟁도</t>
        </is>
      </c>
      <c r="D3" s="5" t="inlineStr">
        <is>
          <t>검색의도</t>
        </is>
      </c>
      <c r="E3" s="5" t="inlineStr">
        <is>
          <t>연결기능</t>
        </is>
      </c>
    </row>
    <row r="4">
      <c r="A4" s="6" t="inlineStr">
        <is>
          <t>래미안 인테리어 비용</t>
        </is>
      </c>
      <c r="B4" s="7" t="n">
        <v>1200</v>
      </c>
      <c r="C4" s="6" t="inlineStr">
        <is>
          <t>중</t>
        </is>
      </c>
      <c r="D4" s="6" t="inlineStr">
        <is>
          <t>정보탐색</t>
        </is>
      </c>
      <c r="E4" s="6" t="inlineStr">
        <is>
          <t>아파트별 비용 페이지</t>
        </is>
      </c>
    </row>
    <row r="5">
      <c r="A5" s="6" t="inlineStr">
        <is>
          <t>셀프 방수 방법</t>
        </is>
      </c>
      <c r="B5" s="7" t="n">
        <v>800</v>
      </c>
      <c r="C5" s="6" t="inlineStr">
        <is>
          <t>중</t>
        </is>
      </c>
      <c r="D5" s="6" t="inlineStr">
        <is>
          <t>가이드</t>
        </is>
      </c>
      <c r="E5" s="6" t="inlineStr">
        <is>
          <t>시공가이드 + 마켓플레이스</t>
        </is>
      </c>
    </row>
    <row r="6">
      <c r="A6" s="6" t="inlineStr">
        <is>
          <t>인테리어 견적 적정가</t>
        </is>
      </c>
      <c r="B6" s="7" t="n">
        <v>2400</v>
      </c>
      <c r="C6" s="6" t="inlineStr">
        <is>
          <t>높</t>
        </is>
      </c>
      <c r="D6" s="6" t="inlineStr">
        <is>
          <t>비교</t>
        </is>
      </c>
      <c r="E6" s="6" t="inlineStr">
        <is>
          <t>견적 비교기</t>
        </is>
      </c>
    </row>
    <row r="7">
      <c r="A7" s="6" t="inlineStr">
        <is>
          <t>욕실 타일 셀프 시공</t>
        </is>
      </c>
      <c r="B7" s="7" t="n">
        <v>600</v>
      </c>
      <c r="C7" s="6" t="inlineStr">
        <is>
          <t>낮</t>
        </is>
      </c>
      <c r="D7" s="6" t="inlineStr">
        <is>
          <t>가이드</t>
        </is>
      </c>
      <c r="E7" s="6" t="inlineStr">
        <is>
          <t>시공가이드</t>
        </is>
      </c>
    </row>
    <row r="8">
      <c r="A8" s="6" t="inlineStr">
        <is>
          <t>25평 인테리어 비용</t>
        </is>
      </c>
      <c r="B8" s="7" t="n">
        <v>3200</v>
      </c>
      <c r="C8" s="6" t="inlineStr">
        <is>
          <t>높</t>
        </is>
      </c>
      <c r="D8" s="6" t="inlineStr">
        <is>
          <t>정보탐색</t>
        </is>
      </c>
      <c r="E8" s="6" t="inlineStr">
        <is>
          <t>비용 분석기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2026-03-30T07:38:17Z</dcterms:created>
  <dcterms:modified xmlns:dcterms="http://purl.org/dc/terms/" xmlns:xsi="http://www.w3.org/2001/XMLSchema-instance" xsi:type="dcterms:W3CDTF">2026-03-30T07:38:18Z</dcterms:modified>
</cp:coreProperties>
</file>